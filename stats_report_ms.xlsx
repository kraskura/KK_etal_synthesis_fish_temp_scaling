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akraskura/Github_repositories/KK_etal_synthesis_fish_temp_scaling/"/>
    </mc:Choice>
  </mc:AlternateContent>
  <xr:revisionPtr revIDLastSave="0" documentId="13_ncr:1_{33B58AB6-C28C-3148-854F-768844F74297}" xr6:coauthVersionLast="47" xr6:coauthVersionMax="47" xr10:uidLastSave="{00000000-0000-0000-0000-000000000000}"/>
  <bookViews>
    <workbookView xWindow="0" yWindow="620" windowWidth="28800" windowHeight="17380" activeTab="3" xr2:uid="{B3FBD4CA-75DB-D748-9A95-2029329DF2D8}"/>
  </bookViews>
  <sheets>
    <sheet name="Table 1 - main text" sheetId="4" r:id="rId1"/>
    <sheet name="OUTDATED - pre Review" sheetId="1" r:id="rId2"/>
    <sheet name="ecology models -REVIEW" sheetId="3" r:id="rId3"/>
    <sheet name="OUTDATED - pre review2" sheetId="2" r:id="rId4"/>
  </sheets>
  <definedNames>
    <definedName name="_Toc224551882" localSheetId="0">'Table 1 - main text'!$Q$22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4" l="1"/>
  <c r="V28" i="4"/>
  <c r="V27" i="4"/>
  <c r="V24" i="4"/>
  <c r="V23" i="4"/>
  <c r="V20" i="4"/>
  <c r="V19" i="4"/>
  <c r="V14" i="4"/>
  <c r="V13" i="4"/>
  <c r="V11" i="4"/>
  <c r="V10" i="4"/>
  <c r="V9" i="4"/>
  <c r="V7" i="4"/>
  <c r="V6" i="4"/>
  <c r="V5" i="4"/>
  <c r="U28" i="4"/>
  <c r="U27" i="4"/>
  <c r="U24" i="4"/>
  <c r="U23" i="4"/>
  <c r="U21" i="4"/>
  <c r="U20" i="4"/>
  <c r="U19" i="4"/>
  <c r="U14" i="4"/>
  <c r="U13" i="4"/>
  <c r="U11" i="4"/>
  <c r="U10" i="4"/>
  <c r="U9" i="4"/>
  <c r="U7" i="4"/>
  <c r="U6" i="4"/>
  <c r="U5" i="4"/>
  <c r="T6" i="4"/>
  <c r="T9" i="4"/>
  <c r="T10" i="4"/>
  <c r="T11" i="4"/>
  <c r="T13" i="4"/>
  <c r="T14" i="4"/>
  <c r="T15" i="4"/>
  <c r="T19" i="4"/>
  <c r="T20" i="4"/>
  <c r="T21" i="4"/>
  <c r="T23" i="4"/>
  <c r="T24" i="4"/>
  <c r="T27" i="4"/>
  <c r="T28" i="4"/>
  <c r="T5" i="4"/>
  <c r="S20" i="4"/>
  <c r="S23" i="4"/>
  <c r="S24" i="4"/>
  <c r="S27" i="4"/>
  <c r="S28" i="4"/>
  <c r="S19" i="4"/>
  <c r="S14" i="4"/>
  <c r="S13" i="4"/>
  <c r="S10" i="4"/>
  <c r="S9" i="4"/>
  <c r="S6" i="4"/>
  <c r="S7" i="4"/>
  <c r="S5" i="4"/>
  <c r="I15" i="2" l="1"/>
  <c r="K3" i="2"/>
  <c r="K10" i="2"/>
  <c r="K9" i="2"/>
  <c r="K8" i="2"/>
  <c r="K7" i="2"/>
  <c r="K6" i="2"/>
  <c r="K5" i="2"/>
  <c r="K4" i="2"/>
  <c r="J4" i="2"/>
  <c r="J5" i="2"/>
  <c r="J6" i="2"/>
  <c r="J7" i="2"/>
  <c r="J8" i="2"/>
  <c r="J9" i="2"/>
  <c r="J10" i="2"/>
  <c r="J3" i="2"/>
</calcChain>
</file>

<file path=xl/sharedStrings.xml><?xml version="1.0" encoding="utf-8"?>
<sst xmlns="http://schemas.openxmlformats.org/spreadsheetml/2006/main" count="555" uniqueCount="86">
  <si>
    <t>var</t>
  </si>
  <si>
    <t>test.categ</t>
  </si>
  <si>
    <t>ecol</t>
  </si>
  <si>
    <t>AS</t>
  </si>
  <si>
    <t>opt</t>
  </si>
  <si>
    <t>DemersPelag</t>
  </si>
  <si>
    <t>tempTest</t>
  </si>
  <si>
    <t>BodyShapeI</t>
  </si>
  <si>
    <t>Climate</t>
  </si>
  <si>
    <t>salintyComb</t>
  </si>
  <si>
    <t>warm</t>
  </si>
  <si>
    <t>FAS</t>
  </si>
  <si>
    <t>RMR</t>
  </si>
  <si>
    <t>MMR</t>
  </si>
  <si>
    <t>lnBWg:tempTest</t>
  </si>
  <si>
    <t>fusiform_ecol_relev</t>
  </si>
  <si>
    <t>fusiform_warm</t>
  </si>
  <si>
    <t>Subtropical_ecol_relev</t>
  </si>
  <si>
    <t>Subtropical_warm</t>
  </si>
  <si>
    <t>Temperate_ecol_relev</t>
  </si>
  <si>
    <t>Temperate_warm</t>
  </si>
  <si>
    <t>benthopelagic_ecol_relev</t>
  </si>
  <si>
    <t>benthopelagic_warm</t>
  </si>
  <si>
    <t>demersal_ecol_relev</t>
  </si>
  <si>
    <t>demersal_warm</t>
  </si>
  <si>
    <t>reef-associated_ecol_relev</t>
  </si>
  <si>
    <t>reef-associated_warm</t>
  </si>
  <si>
    <t>Marine_ecol_relev</t>
  </si>
  <si>
    <t>Marine_warm</t>
  </si>
  <si>
    <t>Marine; freshwater; brackish_ecol_relev</t>
  </si>
  <si>
    <t>Marine; freshwater; brackish_warm</t>
  </si>
  <si>
    <t xml:space="preserve">OPTIMAL </t>
  </si>
  <si>
    <t>WARM</t>
  </si>
  <si>
    <t xml:space="preserve">is MMR warm &gt; MMR optimal </t>
  </si>
  <si>
    <t xml:space="preserve">same </t>
  </si>
  <si>
    <t xml:space="preserve">is RMR warm &gt; RMR optimal </t>
  </si>
  <si>
    <t>df</t>
  </si>
  <si>
    <t>BIC</t>
  </si>
  <si>
    <t>delta</t>
  </si>
  <si>
    <t>models</t>
  </si>
  <si>
    <t>ecol.model.null</t>
  </si>
  <si>
    <t>ecol.model</t>
  </si>
  <si>
    <t xml:space="preserve">BODY SHAPE </t>
  </si>
  <si>
    <t>OPT</t>
  </si>
  <si>
    <t>CLIMATE</t>
  </si>
  <si>
    <t>SALINITY</t>
  </si>
  <si>
    <t>LIFESTYLE</t>
  </si>
  <si>
    <t>RMR, MMR</t>
  </si>
  <si>
    <t>FAS, RMR, MMR</t>
  </si>
  <si>
    <t>poly(tempTest)</t>
  </si>
  <si>
    <r>
      <rPr>
        <i/>
        <sz val="12"/>
        <color theme="1"/>
        <rFont val="Aptos Narrow"/>
        <scheme val="minor"/>
      </rPr>
      <t>ln</t>
    </r>
    <r>
      <rPr>
        <sz val="12"/>
        <color theme="1"/>
        <rFont val="Aptos Narrow"/>
        <family val="2"/>
        <scheme val="minor"/>
      </rPr>
      <t>BWg</t>
    </r>
  </si>
  <si>
    <t>BIC significant models</t>
  </si>
  <si>
    <t>Chi Square</t>
  </si>
  <si>
    <t>Temperature category</t>
  </si>
  <si>
    <t xml:space="preserve">Species subgroup </t>
  </si>
  <si>
    <t>MR performance</t>
  </si>
  <si>
    <t>P value</t>
  </si>
  <si>
    <t>Predictor Variable</t>
  </si>
  <si>
    <t>Body Shape</t>
  </si>
  <si>
    <t>Lifestyle</t>
  </si>
  <si>
    <t>Salinity</t>
  </si>
  <si>
    <t>&lt; 0.0001</t>
  </si>
  <si>
    <t>EcolGroup</t>
  </si>
  <si>
    <t xml:space="preserve">optimal </t>
  </si>
  <si>
    <t>Old primary submission</t>
  </si>
  <si>
    <t xml:space="preserve">REVIEW- updated data ∆BIC &lt; 7 </t>
  </si>
  <si>
    <t xml:space="preserve">REVIEW- updated data ∆BIC &gt; 7 </t>
  </si>
  <si>
    <t>FAS, MMR</t>
  </si>
  <si>
    <t>AS,RMR, MMR</t>
  </si>
  <si>
    <t xml:space="preserve">Lifes tages </t>
  </si>
  <si>
    <t xml:space="preserve">RMR </t>
  </si>
  <si>
    <t>All</t>
  </si>
  <si>
    <t>Adults</t>
  </si>
  <si>
    <t>Juveniles</t>
  </si>
  <si>
    <t>lnBM</t>
  </si>
  <si>
    <t>lnBM * T</t>
  </si>
  <si>
    <t>T</t>
  </si>
  <si>
    <t>se</t>
  </si>
  <si>
    <t>OPTIMAL TEMPERATURES</t>
  </si>
  <si>
    <t>0 ‘***’ 0.001 ‘**’ 0.01 ‘*’ 0.05 ‘.’</t>
  </si>
  <si>
    <t>--</t>
  </si>
  <si>
    <t>**</t>
  </si>
  <si>
    <t>***</t>
  </si>
  <si>
    <t>.</t>
  </si>
  <si>
    <t>*</t>
  </si>
  <si>
    <t>WARM TEMPERATURES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</si>
</sst>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5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i/>
      <sz val="12"/>
      <color rgb="FFFF0000"/>
      <name val="Aptos Narrow"/>
      <scheme val="minor"/>
    </font>
    <font>
      <b/>
      <i/>
      <sz val="12"/>
      <color theme="9"/>
      <name val="Aptos Narrow"/>
      <scheme val="minor"/>
    </font>
    <font>
      <sz val="12"/>
      <color theme="5" tint="-0.499984740745262"/>
      <name val="Aptos Narrow"/>
      <family val="2"/>
      <scheme val="minor"/>
    </font>
    <font>
      <sz val="11"/>
      <color rgb="FFC00000"/>
      <name val="Consolas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0" fillId="3" borderId="0" xfId="0" applyFill="1"/>
    <xf numFmtId="0" fontId="0" fillId="3" borderId="1" xfId="0" applyFill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3" borderId="0" xfId="0" applyFont="1" applyFill="1"/>
    <xf numFmtId="0" fontId="0" fillId="0" borderId="0" xfId="0" applyAlignment="1">
      <alignment wrapText="1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6" fillId="0" borderId="33" xfId="0" applyNumberFormat="1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8" fillId="0" borderId="35" xfId="0" applyNumberFormat="1" applyFon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7" xfId="0" applyNumberFormat="1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2" fontId="8" fillId="0" borderId="39" xfId="0" applyNumberFormat="1" applyFont="1" applyBorder="1" applyAlignment="1">
      <alignment horizontal="center" vertical="center"/>
    </xf>
    <xf numFmtId="2" fontId="0" fillId="0" borderId="40" xfId="0" applyNumberForma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19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0" borderId="5" xfId="0" applyBorder="1" applyAlignment="1">
      <alignment wrapText="1"/>
    </xf>
    <xf numFmtId="0" fontId="1" fillId="0" borderId="0" xfId="1" applyFill="1"/>
    <xf numFmtId="0" fontId="0" fillId="0" borderId="1" xfId="0" applyBorder="1"/>
    <xf numFmtId="0" fontId="0" fillId="0" borderId="8" xfId="0" applyBorder="1"/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0" xfId="0" applyFont="1"/>
    <xf numFmtId="0" fontId="11" fillId="0" borderId="1" xfId="0" applyFont="1" applyBorder="1"/>
    <xf numFmtId="0" fontId="9" fillId="3" borderId="0" xfId="1" applyFont="1" applyFill="1"/>
    <xf numFmtId="0" fontId="1" fillId="3" borderId="0" xfId="1" applyFill="1"/>
    <xf numFmtId="0" fontId="0" fillId="4" borderId="0" xfId="0" applyFill="1"/>
    <xf numFmtId="0" fontId="0" fillId="4" borderId="1" xfId="0" applyFill="1" applyBorder="1"/>
    <xf numFmtId="0" fontId="0" fillId="4" borderId="8" xfId="0" applyFill="1" applyBorder="1"/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0" fillId="5" borderId="8" xfId="0" applyFill="1" applyBorder="1"/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0" fillId="6" borderId="0" xfId="0" applyFill="1"/>
    <xf numFmtId="0" fontId="0" fillId="6" borderId="1" xfId="0" applyFill="1" applyBorder="1"/>
    <xf numFmtId="0" fontId="12" fillId="3" borderId="0" xfId="0" applyFont="1" applyFill="1"/>
    <xf numFmtId="2" fontId="0" fillId="0" borderId="22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42" xfId="0" applyBorder="1"/>
    <xf numFmtId="0" fontId="13" fillId="0" borderId="0" xfId="0" applyFont="1"/>
    <xf numFmtId="0" fontId="0" fillId="0" borderId="0" xfId="0" quotePrefix="1"/>
    <xf numFmtId="0" fontId="14" fillId="0" borderId="18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6" fillId="0" borderId="2" xfId="0" applyFont="1" applyBorder="1" applyAlignment="1">
      <alignment horizontal="center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14D5-A090-8C45-856F-84A9FA36570B}">
  <dimension ref="B2:V31"/>
  <sheetViews>
    <sheetView zoomScale="114" workbookViewId="0">
      <selection activeCell="F32" sqref="F32"/>
    </sheetView>
  </sheetViews>
  <sheetFormatPr baseColWidth="10" defaultRowHeight="16" x14ac:dyDescent="0.2"/>
  <cols>
    <col min="19" max="19" width="16" bestFit="1" customWidth="1"/>
    <col min="20" max="22" width="16.6640625" bestFit="1" customWidth="1"/>
  </cols>
  <sheetData>
    <row r="2" spans="2:22" ht="17" thickBot="1" x14ac:dyDescent="0.25">
      <c r="B2" s="78" t="s">
        <v>78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Q2" s="86" t="s">
        <v>78</v>
      </c>
      <c r="R2" s="86"/>
      <c r="S2" s="86"/>
      <c r="T2" s="86"/>
      <c r="U2" s="86"/>
      <c r="V2" s="86"/>
    </row>
    <row r="3" spans="2:22" ht="17" thickBot="1" x14ac:dyDescent="0.25">
      <c r="B3" s="79" t="s">
        <v>69</v>
      </c>
      <c r="C3" s="79"/>
      <c r="D3" s="79" t="s">
        <v>70</v>
      </c>
      <c r="E3" s="79" t="s">
        <v>77</v>
      </c>
      <c r="F3" s="79"/>
      <c r="G3" s="79" t="s">
        <v>13</v>
      </c>
      <c r="H3" s="79" t="s">
        <v>77</v>
      </c>
      <c r="I3" s="79"/>
      <c r="J3" s="79" t="s">
        <v>3</v>
      </c>
      <c r="K3" s="79" t="s">
        <v>77</v>
      </c>
      <c r="L3" s="79"/>
      <c r="M3" s="79" t="s">
        <v>11</v>
      </c>
      <c r="N3" s="79" t="s">
        <v>77</v>
      </c>
      <c r="Q3" s="82" t="s">
        <v>69</v>
      </c>
      <c r="R3" s="82"/>
      <c r="S3" s="82" t="s">
        <v>70</v>
      </c>
      <c r="T3" s="82" t="s">
        <v>13</v>
      </c>
      <c r="U3" s="82" t="s">
        <v>3</v>
      </c>
      <c r="V3" s="82" t="s">
        <v>11</v>
      </c>
    </row>
    <row r="4" spans="2:22" x14ac:dyDescent="0.2">
      <c r="Q4" s="83"/>
      <c r="R4" s="83"/>
      <c r="S4" s="83"/>
      <c r="T4" s="83"/>
      <c r="U4" s="83"/>
      <c r="V4" s="83"/>
    </row>
    <row r="5" spans="2:22" x14ac:dyDescent="0.2">
      <c r="B5" t="s">
        <v>71</v>
      </c>
      <c r="C5" t="s">
        <v>74</v>
      </c>
      <c r="D5" s="80">
        <v>0.78812930000000003</v>
      </c>
      <c r="E5" s="80">
        <v>0.1140671</v>
      </c>
      <c r="F5" s="80" t="s">
        <v>82</v>
      </c>
      <c r="G5" s="80">
        <v>0.77948700000000004</v>
      </c>
      <c r="H5" s="80">
        <v>0.29003099999999998</v>
      </c>
      <c r="I5" s="80" t="s">
        <v>81</v>
      </c>
      <c r="J5" s="80">
        <v>1.046613</v>
      </c>
      <c r="K5" s="80">
        <v>2.5801000000000001E-2</v>
      </c>
      <c r="L5" s="80" t="s">
        <v>82</v>
      </c>
      <c r="M5" s="80">
        <v>0.12845100000000001</v>
      </c>
      <c r="N5" s="80">
        <v>2.6379E-2</v>
      </c>
      <c r="O5" t="s">
        <v>82</v>
      </c>
      <c r="Q5" s="84" t="s">
        <v>71</v>
      </c>
      <c r="R5" s="84" t="s">
        <v>74</v>
      </c>
      <c r="S5" s="84" t="str">
        <f>_xlfn.CONCAT(ROUND(D5,3)," (", ROUND(E5,3), ") ", F5)</f>
        <v>0.788 (0.114) ***</v>
      </c>
      <c r="T5" s="84" t="str">
        <f>_xlfn.CONCAT(ROUND(G5,3)," (", ROUND(H5,3), ") ", I5)</f>
        <v>0.779 (0.29) **</v>
      </c>
      <c r="U5" s="84" t="str">
        <f>_xlfn.CONCAT(ROUND(J5,3)," (", ROUND(K5,3), ") ", L5)</f>
        <v>1.047 (0.026) ***</v>
      </c>
      <c r="V5" s="84" t="str">
        <f>_xlfn.CONCAT(ROUND(M5,3)," (", ROUND(N5,3), ") ", O5)</f>
        <v>0.128 (0.026) ***</v>
      </c>
    </row>
    <row r="6" spans="2:22" x14ac:dyDescent="0.2">
      <c r="C6" t="s">
        <v>76</v>
      </c>
      <c r="D6" s="80">
        <v>5.2964400000000002E-2</v>
      </c>
      <c r="E6" s="80">
        <v>3.0068E-3</v>
      </c>
      <c r="F6" s="80" t="s">
        <v>82</v>
      </c>
      <c r="G6" s="80">
        <v>3.9604E-2</v>
      </c>
      <c r="H6" s="80">
        <v>1.7570000000000001E-3</v>
      </c>
      <c r="I6" s="80" t="s">
        <v>82</v>
      </c>
      <c r="J6" s="80">
        <v>6.8745000000000001E-2</v>
      </c>
      <c r="K6" s="80">
        <v>4.7949999999999998E-3</v>
      </c>
      <c r="L6" s="80" t="s">
        <v>82</v>
      </c>
      <c r="M6" s="80">
        <v>-5.13E-3</v>
      </c>
      <c r="N6" s="80">
        <v>7.2620000000000002E-3</v>
      </c>
      <c r="Q6" s="84"/>
      <c r="R6" s="84" t="s">
        <v>76</v>
      </c>
      <c r="S6" s="84" t="str">
        <f t="shared" ref="S6:S7" si="0">_xlfn.CONCAT(ROUND(D6,3)," (", ROUND(E6,3), ") ", F6)</f>
        <v>0.053 (0.003) ***</v>
      </c>
      <c r="T6" s="84" t="str">
        <f t="shared" ref="T6:T28" si="1">_xlfn.CONCAT(ROUND(G6,3)," (", ROUND(H6,3), ") ", I6)</f>
        <v>0.04 (0.002) ***</v>
      </c>
      <c r="U6" s="84" t="str">
        <f t="shared" ref="U6:U29" si="2">_xlfn.CONCAT(ROUND(J6,3)," (", ROUND(K6,3), ") ", L6)</f>
        <v>0.069 (0.005) ***</v>
      </c>
      <c r="V6" s="84" t="str">
        <f t="shared" ref="V6:V28" si="3">_xlfn.CONCAT(ROUND(M6,3)," (", ROUND(N6,3), ") ", O6)</f>
        <v xml:space="preserve">-0.005 (0.007) </v>
      </c>
    </row>
    <row r="7" spans="2:22" x14ac:dyDescent="0.2">
      <c r="C7" t="s">
        <v>75</v>
      </c>
      <c r="D7" s="80">
        <v>3.4807000000000002E-3</v>
      </c>
      <c r="E7" s="80">
        <v>8.9519999999999997E-4</v>
      </c>
      <c r="F7" s="80" t="s">
        <v>82</v>
      </c>
      <c r="G7" s="81" t="s">
        <v>80</v>
      </c>
      <c r="J7" s="80">
        <v>-9.9220000000000003E-3</v>
      </c>
      <c r="K7" s="80">
        <v>1.1919999999999999E-3</v>
      </c>
      <c r="L7" s="80" t="s">
        <v>82</v>
      </c>
      <c r="M7" s="80">
        <v>-6.2389999999999998E-3</v>
      </c>
      <c r="N7" s="80">
        <v>1.2359999999999999E-3</v>
      </c>
      <c r="O7" t="s">
        <v>82</v>
      </c>
      <c r="Q7" s="84"/>
      <c r="R7" s="84" t="s">
        <v>75</v>
      </c>
      <c r="S7" s="85" t="str">
        <f t="shared" si="0"/>
        <v>0.003 (0.001) ***</v>
      </c>
      <c r="T7" s="84"/>
      <c r="U7" s="85" t="str">
        <f t="shared" si="2"/>
        <v>-0.01 (0.001) ***</v>
      </c>
      <c r="V7" s="85" t="str">
        <f t="shared" si="3"/>
        <v>-0.006 (0.001) ***</v>
      </c>
    </row>
    <row r="8" spans="2:22" x14ac:dyDescent="0.2">
      <c r="P8" s="80"/>
      <c r="Q8" s="84"/>
      <c r="R8" s="84"/>
      <c r="S8" s="84"/>
      <c r="T8" s="84"/>
      <c r="U8" s="84"/>
      <c r="V8" s="84"/>
    </row>
    <row r="9" spans="2:22" x14ac:dyDescent="0.2">
      <c r="B9" t="s">
        <v>73</v>
      </c>
      <c r="C9" t="s">
        <v>74</v>
      </c>
      <c r="D9">
        <v>0.81041099999999999</v>
      </c>
      <c r="E9">
        <v>0.185973</v>
      </c>
      <c r="F9" s="80" t="s">
        <v>82</v>
      </c>
      <c r="G9">
        <v>0.92496999999999996</v>
      </c>
      <c r="H9">
        <v>0.302149</v>
      </c>
      <c r="I9" s="80" t="s">
        <v>81</v>
      </c>
      <c r="J9">
        <v>1.1279950000000001</v>
      </c>
      <c r="K9">
        <v>3.7483000000000002E-2</v>
      </c>
      <c r="L9" s="80" t="s">
        <v>82</v>
      </c>
      <c r="M9">
        <v>0.14822579999999999</v>
      </c>
      <c r="N9">
        <v>3.6132400000000002E-2</v>
      </c>
      <c r="O9" t="s">
        <v>82</v>
      </c>
      <c r="P9" s="80"/>
      <c r="Q9" s="84" t="s">
        <v>73</v>
      </c>
      <c r="R9" s="84" t="s">
        <v>74</v>
      </c>
      <c r="S9" s="84" t="str">
        <f>_xlfn.CONCAT(ROUND(D9,3)," (", ROUND(E9,3), ") ", F9)</f>
        <v>0.81 (0.186) ***</v>
      </c>
      <c r="T9" s="84" t="str">
        <f t="shared" si="1"/>
        <v>0.925 (0.302) **</v>
      </c>
      <c r="U9" s="84" t="str">
        <f t="shared" si="2"/>
        <v>1.128 (0.037) ***</v>
      </c>
      <c r="V9" s="84" t="str">
        <f t="shared" si="3"/>
        <v>0.148 (0.036) ***</v>
      </c>
    </row>
    <row r="10" spans="2:22" x14ac:dyDescent="0.2">
      <c r="C10" t="s">
        <v>76</v>
      </c>
      <c r="D10">
        <v>7.4990000000000001E-2</v>
      </c>
      <c r="E10">
        <v>1.8649999999999999E-3</v>
      </c>
      <c r="F10" s="80" t="s">
        <v>82</v>
      </c>
      <c r="G10">
        <v>7.2283E-2</v>
      </c>
      <c r="H10">
        <v>5.1500000000000001E-3</v>
      </c>
      <c r="I10" s="80" t="s">
        <v>82</v>
      </c>
      <c r="J10">
        <v>7.3440000000000005E-2</v>
      </c>
      <c r="K10">
        <v>1.4163E-2</v>
      </c>
      <c r="L10" s="80" t="s">
        <v>82</v>
      </c>
      <c r="M10">
        <v>-4.484E-4</v>
      </c>
      <c r="N10">
        <v>2.2057199999999999E-2</v>
      </c>
      <c r="Q10" s="84"/>
      <c r="R10" s="84" t="s">
        <v>76</v>
      </c>
      <c r="S10" s="84" t="str">
        <f t="shared" ref="S10" si="4">_xlfn.CONCAT(ROUND(D10,3)," (", ROUND(E10,3), ") ", F10)</f>
        <v>0.075 (0.002) ***</v>
      </c>
      <c r="T10" s="84" t="str">
        <f t="shared" si="1"/>
        <v>0.072 (0.005) ***</v>
      </c>
      <c r="U10" s="84" t="str">
        <f t="shared" si="2"/>
        <v>0.073 (0.014) ***</v>
      </c>
      <c r="V10" s="84" t="str">
        <f t="shared" si="3"/>
        <v xml:space="preserve">0 (0.022) </v>
      </c>
    </row>
    <row r="11" spans="2:22" x14ac:dyDescent="0.2">
      <c r="C11" t="s">
        <v>75</v>
      </c>
      <c r="D11" s="81" t="s">
        <v>80</v>
      </c>
      <c r="G11">
        <v>-8.6540000000000002E-3</v>
      </c>
      <c r="H11">
        <v>1.6299999999999999E-3</v>
      </c>
      <c r="I11" s="80" t="s">
        <v>82</v>
      </c>
      <c r="J11">
        <v>-1.3854E-2</v>
      </c>
      <c r="K11">
        <v>1.8990000000000001E-3</v>
      </c>
      <c r="L11" s="80" t="s">
        <v>82</v>
      </c>
      <c r="M11">
        <v>-7.5893000000000002E-3</v>
      </c>
      <c r="N11">
        <v>1.8418E-3</v>
      </c>
      <c r="O11" t="s">
        <v>82</v>
      </c>
      <c r="Q11" s="84"/>
      <c r="R11" s="84" t="s">
        <v>75</v>
      </c>
      <c r="S11" s="84"/>
      <c r="T11" s="85" t="str">
        <f t="shared" si="1"/>
        <v>-0.009 (0.002) ***</v>
      </c>
      <c r="U11" s="85" t="str">
        <f t="shared" si="2"/>
        <v>-0.014 (0.002) ***</v>
      </c>
      <c r="V11" s="85" t="str">
        <f t="shared" si="3"/>
        <v>-0.008 (0.002) ***</v>
      </c>
    </row>
    <row r="12" spans="2:22" x14ac:dyDescent="0.2">
      <c r="Q12" s="84"/>
      <c r="R12" s="84"/>
      <c r="S12" s="84"/>
      <c r="T12" s="84"/>
      <c r="U12" s="84"/>
      <c r="V12" s="84"/>
    </row>
    <row r="13" spans="2:22" x14ac:dyDescent="0.2">
      <c r="B13" t="s">
        <v>72</v>
      </c>
      <c r="C13" t="s">
        <v>74</v>
      </c>
      <c r="D13">
        <v>0.82521199999999995</v>
      </c>
      <c r="E13">
        <v>7.8182000000000001E-2</v>
      </c>
      <c r="F13" s="80" t="s">
        <v>82</v>
      </c>
      <c r="G13">
        <v>0.87922999999999996</v>
      </c>
      <c r="H13">
        <v>0.28789900000000002</v>
      </c>
      <c r="I13" s="80" t="s">
        <v>81</v>
      </c>
      <c r="J13" s="80">
        <v>1.0014689999999999</v>
      </c>
      <c r="K13">
        <v>0.57242599999999999</v>
      </c>
      <c r="L13" s="80" t="s">
        <v>83</v>
      </c>
      <c r="M13">
        <v>-2.2669000000000002E-2</v>
      </c>
      <c r="N13">
        <v>2.0070000000000001E-2</v>
      </c>
      <c r="Q13" s="84" t="s">
        <v>72</v>
      </c>
      <c r="R13" s="84" t="s">
        <v>74</v>
      </c>
      <c r="S13" s="84" t="str">
        <f>_xlfn.CONCAT(ROUND(D13,3)," (", ROUND(E13,3), ") ", F13)</f>
        <v>0.825 (0.078) ***</v>
      </c>
      <c r="T13" s="84" t="str">
        <f t="shared" si="1"/>
        <v>0.879 (0.288) **</v>
      </c>
      <c r="U13" s="84" t="str">
        <f t="shared" si="2"/>
        <v>1.001 (0.572) .</v>
      </c>
      <c r="V13" s="84" t="str">
        <f t="shared" si="3"/>
        <v xml:space="preserve">-0.023 (0.02) </v>
      </c>
    </row>
    <row r="14" spans="2:22" x14ac:dyDescent="0.2">
      <c r="C14" t="s">
        <v>76</v>
      </c>
      <c r="D14">
        <v>5.3792E-2</v>
      </c>
      <c r="E14">
        <v>2.222E-3</v>
      </c>
      <c r="F14" s="80" t="s">
        <v>82</v>
      </c>
      <c r="G14">
        <v>6.5110000000000003E-3</v>
      </c>
      <c r="H14">
        <v>5.6649999999999999E-3</v>
      </c>
      <c r="J14">
        <v>3.1241999999999999E-2</v>
      </c>
      <c r="K14">
        <v>5.2249999999999996E-3</v>
      </c>
      <c r="L14" s="80" t="s">
        <v>82</v>
      </c>
      <c r="M14">
        <v>-3.1705999999999998E-2</v>
      </c>
      <c r="N14">
        <v>5.5950000000000001E-3</v>
      </c>
      <c r="O14" t="s">
        <v>82</v>
      </c>
      <c r="Q14" s="84"/>
      <c r="R14" s="84" t="s">
        <v>76</v>
      </c>
      <c r="S14" s="84" t="str">
        <f t="shared" ref="S14" si="5">_xlfn.CONCAT(ROUND(D14,3)," (", ROUND(E14,3), ") ", F14)</f>
        <v>0.054 (0.002) ***</v>
      </c>
      <c r="T14" s="84" t="str">
        <f t="shared" si="1"/>
        <v xml:space="preserve">0.007 (0.006) </v>
      </c>
      <c r="U14" s="84" t="str">
        <f t="shared" si="2"/>
        <v>0.031 (0.005) ***</v>
      </c>
      <c r="V14" s="84" t="str">
        <f t="shared" si="3"/>
        <v>-0.032 (0.006) ***</v>
      </c>
    </row>
    <row r="15" spans="2:22" x14ac:dyDescent="0.2">
      <c r="C15" t="s">
        <v>75</v>
      </c>
      <c r="D15" s="81" t="s">
        <v>80</v>
      </c>
      <c r="G15">
        <v>4.9399999999999999E-3</v>
      </c>
      <c r="H15">
        <v>1.168E-3</v>
      </c>
      <c r="I15" s="80" t="s">
        <v>82</v>
      </c>
      <c r="J15" s="81" t="s">
        <v>80</v>
      </c>
      <c r="P15" s="80"/>
      <c r="Q15" s="84"/>
      <c r="R15" s="84" t="s">
        <v>75</v>
      </c>
      <c r="S15" s="84"/>
      <c r="T15" s="85" t="str">
        <f t="shared" si="1"/>
        <v>0.005 (0.001) ***</v>
      </c>
      <c r="U15" s="84"/>
      <c r="V15" s="84"/>
    </row>
    <row r="16" spans="2:22" ht="17" thickBot="1" x14ac:dyDescent="0.25">
      <c r="B16" s="78" t="s">
        <v>32</v>
      </c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P16" s="80"/>
      <c r="Q16" s="86" t="s">
        <v>85</v>
      </c>
      <c r="R16" s="86"/>
      <c r="S16" s="86"/>
      <c r="T16" s="86"/>
      <c r="U16" s="86"/>
      <c r="V16" s="86"/>
    </row>
    <row r="17" spans="2:22" ht="17" thickBot="1" x14ac:dyDescent="0.25">
      <c r="B17" s="79" t="s">
        <v>69</v>
      </c>
      <c r="C17" s="79"/>
      <c r="D17" s="79" t="s">
        <v>70</v>
      </c>
      <c r="E17" s="79" t="s">
        <v>77</v>
      </c>
      <c r="F17" s="79"/>
      <c r="G17" s="79" t="s">
        <v>13</v>
      </c>
      <c r="H17" s="79" t="s">
        <v>77</v>
      </c>
      <c r="I17" s="79"/>
      <c r="J17" s="79" t="s">
        <v>3</v>
      </c>
      <c r="K17" s="79" t="s">
        <v>77</v>
      </c>
      <c r="L17" s="79"/>
      <c r="M17" s="79" t="s">
        <v>11</v>
      </c>
      <c r="N17" s="79" t="s">
        <v>77</v>
      </c>
      <c r="P17" s="80"/>
      <c r="Q17" s="82" t="s">
        <v>69</v>
      </c>
      <c r="R17" s="82"/>
      <c r="S17" s="82" t="s">
        <v>70</v>
      </c>
      <c r="T17" s="82" t="s">
        <v>13</v>
      </c>
      <c r="U17" s="82" t="s">
        <v>3</v>
      </c>
      <c r="V17" s="82" t="s">
        <v>11</v>
      </c>
    </row>
    <row r="18" spans="2:22" x14ac:dyDescent="0.2">
      <c r="P18" s="80"/>
      <c r="Q18" s="83"/>
      <c r="R18" s="83"/>
      <c r="S18" s="83"/>
      <c r="T18" s="83"/>
      <c r="U18" s="83"/>
      <c r="V18" s="83"/>
    </row>
    <row r="19" spans="2:22" x14ac:dyDescent="0.2">
      <c r="B19" t="s">
        <v>71</v>
      </c>
      <c r="C19" t="s">
        <v>74</v>
      </c>
      <c r="D19" s="80">
        <v>0.87666100000000002</v>
      </c>
      <c r="E19" s="80">
        <v>1.6428999999999999E-2</v>
      </c>
      <c r="F19" t="s">
        <v>82</v>
      </c>
      <c r="G19" s="80">
        <v>1.057698</v>
      </c>
      <c r="H19" s="80">
        <v>3.5608000000000001E-2</v>
      </c>
      <c r="I19" t="s">
        <v>82</v>
      </c>
      <c r="J19">
        <v>1.1774290000000001</v>
      </c>
      <c r="K19">
        <v>8.6161000000000001E-2</v>
      </c>
      <c r="L19" t="s">
        <v>82</v>
      </c>
      <c r="M19">
        <v>-6.8898000000000001E-2</v>
      </c>
      <c r="N19">
        <v>1.9102999999999998E-2</v>
      </c>
      <c r="O19" s="80" t="s">
        <v>82</v>
      </c>
      <c r="P19" s="80"/>
      <c r="Q19" s="84" t="s">
        <v>71</v>
      </c>
      <c r="R19" s="84" t="s">
        <v>74</v>
      </c>
      <c r="S19" s="84" t="str">
        <f t="shared" ref="S19:S28" si="6">_xlfn.CONCAT(ROUND(D19,3)," (", ROUND(E19,3), ") ", F19)</f>
        <v>0.877 (0.016) ***</v>
      </c>
      <c r="T19" s="84" t="str">
        <f t="shared" si="1"/>
        <v>1.058 (0.036) ***</v>
      </c>
      <c r="U19" s="84" t="str">
        <f t="shared" si="2"/>
        <v>1.177 (0.086) ***</v>
      </c>
      <c r="V19" s="84" t="str">
        <f t="shared" si="3"/>
        <v>-0.069 (0.019) ***</v>
      </c>
    </row>
    <row r="20" spans="2:22" x14ac:dyDescent="0.2">
      <c r="C20" t="s">
        <v>76</v>
      </c>
      <c r="D20" s="80">
        <v>7.3394000000000001E-2</v>
      </c>
      <c r="E20" s="80">
        <v>6.5240000000000003E-3</v>
      </c>
      <c r="F20" t="s">
        <v>82</v>
      </c>
      <c r="G20" s="80">
        <v>3.9094999999999998E-2</v>
      </c>
      <c r="H20" s="80">
        <v>1.3107000000000001E-2</v>
      </c>
      <c r="I20" t="s">
        <v>81</v>
      </c>
      <c r="J20">
        <v>5.731E-3</v>
      </c>
      <c r="K20">
        <v>3.1213000000000001E-2</v>
      </c>
      <c r="M20">
        <v>-4.5564E-2</v>
      </c>
      <c r="N20">
        <v>2.0669999999999998E-3</v>
      </c>
      <c r="O20" s="80" t="s">
        <v>82</v>
      </c>
      <c r="P20" s="80"/>
      <c r="Q20" s="84"/>
      <c r="R20" s="84" t="s">
        <v>76</v>
      </c>
      <c r="S20" s="84" t="str">
        <f t="shared" si="6"/>
        <v>0.073 (0.007) ***</v>
      </c>
      <c r="T20" s="84" t="str">
        <f t="shared" si="1"/>
        <v>0.039 (0.013) **</v>
      </c>
      <c r="U20" s="84" t="str">
        <f t="shared" si="2"/>
        <v xml:space="preserve">0.006 (0.031) </v>
      </c>
      <c r="V20" s="84" t="str">
        <f t="shared" si="3"/>
        <v>-0.046 (0.002) ***</v>
      </c>
    </row>
    <row r="21" spans="2:22" x14ac:dyDescent="0.2">
      <c r="C21" t="s">
        <v>75</v>
      </c>
      <c r="D21" s="81" t="s">
        <v>80</v>
      </c>
      <c r="G21" s="80">
        <v>-8.1899999999999994E-3</v>
      </c>
      <c r="H21" s="80">
        <v>1.3339999999999999E-3</v>
      </c>
      <c r="I21" t="s">
        <v>82</v>
      </c>
      <c r="J21">
        <v>-1.3981E-2</v>
      </c>
      <c r="K21">
        <v>3.0730000000000002E-3</v>
      </c>
      <c r="L21" t="s">
        <v>82</v>
      </c>
      <c r="M21" s="81" t="s">
        <v>80</v>
      </c>
      <c r="P21" s="80"/>
      <c r="Q21" s="84"/>
      <c r="R21" s="84" t="s">
        <v>75</v>
      </c>
      <c r="S21" s="84"/>
      <c r="T21" s="85" t="str">
        <f t="shared" si="1"/>
        <v>-0.008 (0.001) ***</v>
      </c>
      <c r="U21" s="85" t="str">
        <f t="shared" si="2"/>
        <v>-0.014 (0.003) ***</v>
      </c>
      <c r="V21" s="84"/>
    </row>
    <row r="22" spans="2:22" x14ac:dyDescent="0.2">
      <c r="P22" s="80"/>
      <c r="Q22" s="84"/>
      <c r="R22" s="84"/>
      <c r="S22" s="84"/>
      <c r="T22" s="84"/>
      <c r="U22" s="84"/>
      <c r="V22" s="84"/>
    </row>
    <row r="23" spans="2:22" x14ac:dyDescent="0.2">
      <c r="B23" t="s">
        <v>73</v>
      </c>
      <c r="C23" t="s">
        <v>74</v>
      </c>
      <c r="D23">
        <v>0.82272199999999995</v>
      </c>
      <c r="E23">
        <v>2.0414999999999999E-2</v>
      </c>
      <c r="F23" t="s">
        <v>82</v>
      </c>
      <c r="G23">
        <v>0.75630900000000001</v>
      </c>
      <c r="H23">
        <v>0.168297</v>
      </c>
      <c r="I23" t="s">
        <v>82</v>
      </c>
      <c r="J23">
        <v>0.79007000000000005</v>
      </c>
      <c r="K23">
        <v>2.734E-2</v>
      </c>
      <c r="L23" t="s">
        <v>82</v>
      </c>
      <c r="M23">
        <v>-3.2555000000000001E-2</v>
      </c>
      <c r="N23">
        <v>2.2006000000000001E-2</v>
      </c>
      <c r="Q23" s="84" t="s">
        <v>73</v>
      </c>
      <c r="R23" s="84" t="s">
        <v>74</v>
      </c>
      <c r="S23" s="84" t="str">
        <f t="shared" si="6"/>
        <v>0.823 (0.02) ***</v>
      </c>
      <c r="T23" s="84" t="str">
        <f t="shared" si="1"/>
        <v>0.756 (0.168) ***</v>
      </c>
      <c r="U23" s="84" t="str">
        <f t="shared" si="2"/>
        <v>0.79 (0.027) ***</v>
      </c>
      <c r="V23" s="84" t="str">
        <f t="shared" si="3"/>
        <v xml:space="preserve">-0.033 (0.022) </v>
      </c>
    </row>
    <row r="24" spans="2:22" x14ac:dyDescent="0.2">
      <c r="C24" t="s">
        <v>76</v>
      </c>
      <c r="D24">
        <v>6.7450999999999997E-2</v>
      </c>
      <c r="E24">
        <v>9.214E-3</v>
      </c>
      <c r="F24" t="s">
        <v>82</v>
      </c>
      <c r="G24">
        <v>3.8979E-2</v>
      </c>
      <c r="H24">
        <v>1.389E-3</v>
      </c>
      <c r="I24" t="s">
        <v>82</v>
      </c>
      <c r="J24">
        <v>-1.8319999999999999E-2</v>
      </c>
      <c r="K24">
        <v>2.6599999999999999E-2</v>
      </c>
      <c r="M24">
        <v>-3.8182000000000001E-2</v>
      </c>
      <c r="N24">
        <v>6.1079999999999997E-3</v>
      </c>
      <c r="O24" t="s">
        <v>82</v>
      </c>
      <c r="Q24" s="84"/>
      <c r="R24" s="84" t="s">
        <v>76</v>
      </c>
      <c r="S24" s="84" t="str">
        <f t="shared" si="6"/>
        <v>0.067 (0.009) ***</v>
      </c>
      <c r="T24" s="84" t="str">
        <f t="shared" si="1"/>
        <v>0.039 (0.001) ***</v>
      </c>
      <c r="U24" s="84" t="str">
        <f t="shared" si="2"/>
        <v xml:space="preserve">-0.018 (0.027) </v>
      </c>
      <c r="V24" s="84" t="str">
        <f t="shared" si="3"/>
        <v>-0.038 (0.006) ***</v>
      </c>
    </row>
    <row r="25" spans="2:22" x14ac:dyDescent="0.2">
      <c r="C25" t="s">
        <v>75</v>
      </c>
      <c r="G25" s="81" t="s">
        <v>80</v>
      </c>
      <c r="Q25" s="84"/>
      <c r="R25" s="84" t="s">
        <v>75</v>
      </c>
      <c r="S25" s="84"/>
      <c r="T25" s="84"/>
      <c r="U25" s="84"/>
      <c r="V25" s="84"/>
    </row>
    <row r="26" spans="2:22" x14ac:dyDescent="0.2">
      <c r="Q26" s="84"/>
      <c r="R26" s="84"/>
      <c r="S26" s="84"/>
      <c r="T26" s="84"/>
      <c r="U26" s="84"/>
      <c r="V26" s="84"/>
    </row>
    <row r="27" spans="2:22" x14ac:dyDescent="0.2">
      <c r="B27" t="s">
        <v>72</v>
      </c>
      <c r="C27" t="s">
        <v>74</v>
      </c>
      <c r="D27">
        <v>0.80867199999999995</v>
      </c>
      <c r="E27">
        <v>2.9786E-2</v>
      </c>
      <c r="F27" t="s">
        <v>82</v>
      </c>
      <c r="G27">
        <v>0.84434699999999996</v>
      </c>
      <c r="H27">
        <v>2.1999999999999999E-2</v>
      </c>
      <c r="I27" t="s">
        <v>82</v>
      </c>
      <c r="J27">
        <v>1.564057</v>
      </c>
      <c r="K27">
        <v>0.190414</v>
      </c>
      <c r="L27" t="s">
        <v>82</v>
      </c>
      <c r="M27">
        <v>-0.16409000000000001</v>
      </c>
      <c r="N27">
        <v>2.1319999999999999E-2</v>
      </c>
      <c r="O27" s="80" t="s">
        <v>82</v>
      </c>
      <c r="Q27" s="84" t="s">
        <v>72</v>
      </c>
      <c r="R27" s="84" t="s">
        <v>74</v>
      </c>
      <c r="S27" s="84" t="str">
        <f t="shared" si="6"/>
        <v>0.809 (0.03) ***</v>
      </c>
      <c r="T27" s="84" t="str">
        <f t="shared" si="1"/>
        <v>0.844 (0.022) ***</v>
      </c>
      <c r="U27" s="84" t="str">
        <f t="shared" si="2"/>
        <v>1.564 (0.19) ***</v>
      </c>
      <c r="V27" s="84" t="str">
        <f t="shared" si="3"/>
        <v>-0.164 (0.021) ***</v>
      </c>
    </row>
    <row r="28" spans="2:22" x14ac:dyDescent="0.2">
      <c r="C28" t="s">
        <v>76</v>
      </c>
      <c r="D28">
        <v>8.1128000000000006E-2</v>
      </c>
      <c r="E28">
        <v>8.9910000000000007E-3</v>
      </c>
      <c r="F28" t="s">
        <v>82</v>
      </c>
      <c r="G28">
        <v>-1.7402999999999998E-2</v>
      </c>
      <c r="H28">
        <v>7.8139999999999998E-3</v>
      </c>
      <c r="I28" t="s">
        <v>84</v>
      </c>
      <c r="J28">
        <v>4.0689999999999997E-2</v>
      </c>
      <c r="K28">
        <v>3.7818999999999998E-2</v>
      </c>
      <c r="M28">
        <v>-9.4759999999999997E-2</v>
      </c>
      <c r="N28">
        <v>1.0880000000000001E-2</v>
      </c>
      <c r="O28" s="80" t="s">
        <v>82</v>
      </c>
      <c r="Q28" s="84"/>
      <c r="R28" s="84" t="s">
        <v>76</v>
      </c>
      <c r="S28" s="84" t="str">
        <f t="shared" si="6"/>
        <v>0.081 (0.009) ***</v>
      </c>
      <c r="T28" s="84" t="str">
        <f t="shared" si="1"/>
        <v>-0.017 (0.008) *</v>
      </c>
      <c r="U28" s="84" t="str">
        <f t="shared" si="2"/>
        <v xml:space="preserve">0.041 (0.038) </v>
      </c>
      <c r="V28" s="84" t="str">
        <f t="shared" si="3"/>
        <v>-0.095 (0.011) ***</v>
      </c>
    </row>
    <row r="29" spans="2:22" x14ac:dyDescent="0.2">
      <c r="C29" t="s">
        <v>75</v>
      </c>
      <c r="J29">
        <v>-2.6235000000000001E-2</v>
      </c>
      <c r="K29">
        <v>6.4279999999999997E-3</v>
      </c>
      <c r="L29" t="s">
        <v>82</v>
      </c>
      <c r="Q29" s="84"/>
      <c r="R29" s="84" t="s">
        <v>75</v>
      </c>
      <c r="S29" s="84"/>
      <c r="T29" s="84"/>
      <c r="U29" s="85" t="str">
        <f t="shared" si="2"/>
        <v>-0.026 (0.006) ***</v>
      </c>
      <c r="V29" s="84"/>
    </row>
    <row r="31" spans="2:22" x14ac:dyDescent="0.2">
      <c r="B31" t="s">
        <v>79</v>
      </c>
    </row>
  </sheetData>
  <mergeCells count="4">
    <mergeCell ref="B16:N16"/>
    <mergeCell ref="B2:N2"/>
    <mergeCell ref="Q16:V16"/>
    <mergeCell ref="Q2:V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BEEAF-56E5-8347-860E-C228CBA812A8}">
  <dimension ref="A1:K35"/>
  <sheetViews>
    <sheetView workbookViewId="0">
      <selection activeCell="B5" sqref="B5:B7"/>
    </sheetView>
  </sheetViews>
  <sheetFormatPr baseColWidth="10" defaultRowHeight="16" x14ac:dyDescent="0.2"/>
  <cols>
    <col min="2" max="2" width="11.83203125" customWidth="1"/>
    <col min="4" max="4" width="25.1640625" bestFit="1" customWidth="1"/>
    <col min="5" max="5" width="12.6640625" bestFit="1" customWidth="1"/>
    <col min="6" max="6" width="11" bestFit="1" customWidth="1"/>
    <col min="7" max="7" width="10.6640625" customWidth="1"/>
    <col min="9" max="9" width="12" bestFit="1" customWidth="1"/>
    <col min="10" max="10" width="13.83203125" bestFit="1" customWidth="1"/>
  </cols>
  <sheetData>
    <row r="1" spans="1:11" s="9" customFormat="1" ht="47" customHeight="1" thickBot="1" x14ac:dyDescent="0.25">
      <c r="A1" s="40" t="s">
        <v>54</v>
      </c>
      <c r="B1" s="41" t="s">
        <v>55</v>
      </c>
      <c r="C1" s="41" t="s">
        <v>53</v>
      </c>
      <c r="D1" s="41" t="s">
        <v>57</v>
      </c>
      <c r="E1" s="41" t="s">
        <v>52</v>
      </c>
      <c r="F1" s="41" t="s">
        <v>36</v>
      </c>
      <c r="G1" s="42" t="s">
        <v>56</v>
      </c>
      <c r="H1" s="43"/>
    </row>
    <row r="2" spans="1:11" s="4" customFormat="1" x14ac:dyDescent="0.2">
      <c r="A2" s="72" t="s">
        <v>58</v>
      </c>
      <c r="B2" s="76" t="s">
        <v>3</v>
      </c>
      <c r="C2" s="69" t="s">
        <v>10</v>
      </c>
      <c r="D2" s="32" t="s">
        <v>50</v>
      </c>
      <c r="E2" s="10">
        <v>524.45594168543005</v>
      </c>
      <c r="F2" s="16">
        <v>1</v>
      </c>
      <c r="G2" s="29" t="s">
        <v>61</v>
      </c>
      <c r="H2" s="20">
        <v>4.5404682568363502E-116</v>
      </c>
      <c r="I2" s="8" t="s">
        <v>51</v>
      </c>
    </row>
    <row r="3" spans="1:11" s="4" customFormat="1" x14ac:dyDescent="0.2">
      <c r="A3" s="73"/>
      <c r="B3" s="74"/>
      <c r="C3" s="70"/>
      <c r="D3" s="33" t="s">
        <v>49</v>
      </c>
      <c r="E3" s="11">
        <v>26.515618264341501</v>
      </c>
      <c r="F3" s="17">
        <v>2</v>
      </c>
      <c r="G3" s="24" t="s">
        <v>61</v>
      </c>
      <c r="H3" s="21">
        <v>1.74665307089102E-6</v>
      </c>
      <c r="I3"/>
      <c r="J3" s="7" t="s">
        <v>43</v>
      </c>
      <c r="K3" s="7" t="s">
        <v>32</v>
      </c>
    </row>
    <row r="4" spans="1:11" s="4" customFormat="1" ht="17" thickBot="1" x14ac:dyDescent="0.25">
      <c r="A4" s="73"/>
      <c r="B4" s="74"/>
      <c r="C4" s="70"/>
      <c r="D4" s="35" t="s">
        <v>62</v>
      </c>
      <c r="E4" s="14">
        <v>1.7741380674221101</v>
      </c>
      <c r="F4" s="18">
        <v>2</v>
      </c>
      <c r="G4" s="26">
        <v>0.41186113652671802</v>
      </c>
      <c r="H4" s="22">
        <v>0.41186113652671802</v>
      </c>
      <c r="I4" t="s">
        <v>42</v>
      </c>
      <c r="J4" s="6" t="s">
        <v>47</v>
      </c>
      <c r="K4" s="6" t="s">
        <v>3</v>
      </c>
    </row>
    <row r="5" spans="1:11" s="4" customFormat="1" x14ac:dyDescent="0.2">
      <c r="A5" s="73" t="s">
        <v>8</v>
      </c>
      <c r="B5" s="74" t="s">
        <v>11</v>
      </c>
      <c r="C5" s="70" t="s">
        <v>63</v>
      </c>
      <c r="D5" s="36" t="s">
        <v>50</v>
      </c>
      <c r="E5" s="15">
        <v>0.35252027638081102</v>
      </c>
      <c r="F5" s="19">
        <v>1</v>
      </c>
      <c r="G5" s="25">
        <v>0.55268991831347603</v>
      </c>
      <c r="H5" s="23">
        <v>0.55268991831347603</v>
      </c>
      <c r="I5" t="s">
        <v>44</v>
      </c>
      <c r="J5" s="6" t="s">
        <v>48</v>
      </c>
      <c r="K5" s="6"/>
    </row>
    <row r="6" spans="1:11" s="4" customFormat="1" x14ac:dyDescent="0.2">
      <c r="A6" s="73"/>
      <c r="B6" s="74"/>
      <c r="C6" s="70"/>
      <c r="D6" s="33" t="s">
        <v>6</v>
      </c>
      <c r="E6" s="11">
        <v>97.234826974528801</v>
      </c>
      <c r="F6" s="17">
        <v>1</v>
      </c>
      <c r="G6" s="24" t="s">
        <v>61</v>
      </c>
      <c r="H6" s="21">
        <v>6.1574045637317301E-23</v>
      </c>
      <c r="I6" t="s">
        <v>45</v>
      </c>
      <c r="J6" s="6" t="s">
        <v>47</v>
      </c>
      <c r="K6" s="6"/>
    </row>
    <row r="7" spans="1:11" s="4" customFormat="1" ht="17" thickBot="1" x14ac:dyDescent="0.25">
      <c r="A7" s="73"/>
      <c r="B7" s="74"/>
      <c r="C7" s="70"/>
      <c r="D7" s="35" t="s">
        <v>62</v>
      </c>
      <c r="E7" s="14">
        <v>39.111342981543203</v>
      </c>
      <c r="F7" s="18">
        <v>3</v>
      </c>
      <c r="G7" s="28" t="s">
        <v>61</v>
      </c>
      <c r="H7" s="22">
        <v>1.6439086917710601E-8</v>
      </c>
      <c r="I7" t="s">
        <v>46</v>
      </c>
      <c r="J7" s="6" t="s">
        <v>47</v>
      </c>
      <c r="K7" s="6"/>
    </row>
    <row r="8" spans="1:11" s="4" customFormat="1" x14ac:dyDescent="0.2">
      <c r="A8" s="73" t="s">
        <v>59</v>
      </c>
      <c r="B8" s="74" t="s">
        <v>12</v>
      </c>
      <c r="C8" s="70"/>
      <c r="D8" s="36" t="s">
        <v>50</v>
      </c>
      <c r="E8" s="15">
        <v>2872.4103877487</v>
      </c>
      <c r="F8" s="19">
        <v>1</v>
      </c>
      <c r="G8" s="25" t="s">
        <v>61</v>
      </c>
      <c r="H8" s="23">
        <v>0</v>
      </c>
    </row>
    <row r="9" spans="1:11" s="4" customFormat="1" x14ac:dyDescent="0.2">
      <c r="A9" s="73"/>
      <c r="B9" s="74"/>
      <c r="C9" s="70"/>
      <c r="D9" s="33" t="s">
        <v>6</v>
      </c>
      <c r="E9" s="11">
        <v>1374.8223866486101</v>
      </c>
      <c r="F9" s="17">
        <v>1</v>
      </c>
      <c r="G9" s="24" t="s">
        <v>61</v>
      </c>
      <c r="H9" s="21">
        <v>6.21746552161211E-301</v>
      </c>
    </row>
    <row r="10" spans="1:11" s="4" customFormat="1" ht="17" thickBot="1" x14ac:dyDescent="0.25">
      <c r="A10" s="73"/>
      <c r="B10" s="74"/>
      <c r="C10" s="70"/>
      <c r="D10" s="35" t="s">
        <v>62</v>
      </c>
      <c r="E10" s="14">
        <v>10.4742668653591</v>
      </c>
      <c r="F10" s="18">
        <v>3</v>
      </c>
      <c r="G10" s="28">
        <v>1.4936479738363199E-2</v>
      </c>
      <c r="H10" s="22">
        <v>1.4936479738363199E-2</v>
      </c>
    </row>
    <row r="11" spans="1:11" s="4" customFormat="1" x14ac:dyDescent="0.2">
      <c r="A11" s="73" t="s">
        <v>58</v>
      </c>
      <c r="B11" s="74"/>
      <c r="C11" s="70"/>
      <c r="D11" s="36" t="s">
        <v>50</v>
      </c>
      <c r="E11" s="15">
        <v>2770.5576305362902</v>
      </c>
      <c r="F11" s="19">
        <v>1</v>
      </c>
      <c r="G11" s="25" t="s">
        <v>61</v>
      </c>
      <c r="H11" s="23">
        <v>0</v>
      </c>
    </row>
    <row r="12" spans="1:11" s="4" customFormat="1" x14ac:dyDescent="0.2">
      <c r="A12" s="73"/>
      <c r="B12" s="74"/>
      <c r="C12" s="70"/>
      <c r="D12" s="33" t="s">
        <v>6</v>
      </c>
      <c r="E12" s="11">
        <v>1370.95951269636</v>
      </c>
      <c r="F12" s="17">
        <v>1</v>
      </c>
      <c r="G12" s="24" t="s">
        <v>61</v>
      </c>
      <c r="H12" s="21">
        <v>4.29571937488022E-300</v>
      </c>
    </row>
    <row r="13" spans="1:11" s="4" customFormat="1" ht="17" thickBot="1" x14ac:dyDescent="0.25">
      <c r="A13" s="73"/>
      <c r="B13" s="74"/>
      <c r="C13" s="70"/>
      <c r="D13" s="35" t="s">
        <v>62</v>
      </c>
      <c r="E13" s="14">
        <v>21.121519856631899</v>
      </c>
      <c r="F13" s="18">
        <v>4</v>
      </c>
      <c r="G13" s="28">
        <v>2.9957572644237501E-4</v>
      </c>
      <c r="H13" s="22">
        <v>2.9957572644237501E-4</v>
      </c>
    </row>
    <row r="14" spans="1:11" s="4" customFormat="1" x14ac:dyDescent="0.2">
      <c r="A14" s="73" t="s">
        <v>8</v>
      </c>
      <c r="B14" s="74"/>
      <c r="C14" s="70"/>
      <c r="D14" s="36" t="s">
        <v>50</v>
      </c>
      <c r="E14" s="15">
        <v>2805.1164650886499</v>
      </c>
      <c r="F14" s="19">
        <v>1</v>
      </c>
      <c r="G14" s="25" t="s">
        <v>61</v>
      </c>
      <c r="H14" s="23">
        <v>0</v>
      </c>
    </row>
    <row r="15" spans="1:11" s="4" customFormat="1" x14ac:dyDescent="0.2">
      <c r="A15" s="73"/>
      <c r="B15" s="74"/>
      <c r="C15" s="70"/>
      <c r="D15" s="33" t="s">
        <v>6</v>
      </c>
      <c r="E15" s="11">
        <v>1357.2600880606101</v>
      </c>
      <c r="F15" s="17">
        <v>1</v>
      </c>
      <c r="G15" s="24" t="s">
        <v>61</v>
      </c>
      <c r="H15" s="21">
        <v>4.0738567585327699E-297</v>
      </c>
    </row>
    <row r="16" spans="1:11" s="4" customFormat="1" ht="17" thickBot="1" x14ac:dyDescent="0.25">
      <c r="A16" s="73"/>
      <c r="B16" s="74"/>
      <c r="C16" s="70"/>
      <c r="D16" s="35" t="s">
        <v>62</v>
      </c>
      <c r="E16" s="14">
        <v>1.9840534192986099</v>
      </c>
      <c r="F16" s="18">
        <v>3</v>
      </c>
      <c r="G16" s="26">
        <v>0.57572306563768605</v>
      </c>
      <c r="H16" s="22">
        <v>0.57572306563768605</v>
      </c>
    </row>
    <row r="17" spans="1:8" s="4" customFormat="1" x14ac:dyDescent="0.2">
      <c r="A17" s="73" t="s">
        <v>60</v>
      </c>
      <c r="B17" s="74"/>
      <c r="C17" s="70"/>
      <c r="D17" s="36" t="s">
        <v>50</v>
      </c>
      <c r="E17" s="15">
        <v>2810.8728930510702</v>
      </c>
      <c r="F17" s="19">
        <v>1</v>
      </c>
      <c r="G17" s="25" t="s">
        <v>61</v>
      </c>
      <c r="H17" s="23">
        <v>0</v>
      </c>
    </row>
    <row r="18" spans="1:8" s="4" customFormat="1" x14ac:dyDescent="0.2">
      <c r="A18" s="73"/>
      <c r="B18" s="74"/>
      <c r="C18" s="70"/>
      <c r="D18" s="33" t="s">
        <v>6</v>
      </c>
      <c r="E18" s="11">
        <v>1349.7624537464999</v>
      </c>
      <c r="F18" s="17">
        <v>1</v>
      </c>
      <c r="G18" s="24" t="s">
        <v>61</v>
      </c>
      <c r="H18" s="21">
        <v>1.7349919187394899E-295</v>
      </c>
    </row>
    <row r="19" spans="1:8" s="4" customFormat="1" ht="17" thickBot="1" x14ac:dyDescent="0.25">
      <c r="A19" s="73"/>
      <c r="B19" s="74"/>
      <c r="C19" s="70"/>
      <c r="D19" s="35" t="s">
        <v>62</v>
      </c>
      <c r="E19" s="14">
        <v>1.01647501460154</v>
      </c>
      <c r="F19" s="18">
        <v>4</v>
      </c>
      <c r="G19" s="26">
        <v>0.90728763440189597</v>
      </c>
      <c r="H19" s="22">
        <v>0.90728763440189597</v>
      </c>
    </row>
    <row r="20" spans="1:8" s="4" customFormat="1" x14ac:dyDescent="0.2">
      <c r="A20" s="73" t="s">
        <v>59</v>
      </c>
      <c r="B20" s="74" t="s">
        <v>13</v>
      </c>
      <c r="C20" s="70"/>
      <c r="D20" s="36" t="s">
        <v>50</v>
      </c>
      <c r="E20" s="10">
        <v>993.37931948195501</v>
      </c>
      <c r="F20" s="16">
        <v>1</v>
      </c>
      <c r="G20" s="29" t="s">
        <v>61</v>
      </c>
      <c r="H20" s="20">
        <v>4.9359183411887004E-218</v>
      </c>
    </row>
    <row r="21" spans="1:8" s="4" customFormat="1" x14ac:dyDescent="0.2">
      <c r="A21" s="73"/>
      <c r="B21" s="74"/>
      <c r="C21" s="70"/>
      <c r="D21" s="33" t="s">
        <v>6</v>
      </c>
      <c r="E21" s="11">
        <v>186.01256926129099</v>
      </c>
      <c r="F21" s="17">
        <v>1</v>
      </c>
      <c r="G21" s="24" t="s">
        <v>61</v>
      </c>
      <c r="H21" s="21">
        <v>2.3591118761285099E-42</v>
      </c>
    </row>
    <row r="22" spans="1:8" s="4" customFormat="1" x14ac:dyDescent="0.2">
      <c r="A22" s="73"/>
      <c r="B22" s="74"/>
      <c r="C22" s="70"/>
      <c r="D22" s="33" t="s">
        <v>62</v>
      </c>
      <c r="E22" s="38">
        <v>13.7759024151218</v>
      </c>
      <c r="F22" s="39">
        <v>3</v>
      </c>
      <c r="G22" s="30">
        <v>3.2266145360817502E-3</v>
      </c>
      <c r="H22" s="27">
        <v>3.2266145360817502E-3</v>
      </c>
    </row>
    <row r="23" spans="1:8" s="4" customFormat="1" ht="17" thickBot="1" x14ac:dyDescent="0.25">
      <c r="A23" s="73"/>
      <c r="B23" s="74"/>
      <c r="C23" s="70"/>
      <c r="D23" s="37" t="s">
        <v>14</v>
      </c>
      <c r="E23" s="14">
        <v>16.923663354455002</v>
      </c>
      <c r="F23" s="18">
        <v>1</v>
      </c>
      <c r="G23" s="26" t="s">
        <v>61</v>
      </c>
      <c r="H23" s="22">
        <v>3.8913451800605003E-5</v>
      </c>
    </row>
    <row r="24" spans="1:8" s="4" customFormat="1" x14ac:dyDescent="0.2">
      <c r="A24" s="73" t="s">
        <v>58</v>
      </c>
      <c r="B24" s="74"/>
      <c r="C24" s="70"/>
      <c r="D24" s="32" t="s">
        <v>50</v>
      </c>
      <c r="E24" s="31">
        <v>892.90135785107202</v>
      </c>
      <c r="F24" s="19">
        <v>1</v>
      </c>
      <c r="G24" s="25" t="s">
        <v>61</v>
      </c>
      <c r="H24" s="23">
        <v>3.4275751780307598E-196</v>
      </c>
    </row>
    <row r="25" spans="1:8" s="4" customFormat="1" x14ac:dyDescent="0.2">
      <c r="A25" s="73"/>
      <c r="B25" s="74"/>
      <c r="C25" s="70"/>
      <c r="D25" s="33" t="s">
        <v>6</v>
      </c>
      <c r="E25" s="12">
        <v>180.805075919366</v>
      </c>
      <c r="F25" s="17">
        <v>1</v>
      </c>
      <c r="G25" s="24" t="s">
        <v>61</v>
      </c>
      <c r="H25" s="21">
        <v>3.2332679917935E-41</v>
      </c>
    </row>
    <row r="26" spans="1:8" s="4" customFormat="1" x14ac:dyDescent="0.2">
      <c r="A26" s="73"/>
      <c r="B26" s="74"/>
      <c r="C26" s="70"/>
      <c r="D26" s="34" t="s">
        <v>62</v>
      </c>
      <c r="E26" s="12">
        <v>0.364611395997813</v>
      </c>
      <c r="F26" s="17">
        <v>2</v>
      </c>
      <c r="G26" s="24">
        <v>0.83334654910066597</v>
      </c>
      <c r="H26" s="21">
        <v>0.83334654910066597</v>
      </c>
    </row>
    <row r="27" spans="1:8" s="4" customFormat="1" ht="17" thickBot="1" x14ac:dyDescent="0.25">
      <c r="A27" s="73"/>
      <c r="B27" s="74"/>
      <c r="C27" s="70"/>
      <c r="D27" s="35" t="s">
        <v>14</v>
      </c>
      <c r="E27" s="13">
        <v>19.955690515711701</v>
      </c>
      <c r="F27" s="18">
        <v>1</v>
      </c>
      <c r="G27" s="26" t="s">
        <v>61</v>
      </c>
      <c r="H27" s="22">
        <v>7.9257714665042108E-6</v>
      </c>
    </row>
    <row r="28" spans="1:8" s="4" customFormat="1" x14ac:dyDescent="0.2">
      <c r="A28" s="73" t="s">
        <v>8</v>
      </c>
      <c r="B28" s="74"/>
      <c r="C28" s="70"/>
      <c r="D28" s="32" t="s">
        <v>50</v>
      </c>
      <c r="E28" s="31">
        <v>894.15646796556996</v>
      </c>
      <c r="F28" s="19">
        <v>1</v>
      </c>
      <c r="G28" s="25" t="s">
        <v>61</v>
      </c>
      <c r="H28" s="23">
        <v>1.8286852000422501E-196</v>
      </c>
    </row>
    <row r="29" spans="1:8" s="4" customFormat="1" x14ac:dyDescent="0.2">
      <c r="A29" s="73"/>
      <c r="B29" s="74"/>
      <c r="C29" s="70"/>
      <c r="D29" s="33" t="s">
        <v>6</v>
      </c>
      <c r="E29" s="12">
        <v>177.94975124336401</v>
      </c>
      <c r="F29" s="17">
        <v>1</v>
      </c>
      <c r="G29" s="24" t="s">
        <v>61</v>
      </c>
      <c r="H29" s="21">
        <v>1.3585845941920599E-40</v>
      </c>
    </row>
    <row r="30" spans="1:8" s="4" customFormat="1" x14ac:dyDescent="0.2">
      <c r="A30" s="73"/>
      <c r="B30" s="74"/>
      <c r="C30" s="70"/>
      <c r="D30" s="33" t="s">
        <v>62</v>
      </c>
      <c r="E30" s="12">
        <v>1.71666784231765</v>
      </c>
      <c r="F30" s="17">
        <v>3</v>
      </c>
      <c r="G30" s="24">
        <v>0.63323453282499498</v>
      </c>
      <c r="H30" s="21">
        <v>0.63323453282499498</v>
      </c>
    </row>
    <row r="31" spans="1:8" s="4" customFormat="1" ht="17" thickBot="1" x14ac:dyDescent="0.25">
      <c r="A31" s="73"/>
      <c r="B31" s="74"/>
      <c r="C31" s="70"/>
      <c r="D31" s="35" t="s">
        <v>14</v>
      </c>
      <c r="E31" s="13">
        <v>19.972166163846499</v>
      </c>
      <c r="F31" s="18">
        <v>1</v>
      </c>
      <c r="G31" s="26" t="s">
        <v>61</v>
      </c>
      <c r="H31" s="22">
        <v>7.8577698908667496E-6</v>
      </c>
    </row>
    <row r="32" spans="1:8" s="4" customFormat="1" x14ac:dyDescent="0.2">
      <c r="A32" s="73" t="s">
        <v>60</v>
      </c>
      <c r="B32" s="74"/>
      <c r="C32" s="70"/>
      <c r="D32" s="32" t="s">
        <v>50</v>
      </c>
      <c r="E32" s="31">
        <v>1013.62879138711</v>
      </c>
      <c r="F32" s="19">
        <v>1</v>
      </c>
      <c r="G32" s="25" t="s">
        <v>61</v>
      </c>
      <c r="H32" s="23">
        <v>1.9582935350914199E-222</v>
      </c>
    </row>
    <row r="33" spans="1:8" s="4" customFormat="1" x14ac:dyDescent="0.2">
      <c r="A33" s="73"/>
      <c r="B33" s="74"/>
      <c r="C33" s="70"/>
      <c r="D33" s="33" t="s">
        <v>6</v>
      </c>
      <c r="E33" s="12">
        <v>186.039159002134</v>
      </c>
      <c r="F33" s="17">
        <v>1</v>
      </c>
      <c r="G33" s="24" t="s">
        <v>61</v>
      </c>
      <c r="H33" s="21">
        <v>2.3277907335654199E-42</v>
      </c>
    </row>
    <row r="34" spans="1:8" s="4" customFormat="1" x14ac:dyDescent="0.2">
      <c r="A34" s="73"/>
      <c r="B34" s="74"/>
      <c r="C34" s="70"/>
      <c r="D34" s="33" t="s">
        <v>62</v>
      </c>
      <c r="E34" s="12">
        <v>8.7698547258539197</v>
      </c>
      <c r="F34" s="17">
        <v>4</v>
      </c>
      <c r="G34" s="24">
        <v>6.7116622313608598E-2</v>
      </c>
      <c r="H34" s="21">
        <v>6.7116622313608598E-2</v>
      </c>
    </row>
    <row r="35" spans="1:8" s="4" customFormat="1" ht="17" thickBot="1" x14ac:dyDescent="0.25">
      <c r="A35" s="77"/>
      <c r="B35" s="75"/>
      <c r="C35" s="71"/>
      <c r="D35" s="35" t="s">
        <v>14</v>
      </c>
      <c r="E35" s="13">
        <v>17.301906968771799</v>
      </c>
      <c r="F35" s="18">
        <v>1</v>
      </c>
      <c r="G35" s="26" t="s">
        <v>61</v>
      </c>
      <c r="H35" s="22">
        <v>3.1886669413129799E-5</v>
      </c>
    </row>
  </sheetData>
  <mergeCells count="16">
    <mergeCell ref="C2:C4"/>
    <mergeCell ref="C5:C35"/>
    <mergeCell ref="A2:A4"/>
    <mergeCell ref="A5:A7"/>
    <mergeCell ref="A8:A10"/>
    <mergeCell ref="A11:A13"/>
    <mergeCell ref="A14:A16"/>
    <mergeCell ref="A17:A19"/>
    <mergeCell ref="B20:B35"/>
    <mergeCell ref="B8:B19"/>
    <mergeCell ref="B5:B7"/>
    <mergeCell ref="B2:B4"/>
    <mergeCell ref="A20:A23"/>
    <mergeCell ref="A24:A27"/>
    <mergeCell ref="A28:A31"/>
    <mergeCell ref="A32:A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1559-BDF0-9B49-9ED9-E6A711315C29}">
  <dimension ref="A1:O65"/>
  <sheetViews>
    <sheetView workbookViewId="0">
      <selection activeCell="J10" sqref="J10"/>
    </sheetView>
  </sheetViews>
  <sheetFormatPr baseColWidth="10" defaultRowHeight="16" x14ac:dyDescent="0.2"/>
  <cols>
    <col min="4" max="4" width="13.6640625" bestFit="1" customWidth="1"/>
    <col min="9" max="9" width="12" bestFit="1" customWidth="1"/>
    <col min="10" max="10" width="15.1640625" customWidth="1"/>
    <col min="11" max="11" width="13.83203125" bestFit="1" customWidth="1"/>
    <col min="13" max="13" width="16.5" customWidth="1"/>
    <col min="14" max="14" width="14.6640625" customWidth="1"/>
  </cols>
  <sheetData>
    <row r="1" spans="1:15" x14ac:dyDescent="0.2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</row>
    <row r="2" spans="1:15" x14ac:dyDescent="0.2">
      <c r="A2" s="4">
        <v>11</v>
      </c>
      <c r="B2" s="4">
        <v>973.05951132804501</v>
      </c>
      <c r="C2" s="58">
        <v>0</v>
      </c>
      <c r="D2" s="57" t="s">
        <v>41</v>
      </c>
      <c r="E2" s="4" t="s">
        <v>3</v>
      </c>
      <c r="F2" s="4" t="s">
        <v>4</v>
      </c>
      <c r="G2" s="4" t="s">
        <v>5</v>
      </c>
    </row>
    <row r="3" spans="1:15" s="45" customFormat="1" ht="17" thickBot="1" x14ac:dyDescent="0.25">
      <c r="A3" s="5">
        <v>8</v>
      </c>
      <c r="B3" s="5">
        <v>982.41311213496294</v>
      </c>
      <c r="C3" s="59">
        <v>9.3536000000000001</v>
      </c>
      <c r="D3" s="5" t="s">
        <v>40</v>
      </c>
      <c r="E3" s="5" t="s">
        <v>3</v>
      </c>
      <c r="F3" s="5" t="s">
        <v>4</v>
      </c>
      <c r="G3" s="5" t="s">
        <v>5</v>
      </c>
      <c r="J3" s="55" t="s">
        <v>65</v>
      </c>
      <c r="M3" s="55" t="s">
        <v>66</v>
      </c>
    </row>
    <row r="4" spans="1:15" x14ac:dyDescent="0.2">
      <c r="A4">
        <v>8</v>
      </c>
      <c r="B4">
        <v>982.41311213496294</v>
      </c>
      <c r="C4">
        <v>0</v>
      </c>
      <c r="D4" s="44" t="s">
        <v>40</v>
      </c>
      <c r="E4" t="s">
        <v>3</v>
      </c>
      <c r="F4" t="s">
        <v>4</v>
      </c>
      <c r="G4" t="s">
        <v>7</v>
      </c>
      <c r="J4" s="60"/>
      <c r="K4" s="61" t="s">
        <v>43</v>
      </c>
      <c r="L4" s="62" t="s">
        <v>32</v>
      </c>
      <c r="M4" s="63"/>
      <c r="N4" s="64" t="s">
        <v>43</v>
      </c>
      <c r="O4" s="65" t="s">
        <v>32</v>
      </c>
    </row>
    <row r="5" spans="1:15" s="45" customFormat="1" x14ac:dyDescent="0.2">
      <c r="A5" s="45">
        <v>10</v>
      </c>
      <c r="B5" s="45">
        <v>983.63622052931498</v>
      </c>
      <c r="C5" s="45">
        <v>1.2231099999999999</v>
      </c>
      <c r="D5" s="45" t="s">
        <v>41</v>
      </c>
      <c r="E5" s="45" t="s">
        <v>3</v>
      </c>
      <c r="F5" s="45" t="s">
        <v>4</v>
      </c>
      <c r="G5" s="45" t="s">
        <v>7</v>
      </c>
      <c r="J5" s="49" t="s">
        <v>42</v>
      </c>
      <c r="K5" s="6" t="s">
        <v>11</v>
      </c>
      <c r="L5" s="50" t="s">
        <v>3</v>
      </c>
      <c r="M5" s="49" t="s">
        <v>42</v>
      </c>
      <c r="N5" s="6" t="s">
        <v>47</v>
      </c>
      <c r="O5" s="50"/>
    </row>
    <row r="6" spans="1:15" x14ac:dyDescent="0.2">
      <c r="A6">
        <v>8</v>
      </c>
      <c r="B6">
        <v>982.41311213496294</v>
      </c>
      <c r="C6">
        <v>0</v>
      </c>
      <c r="D6" s="44" t="s">
        <v>40</v>
      </c>
      <c r="E6" t="s">
        <v>3</v>
      </c>
      <c r="F6" t="s">
        <v>4</v>
      </c>
      <c r="G6" t="s">
        <v>8</v>
      </c>
      <c r="J6" s="49" t="s">
        <v>44</v>
      </c>
      <c r="K6" s="6" t="s">
        <v>67</v>
      </c>
      <c r="L6" s="50"/>
      <c r="M6" s="49" t="s">
        <v>44</v>
      </c>
      <c r="N6" s="6" t="s">
        <v>12</v>
      </c>
      <c r="O6" s="50"/>
    </row>
    <row r="7" spans="1:15" s="45" customFormat="1" x14ac:dyDescent="0.2">
      <c r="A7" s="45">
        <v>11</v>
      </c>
      <c r="B7" s="45">
        <v>991.58577450596704</v>
      </c>
      <c r="C7" s="45">
        <v>9.1726600000000005</v>
      </c>
      <c r="D7" s="45" t="s">
        <v>41</v>
      </c>
      <c r="E7" s="45" t="s">
        <v>3</v>
      </c>
      <c r="F7" s="45" t="s">
        <v>4</v>
      </c>
      <c r="G7" s="45" t="s">
        <v>8</v>
      </c>
      <c r="J7" s="49" t="s">
        <v>45</v>
      </c>
      <c r="K7" s="6" t="s">
        <v>47</v>
      </c>
      <c r="L7" s="50"/>
      <c r="M7" s="49" t="s">
        <v>45</v>
      </c>
      <c r="N7" s="6"/>
      <c r="O7" s="50"/>
    </row>
    <row r="8" spans="1:15" ht="17" thickBot="1" x14ac:dyDescent="0.25">
      <c r="A8">
        <v>8</v>
      </c>
      <c r="B8">
        <v>982.41311213496294</v>
      </c>
      <c r="C8">
        <v>0</v>
      </c>
      <c r="D8" s="44" t="s">
        <v>40</v>
      </c>
      <c r="E8" t="s">
        <v>3</v>
      </c>
      <c r="F8" t="s">
        <v>4</v>
      </c>
      <c r="G8" t="s">
        <v>9</v>
      </c>
      <c r="I8" t="s">
        <v>5</v>
      </c>
      <c r="J8" s="51" t="s">
        <v>46</v>
      </c>
      <c r="K8" s="52" t="s">
        <v>11</v>
      </c>
      <c r="L8" s="53"/>
      <c r="M8" s="51" t="s">
        <v>46</v>
      </c>
      <c r="N8" s="52" t="s">
        <v>68</v>
      </c>
      <c r="O8" s="53"/>
    </row>
    <row r="9" spans="1:15" s="45" customFormat="1" x14ac:dyDescent="0.2">
      <c r="A9" s="45">
        <v>12</v>
      </c>
      <c r="B9" s="45">
        <v>996.99778381932197</v>
      </c>
      <c r="C9" s="45">
        <v>14.584669999999999</v>
      </c>
      <c r="D9" s="45" t="s">
        <v>41</v>
      </c>
      <c r="E9" s="45" t="s">
        <v>3</v>
      </c>
      <c r="F9" s="45" t="s">
        <v>4</v>
      </c>
      <c r="G9" s="45" t="s">
        <v>9</v>
      </c>
    </row>
    <row r="10" spans="1:15" x14ac:dyDescent="0.2">
      <c r="A10">
        <v>8</v>
      </c>
      <c r="B10">
        <v>980.35033275221303</v>
      </c>
      <c r="C10">
        <v>0</v>
      </c>
      <c r="D10" s="44" t="s">
        <v>40</v>
      </c>
      <c r="E10" t="s">
        <v>3</v>
      </c>
      <c r="F10" t="s">
        <v>10</v>
      </c>
      <c r="G10" t="s">
        <v>5</v>
      </c>
    </row>
    <row r="11" spans="1:15" s="45" customFormat="1" ht="17" thickBot="1" x14ac:dyDescent="0.25">
      <c r="A11" s="45">
        <v>11</v>
      </c>
      <c r="B11" s="45">
        <v>982.79235368459399</v>
      </c>
      <c r="C11" s="45">
        <v>2.4420199999999999</v>
      </c>
      <c r="D11" s="45" t="s">
        <v>41</v>
      </c>
      <c r="E11" s="45" t="s">
        <v>3</v>
      </c>
      <c r="F11" s="45" t="s">
        <v>10</v>
      </c>
      <c r="G11" s="45" t="s">
        <v>5</v>
      </c>
      <c r="J11" s="54" t="s">
        <v>64</v>
      </c>
      <c r="K11"/>
      <c r="L11"/>
    </row>
    <row r="12" spans="1:15" x14ac:dyDescent="0.2">
      <c r="A12" s="4">
        <v>10</v>
      </c>
      <c r="B12" s="4">
        <v>980.17748153122</v>
      </c>
      <c r="C12" s="66">
        <v>0</v>
      </c>
      <c r="D12" s="4" t="s">
        <v>41</v>
      </c>
      <c r="E12" s="4" t="s">
        <v>3</v>
      </c>
      <c r="F12" s="4" t="s">
        <v>10</v>
      </c>
      <c r="G12" s="4" t="s">
        <v>7</v>
      </c>
      <c r="J12" s="46"/>
      <c r="K12" s="47" t="s">
        <v>43</v>
      </c>
      <c r="L12" s="48" t="s">
        <v>32</v>
      </c>
    </row>
    <row r="13" spans="1:15" s="45" customFormat="1" x14ac:dyDescent="0.2">
      <c r="A13" s="5">
        <v>8</v>
      </c>
      <c r="B13" s="5">
        <v>980.35033275221303</v>
      </c>
      <c r="C13" s="67">
        <v>0.17285</v>
      </c>
      <c r="D13" s="5" t="s">
        <v>40</v>
      </c>
      <c r="E13" s="5" t="s">
        <v>3</v>
      </c>
      <c r="F13" s="5" t="s">
        <v>10</v>
      </c>
      <c r="G13" s="5" t="s">
        <v>7</v>
      </c>
      <c r="J13" s="49" t="s">
        <v>42</v>
      </c>
      <c r="K13" s="6" t="s">
        <v>47</v>
      </c>
      <c r="L13" s="50" t="s">
        <v>3</v>
      </c>
    </row>
    <row r="14" spans="1:15" x14ac:dyDescent="0.2">
      <c r="A14">
        <v>8</v>
      </c>
      <c r="B14">
        <v>980.35033275221303</v>
      </c>
      <c r="C14">
        <v>0</v>
      </c>
      <c r="D14" s="44" t="s">
        <v>40</v>
      </c>
      <c r="E14" t="s">
        <v>3</v>
      </c>
      <c r="F14" t="s">
        <v>10</v>
      </c>
      <c r="G14" t="s">
        <v>8</v>
      </c>
      <c r="J14" s="49" t="s">
        <v>44</v>
      </c>
      <c r="K14" s="6" t="s">
        <v>48</v>
      </c>
      <c r="L14" s="50"/>
    </row>
    <row r="15" spans="1:15" s="45" customFormat="1" x14ac:dyDescent="0.2">
      <c r="A15" s="45">
        <v>11</v>
      </c>
      <c r="B15" s="45">
        <v>983.64743305425304</v>
      </c>
      <c r="C15" s="45">
        <v>3.2970999999999999</v>
      </c>
      <c r="D15" s="45" t="s">
        <v>41</v>
      </c>
      <c r="E15" s="45" t="s">
        <v>3</v>
      </c>
      <c r="F15" s="45" t="s">
        <v>10</v>
      </c>
      <c r="G15" s="45" t="s">
        <v>8</v>
      </c>
      <c r="J15" s="49" t="s">
        <v>45</v>
      </c>
      <c r="K15" s="6" t="s">
        <v>47</v>
      </c>
      <c r="L15" s="50"/>
    </row>
    <row r="16" spans="1:15" ht="17" thickBot="1" x14ac:dyDescent="0.25">
      <c r="A16">
        <v>8</v>
      </c>
      <c r="B16">
        <v>980.35033275221303</v>
      </c>
      <c r="C16">
        <v>0</v>
      </c>
      <c r="D16" s="44" t="s">
        <v>40</v>
      </c>
      <c r="E16" t="s">
        <v>3</v>
      </c>
      <c r="F16" t="s">
        <v>10</v>
      </c>
      <c r="G16" t="s">
        <v>9</v>
      </c>
      <c r="J16" s="51" t="s">
        <v>46</v>
      </c>
      <c r="K16" s="52" t="s">
        <v>47</v>
      </c>
      <c r="L16" s="53"/>
    </row>
    <row r="17" spans="1:7" s="45" customFormat="1" x14ac:dyDescent="0.2">
      <c r="A17" s="45">
        <v>12</v>
      </c>
      <c r="B17" s="45">
        <v>996.08593955010201</v>
      </c>
      <c r="C17" s="45">
        <v>15.735609999999999</v>
      </c>
      <c r="D17" s="45" t="s">
        <v>41</v>
      </c>
      <c r="E17" s="45" t="s">
        <v>3</v>
      </c>
      <c r="F17" s="45" t="s">
        <v>10</v>
      </c>
      <c r="G17" s="45" t="s">
        <v>9</v>
      </c>
    </row>
    <row r="18" spans="1:7" x14ac:dyDescent="0.2">
      <c r="A18" s="4">
        <v>11</v>
      </c>
      <c r="B18" s="4">
        <v>1306.57011590707</v>
      </c>
      <c r="C18" s="66">
        <v>0</v>
      </c>
      <c r="D18" s="56" t="s">
        <v>41</v>
      </c>
      <c r="E18" s="4" t="s">
        <v>11</v>
      </c>
      <c r="F18" s="4" t="s">
        <v>4</v>
      </c>
      <c r="G18" s="4" t="s">
        <v>5</v>
      </c>
    </row>
    <row r="19" spans="1:7" s="45" customFormat="1" x14ac:dyDescent="0.2">
      <c r="A19" s="5">
        <v>8</v>
      </c>
      <c r="B19" s="5">
        <v>1307.62016643065</v>
      </c>
      <c r="C19" s="67">
        <v>1.0500499999999999</v>
      </c>
      <c r="D19" s="5" t="s">
        <v>40</v>
      </c>
      <c r="E19" s="5" t="s">
        <v>11</v>
      </c>
      <c r="F19" s="5" t="s">
        <v>4</v>
      </c>
      <c r="G19" s="5" t="s">
        <v>5</v>
      </c>
    </row>
    <row r="20" spans="1:7" x14ac:dyDescent="0.2">
      <c r="A20" s="4">
        <v>10</v>
      </c>
      <c r="B20" s="4">
        <v>1304.2954624496199</v>
      </c>
      <c r="C20" s="66">
        <v>0</v>
      </c>
      <c r="D20" s="56" t="s">
        <v>41</v>
      </c>
      <c r="E20" s="4" t="s">
        <v>11</v>
      </c>
      <c r="F20" s="4" t="s">
        <v>4</v>
      </c>
      <c r="G20" s="4" t="s">
        <v>7</v>
      </c>
    </row>
    <row r="21" spans="1:7" s="45" customFormat="1" x14ac:dyDescent="0.2">
      <c r="A21" s="5">
        <v>8</v>
      </c>
      <c r="B21" s="5">
        <v>1307.62016643065</v>
      </c>
      <c r="C21" s="67">
        <v>3.3247</v>
      </c>
      <c r="D21" s="5" t="s">
        <v>40</v>
      </c>
      <c r="E21" s="5" t="s">
        <v>11</v>
      </c>
      <c r="F21" s="5" t="s">
        <v>4</v>
      </c>
      <c r="G21" s="5" t="s">
        <v>7</v>
      </c>
    </row>
    <row r="22" spans="1:7" x14ac:dyDescent="0.2">
      <c r="A22" s="4">
        <v>11</v>
      </c>
      <c r="B22" s="4">
        <v>1302.2470979355101</v>
      </c>
      <c r="C22" s="66">
        <v>0</v>
      </c>
      <c r="D22" s="4" t="s">
        <v>41</v>
      </c>
      <c r="E22" s="4" t="s">
        <v>11</v>
      </c>
      <c r="F22" s="4" t="s">
        <v>4</v>
      </c>
      <c r="G22" s="4" t="s">
        <v>8</v>
      </c>
    </row>
    <row r="23" spans="1:7" s="45" customFormat="1" x14ac:dyDescent="0.2">
      <c r="A23" s="5">
        <v>8</v>
      </c>
      <c r="B23" s="5">
        <v>1307.62016643065</v>
      </c>
      <c r="C23" s="67">
        <v>5.3730700000000002</v>
      </c>
      <c r="D23" s="5" t="s">
        <v>40</v>
      </c>
      <c r="E23" s="5" t="s">
        <v>11</v>
      </c>
      <c r="F23" s="5" t="s">
        <v>4</v>
      </c>
      <c r="G23" s="5" t="s">
        <v>8</v>
      </c>
    </row>
    <row r="24" spans="1:7" x14ac:dyDescent="0.2">
      <c r="A24">
        <v>8</v>
      </c>
      <c r="B24">
        <v>1307.62016643065</v>
      </c>
      <c r="C24">
        <v>0</v>
      </c>
      <c r="D24" s="44" t="s">
        <v>40</v>
      </c>
      <c r="E24" t="s">
        <v>11</v>
      </c>
      <c r="F24" t="s">
        <v>4</v>
      </c>
      <c r="G24" t="s">
        <v>9</v>
      </c>
    </row>
    <row r="25" spans="1:7" s="45" customFormat="1" x14ac:dyDescent="0.2">
      <c r="A25" s="45">
        <v>12</v>
      </c>
      <c r="B25" s="45">
        <v>1312.1690933806799</v>
      </c>
      <c r="C25" s="45">
        <v>4.5489300000000004</v>
      </c>
      <c r="D25" s="45" t="s">
        <v>41</v>
      </c>
      <c r="E25" s="45" t="s">
        <v>11</v>
      </c>
      <c r="F25" s="45" t="s">
        <v>4</v>
      </c>
      <c r="G25" s="45" t="s">
        <v>9</v>
      </c>
    </row>
    <row r="26" spans="1:7" x14ac:dyDescent="0.2">
      <c r="A26">
        <v>7</v>
      </c>
      <c r="B26">
        <v>463.29983386670699</v>
      </c>
      <c r="C26">
        <v>0</v>
      </c>
      <c r="D26" s="44" t="s">
        <v>40</v>
      </c>
      <c r="E26" t="s">
        <v>11</v>
      </c>
      <c r="F26" t="s">
        <v>10</v>
      </c>
      <c r="G26" t="s">
        <v>5</v>
      </c>
    </row>
    <row r="27" spans="1:7" s="45" customFormat="1" x14ac:dyDescent="0.2">
      <c r="A27" s="45">
        <v>10</v>
      </c>
      <c r="B27" s="45">
        <v>469.35962879800002</v>
      </c>
      <c r="C27" s="45">
        <v>6.0597899999999996</v>
      </c>
      <c r="D27" s="45" t="s">
        <v>41</v>
      </c>
      <c r="E27" s="45" t="s">
        <v>11</v>
      </c>
      <c r="F27" s="45" t="s">
        <v>10</v>
      </c>
      <c r="G27" s="45" t="s">
        <v>5</v>
      </c>
    </row>
    <row r="28" spans="1:7" x14ac:dyDescent="0.2">
      <c r="A28">
        <v>7</v>
      </c>
      <c r="B28">
        <v>463.29983386670699</v>
      </c>
      <c r="C28">
        <v>0</v>
      </c>
      <c r="D28" s="44" t="s">
        <v>40</v>
      </c>
      <c r="E28" t="s">
        <v>11</v>
      </c>
      <c r="F28" t="s">
        <v>10</v>
      </c>
      <c r="G28" t="s">
        <v>7</v>
      </c>
    </row>
    <row r="29" spans="1:7" s="45" customFormat="1" x14ac:dyDescent="0.2">
      <c r="A29" s="45">
        <v>9</v>
      </c>
      <c r="B29" s="45">
        <v>474.81621373619203</v>
      </c>
      <c r="C29" s="45">
        <v>11.51638</v>
      </c>
      <c r="D29" s="45" t="s">
        <v>41</v>
      </c>
      <c r="E29" s="45" t="s">
        <v>11</v>
      </c>
      <c r="F29" s="45" t="s">
        <v>10</v>
      </c>
      <c r="G29" s="45" t="s">
        <v>7</v>
      </c>
    </row>
    <row r="30" spans="1:7" x14ac:dyDescent="0.2">
      <c r="A30">
        <v>7</v>
      </c>
      <c r="B30">
        <v>463.29983386670699</v>
      </c>
      <c r="C30">
        <v>0</v>
      </c>
      <c r="D30" s="44" t="s">
        <v>40</v>
      </c>
      <c r="E30" t="s">
        <v>11</v>
      </c>
      <c r="F30" t="s">
        <v>10</v>
      </c>
      <c r="G30" t="s">
        <v>8</v>
      </c>
    </row>
    <row r="31" spans="1:7" s="45" customFormat="1" x14ac:dyDescent="0.2">
      <c r="A31" s="45">
        <v>10</v>
      </c>
      <c r="B31" s="45">
        <v>469.18734768978999</v>
      </c>
      <c r="C31" s="45">
        <v>5.8875099999999998</v>
      </c>
      <c r="D31" s="45" t="s">
        <v>41</v>
      </c>
      <c r="E31" s="45" t="s">
        <v>11</v>
      </c>
      <c r="F31" s="45" t="s">
        <v>10</v>
      </c>
      <c r="G31" s="45" t="s">
        <v>8</v>
      </c>
    </row>
    <row r="32" spans="1:7" x14ac:dyDescent="0.2">
      <c r="A32">
        <v>7</v>
      </c>
      <c r="B32">
        <v>463.29983386670699</v>
      </c>
      <c r="C32">
        <v>0</v>
      </c>
      <c r="D32" s="44" t="s">
        <v>40</v>
      </c>
      <c r="E32" t="s">
        <v>11</v>
      </c>
      <c r="F32" t="s">
        <v>10</v>
      </c>
      <c r="G32" t="s">
        <v>9</v>
      </c>
    </row>
    <row r="33" spans="1:7" s="45" customFormat="1" x14ac:dyDescent="0.2">
      <c r="A33" s="45">
        <v>11</v>
      </c>
      <c r="B33" s="45">
        <v>487.28690781829403</v>
      </c>
      <c r="C33" s="45">
        <v>23.987069999999999</v>
      </c>
      <c r="D33" s="45" t="s">
        <v>41</v>
      </c>
      <c r="E33" s="45" t="s">
        <v>11</v>
      </c>
      <c r="F33" s="45" t="s">
        <v>10</v>
      </c>
      <c r="G33" s="45" t="s">
        <v>9</v>
      </c>
    </row>
    <row r="34" spans="1:7" x14ac:dyDescent="0.2">
      <c r="A34" s="4">
        <v>11</v>
      </c>
      <c r="B34" s="4">
        <v>1789.9526497843001</v>
      </c>
      <c r="C34" s="58">
        <v>0</v>
      </c>
      <c r="D34" s="68" t="s">
        <v>41</v>
      </c>
      <c r="E34" s="4" t="s">
        <v>12</v>
      </c>
      <c r="F34" s="4" t="s">
        <v>4</v>
      </c>
      <c r="G34" s="4" t="s">
        <v>5</v>
      </c>
    </row>
    <row r="35" spans="1:7" s="45" customFormat="1" x14ac:dyDescent="0.2">
      <c r="A35" s="5">
        <v>8</v>
      </c>
      <c r="B35" s="5">
        <v>1800.61415122567</v>
      </c>
      <c r="C35" s="59">
        <v>10.6615</v>
      </c>
      <c r="D35" s="5" t="s">
        <v>40</v>
      </c>
      <c r="E35" s="5" t="s">
        <v>12</v>
      </c>
      <c r="F35" s="5" t="s">
        <v>4</v>
      </c>
      <c r="G35" s="5" t="s">
        <v>5</v>
      </c>
    </row>
    <row r="36" spans="1:7" x14ac:dyDescent="0.2">
      <c r="A36" s="4">
        <v>11</v>
      </c>
      <c r="B36" s="4">
        <v>1783.79375908213</v>
      </c>
      <c r="C36" s="58">
        <v>0</v>
      </c>
      <c r="D36" s="4" t="s">
        <v>41</v>
      </c>
      <c r="E36" s="4" t="s">
        <v>12</v>
      </c>
      <c r="F36" s="4" t="s">
        <v>4</v>
      </c>
      <c r="G36" s="4" t="s">
        <v>7</v>
      </c>
    </row>
    <row r="37" spans="1:7" s="45" customFormat="1" x14ac:dyDescent="0.2">
      <c r="A37" s="5">
        <v>8</v>
      </c>
      <c r="B37" s="5">
        <v>1800.61415122567</v>
      </c>
      <c r="C37" s="59">
        <v>16.82039</v>
      </c>
      <c r="D37" s="5" t="s">
        <v>40</v>
      </c>
      <c r="E37" s="5" t="s">
        <v>12</v>
      </c>
      <c r="F37" s="5" t="s">
        <v>4</v>
      </c>
      <c r="G37" s="5" t="s">
        <v>7</v>
      </c>
    </row>
    <row r="38" spans="1:7" x14ac:dyDescent="0.2">
      <c r="A38" s="4">
        <v>11</v>
      </c>
      <c r="B38" s="4">
        <v>1783.12647673333</v>
      </c>
      <c r="C38" s="58">
        <v>0</v>
      </c>
      <c r="D38" s="4" t="s">
        <v>41</v>
      </c>
      <c r="E38" s="4" t="s">
        <v>12</v>
      </c>
      <c r="F38" s="4" t="s">
        <v>4</v>
      </c>
      <c r="G38" s="4" t="s">
        <v>8</v>
      </c>
    </row>
    <row r="39" spans="1:7" s="45" customFormat="1" x14ac:dyDescent="0.2">
      <c r="A39" s="5">
        <v>8</v>
      </c>
      <c r="B39" s="5">
        <v>1800.61415122567</v>
      </c>
      <c r="C39" s="59">
        <v>17.487670000000001</v>
      </c>
      <c r="D39" s="5" t="s">
        <v>40</v>
      </c>
      <c r="E39" s="5" t="s">
        <v>12</v>
      </c>
      <c r="F39" s="5" t="s">
        <v>4</v>
      </c>
      <c r="G39" s="5" t="s">
        <v>8</v>
      </c>
    </row>
    <row r="40" spans="1:7" x14ac:dyDescent="0.2">
      <c r="A40" s="4">
        <v>12</v>
      </c>
      <c r="B40" s="4">
        <v>1800.40438010912</v>
      </c>
      <c r="C40" s="66">
        <v>0</v>
      </c>
      <c r="D40" s="68" t="s">
        <v>41</v>
      </c>
      <c r="E40" s="4" t="s">
        <v>12</v>
      </c>
      <c r="F40" s="4" t="s">
        <v>4</v>
      </c>
      <c r="G40" s="4" t="s">
        <v>9</v>
      </c>
    </row>
    <row r="41" spans="1:7" s="45" customFormat="1" x14ac:dyDescent="0.2">
      <c r="A41" s="5">
        <v>8</v>
      </c>
      <c r="B41" s="5">
        <v>1800.61415122567</v>
      </c>
      <c r="C41" s="67">
        <v>0.20977000000000001</v>
      </c>
      <c r="D41" s="5" t="s">
        <v>40</v>
      </c>
      <c r="E41" s="5" t="s">
        <v>12</v>
      </c>
      <c r="F41" s="5" t="s">
        <v>4</v>
      </c>
      <c r="G41" s="5" t="s">
        <v>9</v>
      </c>
    </row>
    <row r="42" spans="1:7" x14ac:dyDescent="0.2">
      <c r="A42">
        <v>7</v>
      </c>
      <c r="B42">
        <v>608.98227046088596</v>
      </c>
      <c r="C42">
        <v>0</v>
      </c>
      <c r="D42" s="44" t="s">
        <v>40</v>
      </c>
      <c r="E42" t="s">
        <v>12</v>
      </c>
      <c r="F42" t="s">
        <v>10</v>
      </c>
      <c r="G42" t="s">
        <v>5</v>
      </c>
    </row>
    <row r="43" spans="1:7" s="45" customFormat="1" x14ac:dyDescent="0.2">
      <c r="A43" s="45">
        <v>10</v>
      </c>
      <c r="B43" s="45">
        <v>615.297636748993</v>
      </c>
      <c r="C43" s="45">
        <v>6.3153699999999997</v>
      </c>
      <c r="D43" s="45" t="s">
        <v>41</v>
      </c>
      <c r="E43" s="45" t="s">
        <v>12</v>
      </c>
      <c r="F43" s="45" t="s">
        <v>10</v>
      </c>
      <c r="G43" s="45" t="s">
        <v>5</v>
      </c>
    </row>
    <row r="44" spans="1:7" x14ac:dyDescent="0.2">
      <c r="A44">
        <v>7</v>
      </c>
      <c r="B44">
        <v>608.98227046088596</v>
      </c>
      <c r="C44">
        <v>0</v>
      </c>
      <c r="D44" s="44" t="s">
        <v>40</v>
      </c>
      <c r="E44" t="s">
        <v>12</v>
      </c>
      <c r="F44" t="s">
        <v>10</v>
      </c>
      <c r="G44" t="s">
        <v>7</v>
      </c>
    </row>
    <row r="45" spans="1:7" s="45" customFormat="1" x14ac:dyDescent="0.2">
      <c r="A45" s="45">
        <v>9</v>
      </c>
      <c r="B45" s="45">
        <v>624.975074407389</v>
      </c>
      <c r="C45" s="45">
        <v>15.992800000000001</v>
      </c>
      <c r="D45" s="45" t="s">
        <v>41</v>
      </c>
      <c r="E45" s="45" t="s">
        <v>12</v>
      </c>
      <c r="F45" s="45" t="s">
        <v>10</v>
      </c>
      <c r="G45" s="45" t="s">
        <v>7</v>
      </c>
    </row>
    <row r="46" spans="1:7" x14ac:dyDescent="0.2">
      <c r="A46">
        <v>7</v>
      </c>
      <c r="B46">
        <v>608.98227046088596</v>
      </c>
      <c r="C46">
        <v>0</v>
      </c>
      <c r="D46" s="44" t="s">
        <v>40</v>
      </c>
      <c r="E46" t="s">
        <v>12</v>
      </c>
      <c r="F46" t="s">
        <v>10</v>
      </c>
      <c r="G46" t="s">
        <v>8</v>
      </c>
    </row>
    <row r="47" spans="1:7" s="45" customFormat="1" x14ac:dyDescent="0.2">
      <c r="A47" s="45">
        <v>10</v>
      </c>
      <c r="B47" s="45">
        <v>618.17832976350905</v>
      </c>
      <c r="C47" s="45">
        <v>9.1960599999999992</v>
      </c>
      <c r="D47" s="45" t="s">
        <v>41</v>
      </c>
      <c r="E47" s="45" t="s">
        <v>12</v>
      </c>
      <c r="F47" s="45" t="s">
        <v>10</v>
      </c>
      <c r="G47" s="45" t="s">
        <v>8</v>
      </c>
    </row>
    <row r="48" spans="1:7" x14ac:dyDescent="0.2">
      <c r="A48">
        <v>7</v>
      </c>
      <c r="B48">
        <v>608.98227046088596</v>
      </c>
      <c r="C48">
        <v>0</v>
      </c>
      <c r="D48" s="44" t="s">
        <v>40</v>
      </c>
      <c r="E48" t="s">
        <v>12</v>
      </c>
      <c r="F48" t="s">
        <v>10</v>
      </c>
      <c r="G48" t="s">
        <v>9</v>
      </c>
    </row>
    <row r="49" spans="1:7" s="45" customFormat="1" x14ac:dyDescent="0.2">
      <c r="A49" s="45">
        <v>11</v>
      </c>
      <c r="B49" s="45">
        <v>634.54631345643304</v>
      </c>
      <c r="C49" s="45">
        <v>25.564039999999999</v>
      </c>
      <c r="D49" s="45" t="s">
        <v>41</v>
      </c>
      <c r="E49" s="45" t="s">
        <v>12</v>
      </c>
      <c r="F49" s="45" t="s">
        <v>10</v>
      </c>
      <c r="G49" s="45" t="s">
        <v>9</v>
      </c>
    </row>
    <row r="50" spans="1:7" x14ac:dyDescent="0.2">
      <c r="A50" s="4">
        <v>10</v>
      </c>
      <c r="B50" s="4">
        <v>-452.19948622983702</v>
      </c>
      <c r="C50" s="58">
        <v>0</v>
      </c>
      <c r="D50" s="4" t="s">
        <v>41</v>
      </c>
      <c r="E50" s="4" t="s">
        <v>13</v>
      </c>
      <c r="F50" s="4" t="s">
        <v>4</v>
      </c>
      <c r="G50" s="4" t="s">
        <v>5</v>
      </c>
    </row>
    <row r="51" spans="1:7" s="45" customFormat="1" x14ac:dyDescent="0.2">
      <c r="A51" s="5">
        <v>7</v>
      </c>
      <c r="B51" s="5">
        <v>-431.77489630451402</v>
      </c>
      <c r="C51" s="59">
        <v>20.424589999999998</v>
      </c>
      <c r="D51" s="5" t="s">
        <v>40</v>
      </c>
      <c r="E51" s="5" t="s">
        <v>13</v>
      </c>
      <c r="F51" s="5" t="s">
        <v>4</v>
      </c>
      <c r="G51" s="5" t="s">
        <v>5</v>
      </c>
    </row>
    <row r="52" spans="1:7" x14ac:dyDescent="0.2">
      <c r="A52" s="4">
        <v>9</v>
      </c>
      <c r="B52" s="4">
        <v>-444.51806092154101</v>
      </c>
      <c r="C52" s="58">
        <v>0</v>
      </c>
      <c r="D52" s="4" t="s">
        <v>41</v>
      </c>
      <c r="E52" s="4" t="s">
        <v>13</v>
      </c>
      <c r="F52" s="4" t="s">
        <v>4</v>
      </c>
      <c r="G52" s="4" t="s">
        <v>7</v>
      </c>
    </row>
    <row r="53" spans="1:7" s="45" customFormat="1" x14ac:dyDescent="0.2">
      <c r="A53" s="5">
        <v>7</v>
      </c>
      <c r="B53" s="5">
        <v>-431.77489630451402</v>
      </c>
      <c r="C53" s="59">
        <v>12.74316</v>
      </c>
      <c r="D53" s="5" t="s">
        <v>40</v>
      </c>
      <c r="E53" s="5" t="s">
        <v>13</v>
      </c>
      <c r="F53" s="5" t="s">
        <v>4</v>
      </c>
      <c r="G53" s="5" t="s">
        <v>7</v>
      </c>
    </row>
    <row r="54" spans="1:7" x14ac:dyDescent="0.2">
      <c r="A54" s="4">
        <v>10</v>
      </c>
      <c r="B54" s="4">
        <v>-438.35695470056601</v>
      </c>
      <c r="C54" s="66">
        <v>0</v>
      </c>
      <c r="D54" s="4" t="s">
        <v>41</v>
      </c>
      <c r="E54" s="4" t="s">
        <v>13</v>
      </c>
      <c r="F54" s="4" t="s">
        <v>4</v>
      </c>
      <c r="G54" s="4" t="s">
        <v>8</v>
      </c>
    </row>
    <row r="55" spans="1:7" s="45" customFormat="1" x14ac:dyDescent="0.2">
      <c r="A55" s="5">
        <v>7</v>
      </c>
      <c r="B55" s="5">
        <v>-431.77489630451402</v>
      </c>
      <c r="C55" s="67">
        <v>6.5820600000000002</v>
      </c>
      <c r="D55" s="5" t="s">
        <v>40</v>
      </c>
      <c r="E55" s="5" t="s">
        <v>13</v>
      </c>
      <c r="F55" s="5" t="s">
        <v>4</v>
      </c>
      <c r="G55" s="5" t="s">
        <v>8</v>
      </c>
    </row>
    <row r="56" spans="1:7" x14ac:dyDescent="0.2">
      <c r="A56" s="4">
        <v>11</v>
      </c>
      <c r="B56" s="4">
        <v>-435.96612865057801</v>
      </c>
      <c r="C56" s="66">
        <v>0</v>
      </c>
      <c r="D56" s="4" t="s">
        <v>41</v>
      </c>
      <c r="E56" s="4" t="s">
        <v>13</v>
      </c>
      <c r="F56" s="4" t="s">
        <v>4</v>
      </c>
      <c r="G56" s="4" t="s">
        <v>9</v>
      </c>
    </row>
    <row r="57" spans="1:7" s="45" customFormat="1" x14ac:dyDescent="0.2">
      <c r="A57" s="5">
        <v>7</v>
      </c>
      <c r="B57" s="5">
        <v>-431.77489630451402</v>
      </c>
      <c r="C57" s="67">
        <v>4.19123</v>
      </c>
      <c r="D57" s="5" t="s">
        <v>40</v>
      </c>
      <c r="E57" s="5" t="s">
        <v>13</v>
      </c>
      <c r="F57" s="5" t="s">
        <v>4</v>
      </c>
      <c r="G57" s="5" t="s">
        <v>9</v>
      </c>
    </row>
    <row r="58" spans="1:7" x14ac:dyDescent="0.2">
      <c r="A58">
        <v>8</v>
      </c>
      <c r="B58">
        <v>-215.26735034631699</v>
      </c>
      <c r="C58">
        <v>0</v>
      </c>
      <c r="D58" s="44" t="s">
        <v>40</v>
      </c>
      <c r="E58" t="s">
        <v>13</v>
      </c>
      <c r="F58" t="s">
        <v>10</v>
      </c>
      <c r="G58" t="s">
        <v>5</v>
      </c>
    </row>
    <row r="59" spans="1:7" s="45" customFormat="1" x14ac:dyDescent="0.2">
      <c r="A59" s="45">
        <v>11</v>
      </c>
      <c r="B59" s="45">
        <v>-211.68343849419</v>
      </c>
      <c r="C59" s="45">
        <v>3.5839099999999999</v>
      </c>
      <c r="D59" s="45" t="s">
        <v>41</v>
      </c>
      <c r="E59" s="45" t="s">
        <v>13</v>
      </c>
      <c r="F59" s="45" t="s">
        <v>10</v>
      </c>
      <c r="G59" s="45" t="s">
        <v>5</v>
      </c>
    </row>
    <row r="60" spans="1:7" x14ac:dyDescent="0.2">
      <c r="A60">
        <v>8</v>
      </c>
      <c r="B60">
        <v>-215.26735034631699</v>
      </c>
      <c r="C60">
        <v>0</v>
      </c>
      <c r="D60" s="44" t="s">
        <v>40</v>
      </c>
      <c r="E60" t="s">
        <v>13</v>
      </c>
      <c r="F60" t="s">
        <v>10</v>
      </c>
      <c r="G60" t="s">
        <v>7</v>
      </c>
    </row>
    <row r="61" spans="1:7" s="45" customFormat="1" x14ac:dyDescent="0.2">
      <c r="A61" s="45">
        <v>10</v>
      </c>
      <c r="B61" s="45">
        <v>-206.83798963014499</v>
      </c>
      <c r="C61" s="45">
        <v>8.4293600000000009</v>
      </c>
      <c r="D61" s="45" t="s">
        <v>41</v>
      </c>
      <c r="E61" s="45" t="s">
        <v>13</v>
      </c>
      <c r="F61" s="45" t="s">
        <v>10</v>
      </c>
      <c r="G61" s="45" t="s">
        <v>7</v>
      </c>
    </row>
    <row r="62" spans="1:7" x14ac:dyDescent="0.2">
      <c r="A62">
        <v>8</v>
      </c>
      <c r="B62">
        <v>-215.26735034631699</v>
      </c>
      <c r="C62">
        <v>0</v>
      </c>
      <c r="D62" s="44" t="s">
        <v>40</v>
      </c>
      <c r="E62" t="s">
        <v>13</v>
      </c>
      <c r="F62" t="s">
        <v>10</v>
      </c>
      <c r="G62" t="s">
        <v>8</v>
      </c>
    </row>
    <row r="63" spans="1:7" s="45" customFormat="1" x14ac:dyDescent="0.2">
      <c r="A63" s="45">
        <v>11</v>
      </c>
      <c r="B63" s="45">
        <v>-209.77827842094001</v>
      </c>
      <c r="C63" s="45">
        <v>5.4890699999999999</v>
      </c>
      <c r="D63" s="45" t="s">
        <v>41</v>
      </c>
      <c r="E63" s="45" t="s">
        <v>13</v>
      </c>
      <c r="F63" s="45" t="s">
        <v>10</v>
      </c>
      <c r="G63" s="45" t="s">
        <v>8</v>
      </c>
    </row>
    <row r="64" spans="1:7" x14ac:dyDescent="0.2">
      <c r="A64">
        <v>8</v>
      </c>
      <c r="B64">
        <v>-215.26735034631699</v>
      </c>
      <c r="C64">
        <v>0</v>
      </c>
      <c r="D64" s="44" t="s">
        <v>40</v>
      </c>
      <c r="E64" t="s">
        <v>13</v>
      </c>
      <c r="F64" t="s">
        <v>10</v>
      </c>
      <c r="G64" t="s">
        <v>9</v>
      </c>
    </row>
    <row r="65" spans="1:7" s="45" customFormat="1" x14ac:dyDescent="0.2">
      <c r="A65" s="45">
        <v>12</v>
      </c>
      <c r="B65" s="45">
        <v>-192.643969023122</v>
      </c>
      <c r="C65" s="45">
        <v>22.623380000000001</v>
      </c>
      <c r="D65" s="45" t="s">
        <v>41</v>
      </c>
      <c r="E65" s="45" t="s">
        <v>13</v>
      </c>
      <c r="F65" s="45" t="s">
        <v>10</v>
      </c>
      <c r="G65" s="45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0834-6EA2-3D4D-B386-80B68D11CC8F}">
  <dimension ref="B1:K15"/>
  <sheetViews>
    <sheetView tabSelected="1" topLeftCell="B1" workbookViewId="0">
      <selection activeCell="K28" sqref="K28"/>
    </sheetView>
  </sheetViews>
  <sheetFormatPr baseColWidth="10" defaultRowHeight="16" x14ac:dyDescent="0.2"/>
  <cols>
    <col min="1" max="1" width="33.83203125" bestFit="1" customWidth="1"/>
    <col min="3" max="3" width="13.1640625" customWidth="1"/>
    <col min="6" max="6" width="29.83203125" bestFit="1" customWidth="1"/>
    <col min="10" max="10" width="24.83203125" bestFit="1" customWidth="1"/>
    <col min="11" max="11" width="24.1640625" bestFit="1" customWidth="1"/>
  </cols>
  <sheetData>
    <row r="1" spans="2:11" x14ac:dyDescent="0.2">
      <c r="C1" t="s">
        <v>31</v>
      </c>
      <c r="G1" t="s">
        <v>32</v>
      </c>
    </row>
    <row r="2" spans="2:11" x14ac:dyDescent="0.2">
      <c r="C2" t="s">
        <v>13</v>
      </c>
      <c r="D2" t="s">
        <v>12</v>
      </c>
      <c r="G2" t="s">
        <v>13</v>
      </c>
      <c r="H2" t="s">
        <v>12</v>
      </c>
      <c r="J2" t="s">
        <v>33</v>
      </c>
      <c r="K2" t="s">
        <v>35</v>
      </c>
    </row>
    <row r="3" spans="2:11" x14ac:dyDescent="0.2">
      <c r="B3" t="s">
        <v>15</v>
      </c>
      <c r="C3">
        <v>0.94</v>
      </c>
      <c r="D3">
        <v>0.89</v>
      </c>
      <c r="F3" t="s">
        <v>16</v>
      </c>
      <c r="G3">
        <v>0.94</v>
      </c>
      <c r="H3">
        <v>0.93</v>
      </c>
      <c r="I3" s="3" t="s">
        <v>34</v>
      </c>
      <c r="J3" s="2" t="b">
        <f>G3&gt;C3</f>
        <v>0</v>
      </c>
      <c r="K3" t="b">
        <f>H3&gt;D3</f>
        <v>1</v>
      </c>
    </row>
    <row r="4" spans="2:11" x14ac:dyDescent="0.2">
      <c r="B4" t="s">
        <v>17</v>
      </c>
      <c r="C4">
        <v>0.94</v>
      </c>
      <c r="D4">
        <v>0.86</v>
      </c>
      <c r="F4" t="s">
        <v>18</v>
      </c>
      <c r="G4">
        <v>0.97</v>
      </c>
      <c r="H4">
        <v>0.99</v>
      </c>
      <c r="J4" t="b">
        <f t="shared" ref="J4:K10" si="0">G4&gt;C4</f>
        <v>1</v>
      </c>
      <c r="K4" t="b">
        <f t="shared" si="0"/>
        <v>1</v>
      </c>
    </row>
    <row r="5" spans="2:11" x14ac:dyDescent="0.2">
      <c r="B5" t="s">
        <v>19</v>
      </c>
      <c r="C5">
        <v>0.92</v>
      </c>
      <c r="D5">
        <v>0.89</v>
      </c>
      <c r="F5" t="s">
        <v>20</v>
      </c>
      <c r="G5">
        <v>1.02</v>
      </c>
      <c r="H5">
        <v>1.05</v>
      </c>
      <c r="J5" t="b">
        <f t="shared" si="0"/>
        <v>1</v>
      </c>
      <c r="K5" t="b">
        <f t="shared" si="0"/>
        <v>1</v>
      </c>
    </row>
    <row r="6" spans="2:11" x14ac:dyDescent="0.2">
      <c r="B6" t="s">
        <v>21</v>
      </c>
      <c r="C6">
        <v>0.88</v>
      </c>
      <c r="D6">
        <v>0.91</v>
      </c>
      <c r="F6" t="s">
        <v>22</v>
      </c>
      <c r="G6">
        <v>0.97</v>
      </c>
      <c r="H6">
        <v>1</v>
      </c>
      <c r="J6" t="b">
        <f t="shared" si="0"/>
        <v>1</v>
      </c>
      <c r="K6" t="b">
        <f t="shared" si="0"/>
        <v>1</v>
      </c>
    </row>
    <row r="7" spans="2:11" x14ac:dyDescent="0.2">
      <c r="B7" t="s">
        <v>23</v>
      </c>
      <c r="C7">
        <v>0.77</v>
      </c>
      <c r="D7">
        <v>0.75</v>
      </c>
      <c r="F7" t="s">
        <v>24</v>
      </c>
      <c r="G7">
        <v>0.71</v>
      </c>
      <c r="H7">
        <v>0.78</v>
      </c>
      <c r="J7" s="1" t="b">
        <f t="shared" si="0"/>
        <v>0</v>
      </c>
      <c r="K7" t="b">
        <f t="shared" si="0"/>
        <v>1</v>
      </c>
    </row>
    <row r="8" spans="2:11" x14ac:dyDescent="0.2">
      <c r="B8" t="s">
        <v>25</v>
      </c>
      <c r="C8">
        <v>0.79</v>
      </c>
      <c r="D8">
        <v>0.8</v>
      </c>
      <c r="F8" t="s">
        <v>26</v>
      </c>
      <c r="G8">
        <v>0.84</v>
      </c>
      <c r="H8">
        <v>0.88</v>
      </c>
      <c r="J8" t="b">
        <f t="shared" si="0"/>
        <v>1</v>
      </c>
      <c r="K8" t="b">
        <f t="shared" si="0"/>
        <v>1</v>
      </c>
    </row>
    <row r="9" spans="2:11" x14ac:dyDescent="0.2">
      <c r="B9" t="s">
        <v>27</v>
      </c>
      <c r="C9">
        <v>0.78</v>
      </c>
      <c r="D9">
        <v>0.83</v>
      </c>
      <c r="F9" t="s">
        <v>28</v>
      </c>
      <c r="G9">
        <v>0.84</v>
      </c>
      <c r="H9">
        <v>0.88</v>
      </c>
      <c r="J9" t="b">
        <f t="shared" si="0"/>
        <v>1</v>
      </c>
      <c r="K9" t="b">
        <f t="shared" si="0"/>
        <v>1</v>
      </c>
    </row>
    <row r="10" spans="2:11" x14ac:dyDescent="0.2">
      <c r="B10" t="s">
        <v>29</v>
      </c>
      <c r="C10">
        <v>0.97</v>
      </c>
      <c r="D10">
        <v>0.96</v>
      </c>
      <c r="F10" t="s">
        <v>30</v>
      </c>
      <c r="G10">
        <v>0.97</v>
      </c>
      <c r="H10">
        <v>0.99</v>
      </c>
      <c r="I10" s="3" t="s">
        <v>34</v>
      </c>
      <c r="J10" s="2" t="b">
        <f t="shared" si="0"/>
        <v>0</v>
      </c>
      <c r="K10" t="b">
        <f t="shared" si="0"/>
        <v>1</v>
      </c>
    </row>
    <row r="15" spans="2:11" x14ac:dyDescent="0.2">
      <c r="I15">
        <f>13/16</f>
        <v>0.8125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Table 1 - main text</vt:lpstr>
      <vt:lpstr>OUTDATED - pre Review</vt:lpstr>
      <vt:lpstr>ecology models -REVIEW</vt:lpstr>
      <vt:lpstr>OUTDATED - pre review2</vt:lpstr>
      <vt:lpstr>'Table 1 - main text'!_Toc224551882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Krista Kraskura</dc:creator>
  <cp:lastModifiedBy>Krista Kraskura</cp:lastModifiedBy>
  <dcterms:created xsi:type="dcterms:W3CDTF">2025-06-23T20:15:28Z</dcterms:created>
  <dcterms:modified xsi:type="dcterms:W3CDTF">2026-03-17T13:57:20Z</dcterms:modified>
</cp:coreProperties>
</file>