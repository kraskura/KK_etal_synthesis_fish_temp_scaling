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akraskura/Github_repositories/KK_etal_synthesis_fish_temp_scaling/"/>
    </mc:Choice>
  </mc:AlternateContent>
  <xr:revisionPtr revIDLastSave="0" documentId="13_ncr:1_{329D87F5-75A2-4C4D-BCC0-93B093AA3B02}" xr6:coauthVersionLast="47" xr6:coauthVersionMax="47" xr10:uidLastSave="{00000000-0000-0000-0000-000000000000}"/>
  <bookViews>
    <workbookView xWindow="720" yWindow="620" windowWidth="28800" windowHeight="17380" activeTab="4" xr2:uid="{B3FBD4CA-75DB-D748-9A95-2029329DF2D8}"/>
  </bookViews>
  <sheets>
    <sheet name="Table 1 - main text" sheetId="4" r:id="rId1"/>
    <sheet name="RMR MMR ecol" sheetId="5" r:id="rId2"/>
    <sheet name="FAS ecol" sheetId="7" r:id="rId3"/>
    <sheet name="ecology models -REVIEW" sheetId="3" r:id="rId4"/>
    <sheet name="Ecol ANOVA" sheetId="8" r:id="rId5"/>
    <sheet name="CI main models" sheetId="9" r:id="rId6"/>
    <sheet name="OUTDATED - pre Review" sheetId="1" r:id="rId7"/>
    <sheet name="OUTDATED - pre review2" sheetId="2" r:id="rId8"/>
  </sheets>
  <definedNames>
    <definedName name="_Toc224551882" localSheetId="0">'Table 1 - main text'!$Q$22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/>
  <c r="B9" i="7"/>
  <c r="AV4" i="5"/>
  <c r="AY24" i="5"/>
  <c r="AX24" i="5"/>
  <c r="B5" i="7"/>
  <c r="B23" i="7"/>
  <c r="B21" i="7"/>
  <c r="B19" i="7"/>
  <c r="B17" i="7"/>
  <c r="B15" i="7"/>
  <c r="B13" i="7"/>
  <c r="B11" i="7"/>
  <c r="B7" i="7"/>
  <c r="AW37" i="5"/>
  <c r="AW35" i="5"/>
  <c r="AW33" i="5"/>
  <c r="AW31" i="5"/>
  <c r="AW29" i="5"/>
  <c r="AV28" i="5"/>
  <c r="AV36" i="5"/>
  <c r="AV34" i="5"/>
  <c r="AV32" i="5"/>
  <c r="AV30" i="5"/>
  <c r="AV18" i="5"/>
  <c r="AV16" i="5"/>
  <c r="AV14" i="5"/>
  <c r="AV12" i="5"/>
  <c r="AV8" i="5"/>
  <c r="AV6" i="5"/>
  <c r="AW5" i="5"/>
  <c r="AX4" i="5"/>
  <c r="AY6" i="5"/>
  <c r="AV10" i="5"/>
  <c r="AV20" i="5"/>
  <c r="AV22" i="5"/>
  <c r="AV24" i="5"/>
  <c r="AW25" i="5"/>
  <c r="AW23" i="5"/>
  <c r="AW21" i="5"/>
  <c r="AW19" i="5"/>
  <c r="AW17" i="5"/>
  <c r="AW15" i="5"/>
  <c r="AW13" i="5"/>
  <c r="AW11" i="5"/>
  <c r="AW9" i="5"/>
  <c r="AW7" i="5"/>
  <c r="AY22" i="5"/>
  <c r="AY34" i="5"/>
  <c r="AY32" i="5"/>
  <c r="AY20" i="5"/>
  <c r="AY30" i="5"/>
  <c r="AY18" i="5"/>
  <c r="AY16" i="5"/>
  <c r="AY14" i="5"/>
  <c r="AY12" i="5"/>
  <c r="AY10" i="5"/>
  <c r="AY28" i="5"/>
  <c r="AY8" i="5"/>
  <c r="AY4" i="5"/>
  <c r="AY36" i="5"/>
  <c r="AX32" i="5"/>
  <c r="AX36" i="5"/>
  <c r="AX22" i="5"/>
  <c r="AX34" i="5"/>
  <c r="AX20" i="5"/>
  <c r="AX30" i="5"/>
  <c r="AX18" i="5"/>
  <c r="AX16" i="5"/>
  <c r="AX14" i="5"/>
  <c r="AX12" i="5"/>
  <c r="AX10" i="5"/>
  <c r="AX28" i="5"/>
  <c r="AX8" i="5"/>
  <c r="AX6" i="5"/>
  <c r="U29" i="4"/>
  <c r="V28" i="4"/>
  <c r="V27" i="4"/>
  <c r="V24" i="4"/>
  <c r="V23" i="4"/>
  <c r="V20" i="4"/>
  <c r="V19" i="4"/>
  <c r="V14" i="4"/>
  <c r="V13" i="4"/>
  <c r="V11" i="4"/>
  <c r="V10" i="4"/>
  <c r="V9" i="4"/>
  <c r="V7" i="4"/>
  <c r="V6" i="4"/>
  <c r="V5" i="4"/>
  <c r="U28" i="4"/>
  <c r="U27" i="4"/>
  <c r="U24" i="4"/>
  <c r="U23" i="4"/>
  <c r="U21" i="4"/>
  <c r="U20" i="4"/>
  <c r="U19" i="4"/>
  <c r="U14" i="4"/>
  <c r="U13" i="4"/>
  <c r="U11" i="4"/>
  <c r="U10" i="4"/>
  <c r="U9" i="4"/>
  <c r="U7" i="4"/>
  <c r="U6" i="4"/>
  <c r="U5" i="4"/>
  <c r="T6" i="4"/>
  <c r="T9" i="4"/>
  <c r="T10" i="4"/>
  <c r="T11" i="4"/>
  <c r="T13" i="4"/>
  <c r="T14" i="4"/>
  <c r="T15" i="4"/>
  <c r="T19" i="4"/>
  <c r="T20" i="4"/>
  <c r="T21" i="4"/>
  <c r="T23" i="4"/>
  <c r="T24" i="4"/>
  <c r="T27" i="4"/>
  <c r="T28" i="4"/>
  <c r="T5" i="4"/>
  <c r="S20" i="4"/>
  <c r="S23" i="4"/>
  <c r="S24" i="4"/>
  <c r="S27" i="4"/>
  <c r="S28" i="4"/>
  <c r="S19" i="4"/>
  <c r="S14" i="4"/>
  <c r="S13" i="4"/>
  <c r="S10" i="4"/>
  <c r="S9" i="4"/>
  <c r="S6" i="4"/>
  <c r="S7" i="4"/>
  <c r="S5" i="4"/>
  <c r="I15" i="2" l="1"/>
  <c r="K3" i="2"/>
  <c r="K10" i="2"/>
  <c r="K9" i="2"/>
  <c r="K8" i="2"/>
  <c r="K7" i="2"/>
  <c r="K6" i="2"/>
  <c r="K5" i="2"/>
  <c r="K4" i="2"/>
  <c r="J4" i="2"/>
  <c r="J5" i="2"/>
  <c r="J6" i="2"/>
  <c r="J7" i="2"/>
  <c r="J8" i="2"/>
  <c r="J9" i="2"/>
  <c r="J10" i="2"/>
  <c r="J3" i="2"/>
</calcChain>
</file>

<file path=xl/sharedStrings.xml><?xml version="1.0" encoding="utf-8"?>
<sst xmlns="http://schemas.openxmlformats.org/spreadsheetml/2006/main" count="2490" uniqueCount="317">
  <si>
    <t>var</t>
  </si>
  <si>
    <t>test.categ</t>
  </si>
  <si>
    <t>ecol</t>
  </si>
  <si>
    <t>AS</t>
  </si>
  <si>
    <t>opt</t>
  </si>
  <si>
    <t>DemersPelag</t>
  </si>
  <si>
    <t>tempTest</t>
  </si>
  <si>
    <t>BodyShapeI</t>
  </si>
  <si>
    <t>Climate</t>
  </si>
  <si>
    <t>salintyComb</t>
  </si>
  <si>
    <t>warm</t>
  </si>
  <si>
    <t>FAS</t>
  </si>
  <si>
    <t>RMR</t>
  </si>
  <si>
    <t>MMR</t>
  </si>
  <si>
    <t>lnBWg:tempTest</t>
  </si>
  <si>
    <t>fusiform_ecol_relev</t>
  </si>
  <si>
    <t>fusiform_warm</t>
  </si>
  <si>
    <t>Subtropical_ecol_relev</t>
  </si>
  <si>
    <t>Subtropical_warm</t>
  </si>
  <si>
    <t>Temperate_ecol_relev</t>
  </si>
  <si>
    <t>Temperate_warm</t>
  </si>
  <si>
    <t>benthopelagic_ecol_relev</t>
  </si>
  <si>
    <t>benthopelagic_warm</t>
  </si>
  <si>
    <t>demersal_ecol_relev</t>
  </si>
  <si>
    <t>demersal_warm</t>
  </si>
  <si>
    <t>reef-associated_ecol_relev</t>
  </si>
  <si>
    <t>reef-associated_warm</t>
  </si>
  <si>
    <t>Marine_ecol_relev</t>
  </si>
  <si>
    <t>Marine_warm</t>
  </si>
  <si>
    <t>Marine; freshwater; brackish_ecol_relev</t>
  </si>
  <si>
    <t>Marine; freshwater; brackish_warm</t>
  </si>
  <si>
    <t xml:space="preserve">OPTIMAL </t>
  </si>
  <si>
    <t>WARM</t>
  </si>
  <si>
    <t xml:space="preserve">is MMR warm &gt; MMR optimal </t>
  </si>
  <si>
    <t xml:space="preserve">same </t>
  </si>
  <si>
    <t xml:space="preserve">is RMR warm &gt; RMR optimal </t>
  </si>
  <si>
    <t>df</t>
  </si>
  <si>
    <t>BIC</t>
  </si>
  <si>
    <t>delta</t>
  </si>
  <si>
    <t>models</t>
  </si>
  <si>
    <t>ecol.model.null</t>
  </si>
  <si>
    <t>ecol.model</t>
  </si>
  <si>
    <t xml:space="preserve">BODY SHAPE </t>
  </si>
  <si>
    <t>OPT</t>
  </si>
  <si>
    <t>CLIMATE</t>
  </si>
  <si>
    <t>SALINITY</t>
  </si>
  <si>
    <t>LIFESTYLE</t>
  </si>
  <si>
    <t>RMR, MMR</t>
  </si>
  <si>
    <t>FAS, RMR, MMR</t>
  </si>
  <si>
    <t>poly(tempTest)</t>
  </si>
  <si>
    <r>
      <rPr>
        <i/>
        <sz val="12"/>
        <color theme="1"/>
        <rFont val="Aptos Narrow"/>
        <scheme val="minor"/>
      </rPr>
      <t>ln</t>
    </r>
    <r>
      <rPr>
        <sz val="12"/>
        <color theme="1"/>
        <rFont val="Aptos Narrow"/>
        <family val="2"/>
        <scheme val="minor"/>
      </rPr>
      <t>BWg</t>
    </r>
  </si>
  <si>
    <t>BIC significant models</t>
  </si>
  <si>
    <t>Chi Square</t>
  </si>
  <si>
    <t>Temperature category</t>
  </si>
  <si>
    <t xml:space="preserve">Species subgroup </t>
  </si>
  <si>
    <t>MR performance</t>
  </si>
  <si>
    <t>P value</t>
  </si>
  <si>
    <t>Predictor Variable</t>
  </si>
  <si>
    <t>Body Shape</t>
  </si>
  <si>
    <t>Lifestyle</t>
  </si>
  <si>
    <t>Salinity</t>
  </si>
  <si>
    <t>&lt; 0.0001</t>
  </si>
  <si>
    <t>EcolGroup</t>
  </si>
  <si>
    <t xml:space="preserve">optimal </t>
  </si>
  <si>
    <t>Old primary submission</t>
  </si>
  <si>
    <t xml:space="preserve">Lifes tages </t>
  </si>
  <si>
    <t xml:space="preserve">RMR </t>
  </si>
  <si>
    <t>All</t>
  </si>
  <si>
    <t>Adults</t>
  </si>
  <si>
    <t>Juveniles</t>
  </si>
  <si>
    <t>lnBM</t>
  </si>
  <si>
    <t>lnBM * T</t>
  </si>
  <si>
    <t>T</t>
  </si>
  <si>
    <t>se</t>
  </si>
  <si>
    <t>OPTIMAL TEMPERATURES</t>
  </si>
  <si>
    <t>0 ‘***’ 0.001 ‘**’ 0.01 ‘*’ 0.05 ‘.’</t>
  </si>
  <si>
    <t>--</t>
  </si>
  <si>
    <t>**</t>
  </si>
  <si>
    <t>***</t>
  </si>
  <si>
    <t>.</t>
  </si>
  <si>
    <t>*</t>
  </si>
  <si>
    <t>WARM TEMPERATURES</t>
  </si>
  <si>
    <t>ecol_temp_cat</t>
  </si>
  <si>
    <t>intercept</t>
  </si>
  <si>
    <t>slope</t>
  </si>
  <si>
    <t>temp</t>
  </si>
  <si>
    <t>intercept.ciL</t>
  </si>
  <si>
    <t>slope.ciL</t>
  </si>
  <si>
    <t>temp.ciL</t>
  </si>
  <si>
    <t>intercept.ciH</t>
  </si>
  <si>
    <t>slope.ciH</t>
  </si>
  <si>
    <t>temp.ciH</t>
  </si>
  <si>
    <t>ecology_subgroup</t>
  </si>
  <si>
    <t>test_category3</t>
  </si>
  <si>
    <t>size_min</t>
  </si>
  <si>
    <t>size_max</t>
  </si>
  <si>
    <t>n</t>
  </si>
  <si>
    <t>temp_min</t>
  </si>
  <si>
    <t>temp_max</t>
  </si>
  <si>
    <t>species_n</t>
  </si>
  <si>
    <t>MR</t>
  </si>
  <si>
    <t>Ecol</t>
  </si>
  <si>
    <t>n_data_n_species</t>
  </si>
  <si>
    <t>scalingGood</t>
  </si>
  <si>
    <t>eel-like_optimal</t>
  </si>
  <si>
    <t>NA</t>
  </si>
  <si>
    <t>eel-like</t>
  </si>
  <si>
    <t>optimal</t>
  </si>
  <si>
    <t>48 (1)</t>
  </si>
  <si>
    <t>elongated_optimal</t>
  </si>
  <si>
    <t>elongated</t>
  </si>
  <si>
    <t>732 (24)</t>
  </si>
  <si>
    <t>elongated_warm</t>
  </si>
  <si>
    <t>158 (5)</t>
  </si>
  <si>
    <t>fusiform_optimal</t>
  </si>
  <si>
    <t>fusiform</t>
  </si>
  <si>
    <t>4575 (53)</t>
  </si>
  <si>
    <t>1176 (19)</t>
  </si>
  <si>
    <t>short/deep_optimal</t>
  </si>
  <si>
    <t>short/deep</t>
  </si>
  <si>
    <t>378 (14)</t>
  </si>
  <si>
    <t>short/deep_warm</t>
  </si>
  <si>
    <t>131 (5)</t>
  </si>
  <si>
    <t>Polar_optimal</t>
  </si>
  <si>
    <t>Polar</t>
  </si>
  <si>
    <t>142 (5)</t>
  </si>
  <si>
    <t>Polar_warm</t>
  </si>
  <si>
    <t>157 (3)</t>
  </si>
  <si>
    <t>Subtropical_optimal</t>
  </si>
  <si>
    <t>Subtropical</t>
  </si>
  <si>
    <t>2860 (38)</t>
  </si>
  <si>
    <t>475 (6)</t>
  </si>
  <si>
    <t>Temperate_optimal</t>
  </si>
  <si>
    <t>Temperate</t>
  </si>
  <si>
    <t>1454 (27)</t>
  </si>
  <si>
    <t>237 (7)</t>
  </si>
  <si>
    <t>Tropical_optimal</t>
  </si>
  <si>
    <t>Tropical</t>
  </si>
  <si>
    <t>1277 (22)</t>
  </si>
  <si>
    <t>Tropical_warm</t>
  </si>
  <si>
    <t>596 (13)</t>
  </si>
  <si>
    <t>benthopelagic_optimal</t>
  </si>
  <si>
    <t>benthopelagic</t>
  </si>
  <si>
    <t>2665 (40)</t>
  </si>
  <si>
    <t>478 (7)</t>
  </si>
  <si>
    <t>demersal_optimal</t>
  </si>
  <si>
    <t>demersal</t>
  </si>
  <si>
    <t>1549 (30)</t>
  </si>
  <si>
    <t>648 (10)</t>
  </si>
  <si>
    <t>pelagic_optimal</t>
  </si>
  <si>
    <t>pelagic</t>
  </si>
  <si>
    <t>766 (7)</t>
  </si>
  <si>
    <t>pelagic_warm</t>
  </si>
  <si>
    <t>48 (2)</t>
  </si>
  <si>
    <t>reef-associated_optimal</t>
  </si>
  <si>
    <t>reef-associated</t>
  </si>
  <si>
    <t>753 (15)</t>
  </si>
  <si>
    <t>291 (10)</t>
  </si>
  <si>
    <t>Freshwater_optimal</t>
  </si>
  <si>
    <t>Freshwater</t>
  </si>
  <si>
    <t>499 (26)</t>
  </si>
  <si>
    <t>Freshwater_warm</t>
  </si>
  <si>
    <t>55 (2)</t>
  </si>
  <si>
    <t>Freshwater; brackish_optimal</t>
  </si>
  <si>
    <t>Freshwater; brackish</t>
  </si>
  <si>
    <t>1346 (17)</t>
  </si>
  <si>
    <t>Freshwater; brackish_warm</t>
  </si>
  <si>
    <t>76 (2)</t>
  </si>
  <si>
    <t>Marine_optimal</t>
  </si>
  <si>
    <t>Marine</t>
  </si>
  <si>
    <t>1290 (24)</t>
  </si>
  <si>
    <t>505 (14)</t>
  </si>
  <si>
    <t>Marine; brackish_optimal</t>
  </si>
  <si>
    <t>Marine; brackish</t>
  </si>
  <si>
    <t>114 (7)</t>
  </si>
  <si>
    <t>Marine; brackish_warm</t>
  </si>
  <si>
    <t>11 (2)</t>
  </si>
  <si>
    <t>Marine; freshwater; brackish_optimal</t>
  </si>
  <si>
    <t>Marine; freshwater; brackish</t>
  </si>
  <si>
    <t>2484 (18)</t>
  </si>
  <si>
    <t>818 (9)</t>
  </si>
  <si>
    <t>AMR</t>
  </si>
  <si>
    <t>393 (20)</t>
  </si>
  <si>
    <t>165 (6)</t>
  </si>
  <si>
    <t>3463 (49)</t>
  </si>
  <si>
    <t>1072 (20)</t>
  </si>
  <si>
    <t>253 (10)</t>
  </si>
  <si>
    <t>126 (5)</t>
  </si>
  <si>
    <t>74 (2)</t>
  </si>
  <si>
    <t>44 (2)</t>
  </si>
  <si>
    <t>2013 (38)</t>
  </si>
  <si>
    <t>568 (10)</t>
  </si>
  <si>
    <t>1108 (23)</t>
  </si>
  <si>
    <t>221 (6)</t>
  </si>
  <si>
    <t>914 (16)</t>
  </si>
  <si>
    <t>530 (13)</t>
  </si>
  <si>
    <t>1628 (37)</t>
  </si>
  <si>
    <t>499 (7)</t>
  </si>
  <si>
    <t>1214 (26)</t>
  </si>
  <si>
    <t>499 (11)</t>
  </si>
  <si>
    <t>573 (4)</t>
  </si>
  <si>
    <t>79 (3)</t>
  </si>
  <si>
    <t>694 (12)</t>
  </si>
  <si>
    <t>286 (10)</t>
  </si>
  <si>
    <t>315 (25)</t>
  </si>
  <si>
    <t>981 (21)</t>
  </si>
  <si>
    <t>84 (3)</t>
  </si>
  <si>
    <t>921 (15)</t>
  </si>
  <si>
    <t>332 (11)</t>
  </si>
  <si>
    <t>110 (4)</t>
  </si>
  <si>
    <t>70 (4)</t>
  </si>
  <si>
    <t>1782 (14)</t>
  </si>
  <si>
    <t>822 (11)</t>
  </si>
  <si>
    <t>is RMR warm &gt; RMR opt?</t>
  </si>
  <si>
    <t>is MMR warm &gt; MMR opt?</t>
  </si>
  <si>
    <t>All salinities _warm</t>
  </si>
  <si>
    <t>All salinities _optimal</t>
  </si>
  <si>
    <t xml:space="preserve">is MMR &gt; RMR? </t>
  </si>
  <si>
    <t>Optimal</t>
  </si>
  <si>
    <t>Warm</t>
  </si>
  <si>
    <t>RMR slope</t>
  </si>
  <si>
    <t>MMR slope</t>
  </si>
  <si>
    <t>335 (18)</t>
  </si>
  <si>
    <t>152 (5)</t>
  </si>
  <si>
    <t>2755 (38)</t>
  </si>
  <si>
    <t>845 (15)</t>
  </si>
  <si>
    <t>204 (8)</t>
  </si>
  <si>
    <t>118 (4)</t>
  </si>
  <si>
    <t>1509 (30)</t>
  </si>
  <si>
    <t>377 (6)</t>
  </si>
  <si>
    <t>930 (19)</t>
  </si>
  <si>
    <t>214 (5)</t>
  </si>
  <si>
    <t>842 (14)</t>
  </si>
  <si>
    <t>519 (12)</t>
  </si>
  <si>
    <t>1053 (27)</t>
  </si>
  <si>
    <t>349 (4)</t>
  </si>
  <si>
    <t>1080 (22)</t>
  </si>
  <si>
    <t>435 (8)</t>
  </si>
  <si>
    <t>659 (12)</t>
  </si>
  <si>
    <t>283 (10)</t>
  </si>
  <si>
    <t>881 (15)</t>
  </si>
  <si>
    <t>328 (11)</t>
  </si>
  <si>
    <t>1421 (12)</t>
  </si>
  <si>
    <t>646 (8)</t>
  </si>
  <si>
    <t>Chisq</t>
  </si>
  <si>
    <t>Df</t>
  </si>
  <si>
    <t>Pr(&gt;Chisq)</t>
  </si>
  <si>
    <t>anova_type</t>
  </si>
  <si>
    <t>predictor</t>
  </si>
  <si>
    <t>III, car package</t>
  </si>
  <si>
    <t>(Intercept)</t>
  </si>
  <si>
    <t>lnBWg</t>
  </si>
  <si>
    <t>II, car package</t>
  </si>
  <si>
    <t>temp_cat</t>
  </si>
  <si>
    <t>.sig01</t>
  </si>
  <si>
    <t>ER</t>
  </si>
  <si>
    <t>.sig02</t>
  </si>
  <si>
    <t>.sig03</t>
  </si>
  <si>
    <t>.sigma</t>
  </si>
  <si>
    <t>.sig011</t>
  </si>
  <si>
    <t>.sig021</t>
  </si>
  <si>
    <t>.sig031</t>
  </si>
  <si>
    <t>.sigma1</t>
  </si>
  <si>
    <t>(Intercept)1</t>
  </si>
  <si>
    <t>lnBWg1</t>
  </si>
  <si>
    <t>tempTest1</t>
  </si>
  <si>
    <t>.sig012</t>
  </si>
  <si>
    <t>.sig022</t>
  </si>
  <si>
    <t>.sig032</t>
  </si>
  <si>
    <t>.sigma2</t>
  </si>
  <si>
    <t>(Intercept)2</t>
  </si>
  <si>
    <t>lnBWg2</t>
  </si>
  <si>
    <t>tempTest2</t>
  </si>
  <si>
    <t>lnBWg:tempTest1</t>
  </si>
  <si>
    <t>.sig013</t>
  </si>
  <si>
    <t>.sig023</t>
  </si>
  <si>
    <t>.sig033</t>
  </si>
  <si>
    <t>.sigma3</t>
  </si>
  <si>
    <t>(Intercept)3</t>
  </si>
  <si>
    <t>lnBWg3</t>
  </si>
  <si>
    <t>tempTest3</t>
  </si>
  <si>
    <t>lnBWg:tempTest2</t>
  </si>
  <si>
    <t>.sig014</t>
  </si>
  <si>
    <t>W</t>
  </si>
  <si>
    <t>.sig024</t>
  </si>
  <si>
    <t>.sig034</t>
  </si>
  <si>
    <t>.sigma4</t>
  </si>
  <si>
    <t>(Intercept)4</t>
  </si>
  <si>
    <t>lnBWg4</t>
  </si>
  <si>
    <t>tempTest4</t>
  </si>
  <si>
    <t>lnBWg:tempTest3</t>
  </si>
  <si>
    <t>.sig015</t>
  </si>
  <si>
    <t>.sig025</t>
  </si>
  <si>
    <t>.sig035</t>
  </si>
  <si>
    <t>.sigma5</t>
  </si>
  <si>
    <t>(Intercept)5</t>
  </si>
  <si>
    <t>lnBWg5</t>
  </si>
  <si>
    <t>tempTest5</t>
  </si>
  <si>
    <t>.sig016</t>
  </si>
  <si>
    <t>.sig026</t>
  </si>
  <si>
    <t>.sig036</t>
  </si>
  <si>
    <t>.sigma6</t>
  </si>
  <si>
    <t>(Intercept)6</t>
  </si>
  <si>
    <t>lnBWg6</t>
  </si>
  <si>
    <t>tempTest6</t>
  </si>
  <si>
    <t>.sig017</t>
  </si>
  <si>
    <t>.sig027</t>
  </si>
  <si>
    <t>.sig037</t>
  </si>
  <si>
    <t>.sigma7</t>
  </si>
  <si>
    <t>(Intercept)7</t>
  </si>
  <si>
    <t>lnBWg7</t>
  </si>
  <si>
    <t>tempTest7</t>
  </si>
  <si>
    <t>lnBWg:tempTest4</t>
  </si>
  <si>
    <t>Deos slope increase with warming?</t>
  </si>
  <si>
    <t xml:space="preserve">BIC best and ∆BIC &gt; 7 null </t>
  </si>
  <si>
    <t>BICbut null not ∆BIC &gt; 7</t>
  </si>
  <si>
    <t>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</si>
</sst>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7" x14ac:knownFonts="1"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5"/>
      <name val="Aptos Narrow"/>
      <family val="2"/>
      <scheme val="minor"/>
    </font>
    <font>
      <i/>
      <sz val="12"/>
      <color theme="1"/>
      <name val="Aptos Narrow"/>
      <scheme val="minor"/>
    </font>
    <font>
      <i/>
      <sz val="12"/>
      <color theme="5"/>
      <name val="Aptos Narrow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i/>
      <sz val="12"/>
      <color rgb="FFFF0000"/>
      <name val="Aptos Narrow"/>
      <scheme val="minor"/>
    </font>
    <font>
      <b/>
      <i/>
      <sz val="12"/>
      <color theme="9"/>
      <name val="Aptos Narrow"/>
      <scheme val="minor"/>
    </font>
    <font>
      <sz val="11"/>
      <color rgb="FFC00000"/>
      <name val="Consolas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C00000"/>
      <name val="Times New Roman"/>
      <family val="1"/>
    </font>
    <font>
      <sz val="12"/>
      <color rgb="FF9C0006"/>
      <name val="Aptos Narrow"/>
      <family val="2"/>
      <scheme val="minor"/>
    </font>
    <font>
      <sz val="12"/>
      <color rgb="FFFF0000"/>
      <name val="Aptos Narrow"/>
      <scheme val="minor"/>
    </font>
    <font>
      <b/>
      <sz val="12"/>
      <color rgb="FFFF0000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7030A0"/>
      <name val="Aptos Narrow"/>
      <scheme val="minor"/>
    </font>
    <font>
      <b/>
      <sz val="12"/>
      <color theme="6"/>
      <name val="Aptos Narrow"/>
      <scheme val="minor"/>
    </font>
    <font>
      <b/>
      <sz val="12"/>
      <color rgb="FFC00000"/>
      <name val="Aptos Narrow"/>
      <scheme val="minor"/>
    </font>
    <font>
      <b/>
      <sz val="12"/>
      <color theme="0" tint="-0.14999847407452621"/>
      <name val="Aptos Narrow"/>
      <scheme val="minor"/>
    </font>
    <font>
      <sz val="12"/>
      <color rgb="FF006100"/>
      <name val="Aptos Narrow"/>
      <family val="2"/>
      <scheme val="minor"/>
    </font>
    <font>
      <b/>
      <sz val="12"/>
      <color rgb="FF9C5700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17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25" fillId="12" borderId="0" applyNumberFormat="0" applyBorder="0" applyAlignment="0" applyProtection="0"/>
    <xf numFmtId="0" fontId="9" fillId="13" borderId="0" applyNumberFormat="0" applyBorder="0" applyAlignment="0" applyProtection="0"/>
  </cellStyleXfs>
  <cellXfs count="139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right"/>
    </xf>
    <xf numFmtId="0" fontId="0" fillId="3" borderId="0" xfId="0" applyFill="1"/>
    <xf numFmtId="0" fontId="0" fillId="3" borderId="1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4" fillId="3" borderId="0" xfId="0" applyFont="1" applyFill="1"/>
    <xf numFmtId="0" fontId="0" fillId="0" borderId="0" xfId="0" applyAlignment="1">
      <alignment wrapText="1"/>
    </xf>
    <xf numFmtId="2" fontId="0" fillId="0" borderId="20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164" fontId="0" fillId="0" borderId="32" xfId="0" applyNumberFormat="1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6" fillId="0" borderId="33" xfId="0" applyNumberFormat="1" applyFont="1" applyBorder="1" applyAlignment="1">
      <alignment horizontal="center" vertical="center"/>
    </xf>
    <xf numFmtId="164" fontId="7" fillId="0" borderId="18" xfId="0" applyNumberFormat="1" applyFon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8" fillId="0" borderId="35" xfId="0" applyNumberFormat="1" applyFont="1" applyBorder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2" fontId="0" fillId="0" borderId="37" xfId="0" applyNumberFormat="1" applyBorder="1" applyAlignment="1">
      <alignment horizontal="center" vertical="center"/>
    </xf>
    <xf numFmtId="2" fontId="0" fillId="0" borderId="38" xfId="0" applyNumberFormat="1" applyBorder="1" applyAlignment="1">
      <alignment horizontal="center" vertical="center"/>
    </xf>
    <xf numFmtId="2" fontId="8" fillId="0" borderId="39" xfId="0" applyNumberFormat="1" applyFont="1" applyBorder="1" applyAlignment="1">
      <alignment horizontal="center" vertical="center"/>
    </xf>
    <xf numFmtId="2" fontId="0" fillId="0" borderId="40" xfId="0" applyNumberFormat="1" applyBorder="1" applyAlignment="1">
      <alignment horizontal="center" vertical="center"/>
    </xf>
    <xf numFmtId="2" fontId="8" fillId="0" borderId="23" xfId="0" applyNumberFormat="1" applyFont="1" applyBorder="1" applyAlignment="1">
      <alignment horizontal="center" vertical="center"/>
    </xf>
    <xf numFmtId="2" fontId="8" fillId="0" borderId="19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0" fillId="0" borderId="5" xfId="0" applyBorder="1" applyAlignment="1">
      <alignment wrapText="1"/>
    </xf>
    <xf numFmtId="0" fontId="1" fillId="0" borderId="0" xfId="1" applyFill="1"/>
    <xf numFmtId="0" fontId="0" fillId="0" borderId="1" xfId="0" applyBorder="1"/>
    <xf numFmtId="0" fontId="0" fillId="0" borderId="8" xfId="0" applyBorder="1"/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0" xfId="0" applyFont="1"/>
    <xf numFmtId="0" fontId="9" fillId="3" borderId="0" xfId="1" applyFont="1" applyFill="1"/>
    <xf numFmtId="0" fontId="0" fillId="4" borderId="0" xfId="0" applyFill="1"/>
    <xf numFmtId="0" fontId="0" fillId="4" borderId="1" xfId="0" applyFill="1" applyBorder="1"/>
    <xf numFmtId="0" fontId="0" fillId="0" borderId="42" xfId="0" applyBorder="1"/>
    <xf numFmtId="0" fontId="12" fillId="0" borderId="0" xfId="0" applyFont="1"/>
    <xf numFmtId="0" fontId="0" fillId="0" borderId="0" xfId="0" quotePrefix="1"/>
    <xf numFmtId="0" fontId="13" fillId="0" borderId="18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0" fillId="0" borderId="43" xfId="0" applyBorder="1"/>
    <xf numFmtId="0" fontId="6" fillId="0" borderId="0" xfId="0" applyFont="1"/>
    <xf numFmtId="0" fontId="17" fillId="5" borderId="0" xfId="2"/>
    <xf numFmtId="0" fontId="18" fillId="0" borderId="0" xfId="0" applyFont="1"/>
    <xf numFmtId="0" fontId="18" fillId="0" borderId="43" xfId="0" applyFont="1" applyBorder="1"/>
    <xf numFmtId="0" fontId="19" fillId="0" borderId="0" xfId="0" applyFont="1"/>
    <xf numFmtId="0" fontId="18" fillId="5" borderId="0" xfId="2" applyFont="1"/>
    <xf numFmtId="0" fontId="0" fillId="0" borderId="15" xfId="0" applyBorder="1"/>
    <xf numFmtId="0" fontId="0" fillId="0" borderId="44" xfId="0" applyBorder="1"/>
    <xf numFmtId="0" fontId="0" fillId="11" borderId="0" xfId="0" applyFill="1"/>
    <xf numFmtId="0" fontId="0" fillId="11" borderId="15" xfId="0" applyFill="1" applyBorder="1"/>
    <xf numFmtId="0" fontId="18" fillId="11" borderId="0" xfId="0" applyFont="1" applyFill="1"/>
    <xf numFmtId="0" fontId="1" fillId="2" borderId="0" xfId="1"/>
    <xf numFmtId="0" fontId="1" fillId="2" borderId="15" xfId="1" applyBorder="1"/>
    <xf numFmtId="0" fontId="20" fillId="0" borderId="0" xfId="0" applyFont="1"/>
    <xf numFmtId="0" fontId="20" fillId="0" borderId="15" xfId="0" applyFont="1" applyBorder="1"/>
    <xf numFmtId="0" fontId="8" fillId="0" borderId="0" xfId="0" applyFont="1"/>
    <xf numFmtId="10" fontId="8" fillId="0" borderId="0" xfId="0" applyNumberFormat="1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164" fontId="21" fillId="0" borderId="0" xfId="0" applyNumberFormat="1" applyFont="1"/>
    <xf numFmtId="164" fontId="22" fillId="0" borderId="0" xfId="0" applyNumberFormat="1" applyFont="1"/>
    <xf numFmtId="164" fontId="23" fillId="0" borderId="0" xfId="0" applyNumberFormat="1" applyFont="1"/>
    <xf numFmtId="0" fontId="24" fillId="0" borderId="0" xfId="0" applyFont="1"/>
    <xf numFmtId="164" fontId="24" fillId="0" borderId="0" xfId="0" applyNumberFormat="1" applyFont="1"/>
    <xf numFmtId="0" fontId="6" fillId="14" borderId="0" xfId="0" applyFont="1" applyFill="1"/>
    <xf numFmtId="0" fontId="6" fillId="14" borderId="1" xfId="0" applyFont="1" applyFill="1" applyBorder="1"/>
    <xf numFmtId="0" fontId="26" fillId="14" borderId="0" xfId="1" applyFont="1" applyFill="1"/>
    <xf numFmtId="0" fontId="11" fillId="0" borderId="0" xfId="0" applyFont="1"/>
    <xf numFmtId="11" fontId="0" fillId="0" borderId="0" xfId="0" applyNumberFormat="1"/>
    <xf numFmtId="0" fontId="0" fillId="15" borderId="0" xfId="0" applyFill="1"/>
    <xf numFmtId="0" fontId="6" fillId="0" borderId="0" xfId="5" applyFont="1" applyFill="1"/>
    <xf numFmtId="0" fontId="25" fillId="12" borderId="0" xfId="6"/>
    <xf numFmtId="0" fontId="0" fillId="15" borderId="1" xfId="0" applyFill="1" applyBorder="1"/>
    <xf numFmtId="0" fontId="9" fillId="13" borderId="0" xfId="7"/>
    <xf numFmtId="11" fontId="9" fillId="13" borderId="0" xfId="7" applyNumberFormat="1"/>
    <xf numFmtId="0" fontId="9" fillId="15" borderId="0" xfId="5" applyFill="1"/>
    <xf numFmtId="0" fontId="6" fillId="15" borderId="0" xfId="5" applyFont="1" applyFill="1"/>
    <xf numFmtId="0" fontId="1" fillId="15" borderId="0" xfId="1" applyFill="1"/>
    <xf numFmtId="0" fontId="20" fillId="0" borderId="8" xfId="0" applyFont="1" applyBorder="1"/>
    <xf numFmtId="0" fontId="20" fillId="0" borderId="9" xfId="0" applyFont="1" applyBorder="1"/>
    <xf numFmtId="0" fontId="17" fillId="5" borderId="10" xfId="2" applyBorder="1"/>
    <xf numFmtId="0" fontId="20" fillId="0" borderId="14" xfId="0" applyFont="1" applyBorder="1"/>
    <xf numFmtId="0" fontId="17" fillId="5" borderId="16" xfId="2" applyBorder="1"/>
    <xf numFmtId="0" fontId="9" fillId="0" borderId="0" xfId="4" applyFill="1"/>
    <xf numFmtId="0" fontId="9" fillId="9" borderId="8" xfId="4" applyFill="1" applyBorder="1"/>
    <xf numFmtId="0" fontId="9" fillId="9" borderId="10" xfId="4" applyFill="1" applyBorder="1"/>
    <xf numFmtId="0" fontId="9" fillId="9" borderId="14" xfId="4" applyFill="1" applyBorder="1"/>
    <xf numFmtId="0" fontId="9" fillId="9" borderId="16" xfId="4" applyFill="1" applyBorder="1"/>
    <xf numFmtId="0" fontId="9" fillId="9" borderId="8" xfId="3" applyFill="1" applyBorder="1"/>
    <xf numFmtId="0" fontId="9" fillId="9" borderId="10" xfId="3" applyFill="1" applyBorder="1"/>
    <xf numFmtId="0" fontId="9" fillId="9" borderId="14" xfId="3" applyFill="1" applyBorder="1"/>
    <xf numFmtId="0" fontId="9" fillId="9" borderId="16" xfId="3" applyFill="1" applyBorder="1"/>
    <xf numFmtId="10" fontId="0" fillId="0" borderId="0" xfId="0" applyNumberFormat="1"/>
    <xf numFmtId="0" fontId="18" fillId="9" borderId="0" xfId="0" applyFont="1" applyFill="1"/>
    <xf numFmtId="0" fontId="18" fillId="9" borderId="43" xfId="0" applyFont="1" applyFill="1" applyBorder="1"/>
    <xf numFmtId="0" fontId="19" fillId="9" borderId="0" xfId="0" applyFont="1" applyFill="1"/>
    <xf numFmtId="0" fontId="0" fillId="9" borderId="0" xfId="0" applyFill="1"/>
    <xf numFmtId="0" fontId="18" fillId="9" borderId="0" xfId="2" applyFont="1" applyFill="1"/>
    <xf numFmtId="0" fontId="0" fillId="10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15" xfId="0" applyBorder="1" applyAlignment="1">
      <alignment horizontal="center"/>
    </xf>
    <xf numFmtId="0" fontId="15" fillId="0" borderId="2" xfId="0" applyFont="1" applyBorder="1" applyAlignment="1">
      <alignment horizontal="center"/>
    </xf>
    <xf numFmtId="2" fontId="0" fillId="0" borderId="22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</cellXfs>
  <cellStyles count="8">
    <cellStyle name="20% - Accent6" xfId="3" builtinId="50"/>
    <cellStyle name="40% - Accent6" xfId="4" builtinId="51"/>
    <cellStyle name="60% - Accent2" xfId="7" builtinId="36"/>
    <cellStyle name="60% - Accent6" xfId="5" builtinId="52"/>
    <cellStyle name="Bad" xfId="2" builtinId="27"/>
    <cellStyle name="Good" xfId="6" builtinId="26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214D5-A090-8C45-856F-84A9FA36570B}">
  <dimension ref="B2:V35"/>
  <sheetViews>
    <sheetView topLeftCell="L1" zoomScale="114" workbookViewId="0">
      <selection activeCell="Q27" sqref="Q27"/>
    </sheetView>
  </sheetViews>
  <sheetFormatPr baseColWidth="10" defaultRowHeight="16" x14ac:dyDescent="0.2"/>
  <cols>
    <col min="19" max="19" width="16" bestFit="1" customWidth="1"/>
    <col min="20" max="22" width="16.6640625" bestFit="1" customWidth="1"/>
  </cols>
  <sheetData>
    <row r="2" spans="2:22" ht="17" thickBot="1" x14ac:dyDescent="0.25">
      <c r="B2" s="128" t="s">
        <v>74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Q2" s="129" t="s">
        <v>74</v>
      </c>
      <c r="R2" s="129"/>
      <c r="S2" s="129"/>
      <c r="T2" s="129"/>
      <c r="U2" s="129"/>
      <c r="V2" s="129"/>
    </row>
    <row r="3" spans="2:22" ht="17" thickBot="1" x14ac:dyDescent="0.25">
      <c r="B3" s="58" t="s">
        <v>65</v>
      </c>
      <c r="C3" s="58"/>
      <c r="D3" s="58" t="s">
        <v>66</v>
      </c>
      <c r="E3" s="58" t="s">
        <v>73</v>
      </c>
      <c r="F3" s="58"/>
      <c r="G3" s="58" t="s">
        <v>13</v>
      </c>
      <c r="H3" s="58" t="s">
        <v>73</v>
      </c>
      <c r="I3" s="58"/>
      <c r="J3" s="58" t="s">
        <v>3</v>
      </c>
      <c r="K3" s="58" t="s">
        <v>73</v>
      </c>
      <c r="L3" s="58"/>
      <c r="M3" s="58" t="s">
        <v>11</v>
      </c>
      <c r="N3" s="58" t="s">
        <v>73</v>
      </c>
      <c r="Q3" s="61" t="s">
        <v>65</v>
      </c>
      <c r="R3" s="61"/>
      <c r="S3" s="61" t="s">
        <v>66</v>
      </c>
      <c r="T3" s="61" t="s">
        <v>13</v>
      </c>
      <c r="U3" s="61" t="s">
        <v>3</v>
      </c>
      <c r="V3" s="61" t="s">
        <v>11</v>
      </c>
    </row>
    <row r="4" spans="2:22" x14ac:dyDescent="0.2">
      <c r="Q4" s="62"/>
      <c r="R4" s="62"/>
      <c r="S4" s="62"/>
      <c r="T4" s="62"/>
      <c r="U4" s="62"/>
      <c r="V4" s="62"/>
    </row>
    <row r="5" spans="2:22" x14ac:dyDescent="0.2">
      <c r="B5" t="s">
        <v>67</v>
      </c>
      <c r="C5" t="s">
        <v>70</v>
      </c>
      <c r="D5">
        <v>0.79013599999999995</v>
      </c>
      <c r="E5">
        <v>0.13860800000000001</v>
      </c>
      <c r="F5" s="59" t="s">
        <v>78</v>
      </c>
      <c r="G5" s="59">
        <v>0.77948700000000004</v>
      </c>
      <c r="H5" s="59">
        <v>0.29003099999999998</v>
      </c>
      <c r="I5" s="59" t="s">
        <v>77</v>
      </c>
      <c r="J5">
        <v>1.047634</v>
      </c>
      <c r="K5">
        <v>2.5794000000000001E-2</v>
      </c>
      <c r="L5" s="59" t="s">
        <v>78</v>
      </c>
      <c r="M5">
        <v>0.12536600000000001</v>
      </c>
      <c r="N5">
        <v>2.3206000000000001E-2</v>
      </c>
      <c r="O5" t="s">
        <v>78</v>
      </c>
      <c r="Q5" s="63" t="s">
        <v>67</v>
      </c>
      <c r="R5" s="63" t="s">
        <v>70</v>
      </c>
      <c r="S5" s="63" t="str">
        <f>_xlfn.CONCAT(ROUND(D5,3)," (", ROUND(E5,3), ") ", F5)</f>
        <v>0.79 (0.139) ***</v>
      </c>
      <c r="T5" s="63" t="str">
        <f>_xlfn.CONCAT(ROUND(G5,3)," (", ROUND(H5,3), ") ", I5)</f>
        <v>0.779 (0.29) **</v>
      </c>
      <c r="U5" s="63" t="str">
        <f>_xlfn.CONCAT(ROUND(J5,3)," (", ROUND(K5,3), ") ", L5)</f>
        <v>1.048 (0.026) ***</v>
      </c>
      <c r="V5" s="63" t="str">
        <f>_xlfn.CONCAT(ROUND(M5,3)," (", ROUND(N5,3), ") ", O5)</f>
        <v>0.125 (0.023) ***</v>
      </c>
    </row>
    <row r="6" spans="2:22" x14ac:dyDescent="0.2">
      <c r="C6" t="s">
        <v>72</v>
      </c>
      <c r="D6">
        <v>5.37949E-2</v>
      </c>
      <c r="E6">
        <v>2.8838000000000002E-3</v>
      </c>
      <c r="F6" s="59" t="s">
        <v>78</v>
      </c>
      <c r="G6" s="59">
        <v>3.9604E-2</v>
      </c>
      <c r="H6" s="59">
        <v>1.7570000000000001E-3</v>
      </c>
      <c r="I6" s="59" t="s">
        <v>78</v>
      </c>
      <c r="J6">
        <v>6.9143999999999997E-2</v>
      </c>
      <c r="K6">
        <v>4.7939999999999997E-3</v>
      </c>
      <c r="L6" s="59" t="s">
        <v>78</v>
      </c>
      <c r="M6">
        <v>-4.0990000000000002E-3</v>
      </c>
      <c r="N6">
        <v>7.5030000000000001E-3</v>
      </c>
      <c r="Q6" s="63"/>
      <c r="R6" s="63" t="s">
        <v>72</v>
      </c>
      <c r="S6" s="63" t="str">
        <f t="shared" ref="S6:S7" si="0">_xlfn.CONCAT(ROUND(D6,3)," (", ROUND(E6,3), ") ", F6)</f>
        <v>0.054 (0.003) ***</v>
      </c>
      <c r="T6" s="63" t="str">
        <f t="shared" ref="T6:T28" si="1">_xlfn.CONCAT(ROUND(G6,3)," (", ROUND(H6,3), ") ", I6)</f>
        <v>0.04 (0.002) ***</v>
      </c>
      <c r="U6" s="63" t="str">
        <f t="shared" ref="U6:U29" si="2">_xlfn.CONCAT(ROUND(J6,3)," (", ROUND(K6,3), ") ", L6)</f>
        <v>0.069 (0.005) ***</v>
      </c>
      <c r="V6" s="63" t="str">
        <f t="shared" ref="V6:V28" si="3">_xlfn.CONCAT(ROUND(M6,3)," (", ROUND(N6,3), ") ", O6)</f>
        <v xml:space="preserve">-0.004 (0.008) </v>
      </c>
    </row>
    <row r="7" spans="2:22" x14ac:dyDescent="0.2">
      <c r="C7" t="s">
        <v>71</v>
      </c>
      <c r="D7">
        <v>3.1776999999999999E-3</v>
      </c>
      <c r="E7">
        <v>8.6260000000000004E-4</v>
      </c>
      <c r="F7" s="59" t="s">
        <v>78</v>
      </c>
      <c r="G7" s="60" t="s">
        <v>76</v>
      </c>
      <c r="J7">
        <v>-1.0012E-2</v>
      </c>
      <c r="K7">
        <v>1.1919999999999999E-3</v>
      </c>
      <c r="L7" s="59" t="s">
        <v>78</v>
      </c>
      <c r="M7">
        <v>-5.9100000000000003E-3</v>
      </c>
      <c r="N7">
        <v>1.1069999999999999E-3</v>
      </c>
      <c r="O7" t="s">
        <v>78</v>
      </c>
      <c r="Q7" s="63"/>
      <c r="R7" s="63" t="s">
        <v>71</v>
      </c>
      <c r="S7" s="64" t="str">
        <f t="shared" si="0"/>
        <v>0.003 (0.001) ***</v>
      </c>
      <c r="T7" s="63"/>
      <c r="U7" s="65" t="str">
        <f t="shared" si="2"/>
        <v>-0.01 (0.001) ***</v>
      </c>
      <c r="V7" s="64" t="str">
        <f t="shared" si="3"/>
        <v>-0.006 (0.001) ***</v>
      </c>
    </row>
    <row r="8" spans="2:22" x14ac:dyDescent="0.2">
      <c r="P8" s="59"/>
      <c r="Q8" s="63"/>
      <c r="R8" s="63"/>
      <c r="S8" s="63"/>
      <c r="T8" s="63"/>
      <c r="U8" s="63"/>
      <c r="V8" s="63"/>
    </row>
    <row r="9" spans="2:22" x14ac:dyDescent="0.2">
      <c r="B9" t="s">
        <v>69</v>
      </c>
      <c r="C9" t="s">
        <v>70</v>
      </c>
      <c r="D9">
        <v>0.81041099999999999</v>
      </c>
      <c r="E9">
        <v>0.185973</v>
      </c>
      <c r="F9" s="59" t="s">
        <v>78</v>
      </c>
      <c r="G9">
        <v>0.92496999999999996</v>
      </c>
      <c r="H9">
        <v>0.302149</v>
      </c>
      <c r="I9" s="59" t="s">
        <v>77</v>
      </c>
      <c r="J9">
        <v>1.1279950000000001</v>
      </c>
      <c r="K9">
        <v>3.7483000000000002E-2</v>
      </c>
      <c r="L9" s="59" t="s">
        <v>78</v>
      </c>
      <c r="M9">
        <v>0.14822579999999999</v>
      </c>
      <c r="N9">
        <v>3.6132400000000002E-2</v>
      </c>
      <c r="O9" t="s">
        <v>78</v>
      </c>
      <c r="P9" s="59"/>
      <c r="Q9" s="63" t="s">
        <v>69</v>
      </c>
      <c r="R9" s="63" t="s">
        <v>70</v>
      </c>
      <c r="S9" s="63" t="str">
        <f>_xlfn.CONCAT(ROUND(D9,3)," (", ROUND(E9,3), ") ", F9)</f>
        <v>0.81 (0.186) ***</v>
      </c>
      <c r="T9" s="63" t="str">
        <f t="shared" si="1"/>
        <v>0.925 (0.302) **</v>
      </c>
      <c r="U9" s="63" t="str">
        <f t="shared" si="2"/>
        <v>1.128 (0.037) ***</v>
      </c>
      <c r="V9" s="63" t="str">
        <f t="shared" si="3"/>
        <v>0.148 (0.036) ***</v>
      </c>
    </row>
    <row r="10" spans="2:22" x14ac:dyDescent="0.2">
      <c r="C10" t="s">
        <v>72</v>
      </c>
      <c r="D10">
        <v>7.4990000000000001E-2</v>
      </c>
      <c r="E10">
        <v>1.8649999999999999E-3</v>
      </c>
      <c r="F10" s="59" t="s">
        <v>78</v>
      </c>
      <c r="G10">
        <v>7.2283E-2</v>
      </c>
      <c r="H10">
        <v>5.1500000000000001E-3</v>
      </c>
      <c r="I10" s="59" t="s">
        <v>78</v>
      </c>
      <c r="J10">
        <v>7.3440000000000005E-2</v>
      </c>
      <c r="K10">
        <v>1.4163E-2</v>
      </c>
      <c r="L10" s="59" t="s">
        <v>78</v>
      </c>
      <c r="M10">
        <v>-4.484E-4</v>
      </c>
      <c r="N10">
        <v>2.2057199999999999E-2</v>
      </c>
      <c r="Q10" s="63"/>
      <c r="R10" s="63" t="s">
        <v>72</v>
      </c>
      <c r="S10" s="63" t="str">
        <f t="shared" ref="S10" si="4">_xlfn.CONCAT(ROUND(D10,3)," (", ROUND(E10,3), ") ", F10)</f>
        <v>0.075 (0.002) ***</v>
      </c>
      <c r="T10" s="63" t="str">
        <f t="shared" si="1"/>
        <v>0.072 (0.005) ***</v>
      </c>
      <c r="U10" s="63" t="str">
        <f t="shared" si="2"/>
        <v>0.073 (0.014) ***</v>
      </c>
      <c r="V10" s="63" t="str">
        <f t="shared" si="3"/>
        <v xml:space="preserve">0 (0.022) </v>
      </c>
    </row>
    <row r="11" spans="2:22" x14ac:dyDescent="0.2">
      <c r="C11" t="s">
        <v>71</v>
      </c>
      <c r="D11" s="60" t="s">
        <v>76</v>
      </c>
      <c r="G11">
        <v>-8.6540000000000002E-3</v>
      </c>
      <c r="H11">
        <v>1.6299999999999999E-3</v>
      </c>
      <c r="I11" s="59" t="s">
        <v>78</v>
      </c>
      <c r="J11">
        <v>-1.3854E-2</v>
      </c>
      <c r="K11">
        <v>1.8990000000000001E-3</v>
      </c>
      <c r="L11" s="59" t="s">
        <v>78</v>
      </c>
      <c r="M11">
        <v>-7.5893000000000002E-3</v>
      </c>
      <c r="N11">
        <v>1.8418E-3</v>
      </c>
      <c r="O11" t="s">
        <v>78</v>
      </c>
      <c r="Q11" s="63"/>
      <c r="R11" s="63" t="s">
        <v>71</v>
      </c>
      <c r="S11" s="63"/>
      <c r="T11" s="64" t="str">
        <f t="shared" si="1"/>
        <v>-0.009 (0.002) ***</v>
      </c>
      <c r="U11" s="65" t="str">
        <f t="shared" si="2"/>
        <v>-0.014 (0.002) ***</v>
      </c>
      <c r="V11" s="64" t="str">
        <f t="shared" si="3"/>
        <v>-0.008 (0.002) ***</v>
      </c>
    </row>
    <row r="12" spans="2:22" x14ac:dyDescent="0.2">
      <c r="Q12" s="63"/>
      <c r="R12" s="63"/>
      <c r="S12" s="63"/>
      <c r="T12" s="63"/>
      <c r="U12" s="63"/>
      <c r="V12" s="63"/>
    </row>
    <row r="13" spans="2:22" x14ac:dyDescent="0.2">
      <c r="B13" t="s">
        <v>68</v>
      </c>
      <c r="C13" t="s">
        <v>70</v>
      </c>
      <c r="D13">
        <v>0.82521199999999995</v>
      </c>
      <c r="E13">
        <v>7.8182000000000001E-2</v>
      </c>
      <c r="F13" s="59" t="s">
        <v>78</v>
      </c>
      <c r="G13">
        <v>0.87922999999999996</v>
      </c>
      <c r="H13">
        <v>0.28789900000000002</v>
      </c>
      <c r="I13" s="59" t="s">
        <v>77</v>
      </c>
      <c r="J13" s="59">
        <v>1.0014689999999999</v>
      </c>
      <c r="K13">
        <v>0.57242599999999999</v>
      </c>
      <c r="L13" s="59" t="s">
        <v>79</v>
      </c>
      <c r="M13">
        <v>-2.2669000000000002E-2</v>
      </c>
      <c r="N13">
        <v>2.0070000000000001E-2</v>
      </c>
      <c r="Q13" s="63" t="s">
        <v>68</v>
      </c>
      <c r="R13" s="63" t="s">
        <v>70</v>
      </c>
      <c r="S13" s="63" t="str">
        <f>_xlfn.CONCAT(ROUND(D13,3)," (", ROUND(E13,3), ") ", F13)</f>
        <v>0.825 (0.078) ***</v>
      </c>
      <c r="T13" s="63" t="str">
        <f t="shared" si="1"/>
        <v>0.879 (0.288) **</v>
      </c>
      <c r="U13" s="63" t="str">
        <f t="shared" si="2"/>
        <v>1.001 (0.572) .</v>
      </c>
      <c r="V13" s="63" t="str">
        <f t="shared" si="3"/>
        <v xml:space="preserve">-0.023 (0.02) </v>
      </c>
    </row>
    <row r="14" spans="2:22" x14ac:dyDescent="0.2">
      <c r="C14" t="s">
        <v>72</v>
      </c>
      <c r="D14">
        <v>5.3792E-2</v>
      </c>
      <c r="E14">
        <v>2.222E-3</v>
      </c>
      <c r="F14" s="59" t="s">
        <v>78</v>
      </c>
      <c r="G14">
        <v>6.5110000000000003E-3</v>
      </c>
      <c r="H14">
        <v>5.6649999999999999E-3</v>
      </c>
      <c r="J14">
        <v>3.1241999999999999E-2</v>
      </c>
      <c r="K14">
        <v>5.2249999999999996E-3</v>
      </c>
      <c r="L14" s="59" t="s">
        <v>78</v>
      </c>
      <c r="M14">
        <v>-3.1705999999999998E-2</v>
      </c>
      <c r="N14">
        <v>5.5950000000000001E-3</v>
      </c>
      <c r="O14" t="s">
        <v>78</v>
      </c>
      <c r="Q14" s="63"/>
      <c r="R14" s="63" t="s">
        <v>72</v>
      </c>
      <c r="S14" s="63" t="str">
        <f t="shared" ref="S14" si="5">_xlfn.CONCAT(ROUND(D14,3)," (", ROUND(E14,3), ") ", F14)</f>
        <v>0.054 (0.002) ***</v>
      </c>
      <c r="T14" s="63" t="str">
        <f t="shared" si="1"/>
        <v xml:space="preserve">0.007 (0.006) </v>
      </c>
      <c r="U14" s="63" t="str">
        <f t="shared" si="2"/>
        <v>0.031 (0.005) ***</v>
      </c>
      <c r="V14" s="63" t="str">
        <f t="shared" si="3"/>
        <v>-0.032 (0.006) ***</v>
      </c>
    </row>
    <row r="15" spans="2:22" x14ac:dyDescent="0.2">
      <c r="C15" t="s">
        <v>71</v>
      </c>
      <c r="D15" s="60" t="s">
        <v>76</v>
      </c>
      <c r="G15">
        <v>4.9399999999999999E-3</v>
      </c>
      <c r="H15">
        <v>1.168E-3</v>
      </c>
      <c r="I15" s="59" t="s">
        <v>78</v>
      </c>
      <c r="J15" s="60" t="s">
        <v>76</v>
      </c>
      <c r="P15" s="59"/>
      <c r="Q15" s="63"/>
      <c r="R15" s="63" t="s">
        <v>71</v>
      </c>
      <c r="S15" s="63"/>
      <c r="T15" s="64" t="str">
        <f t="shared" si="1"/>
        <v>0.005 (0.001) ***</v>
      </c>
      <c r="U15" s="63"/>
      <c r="V15" s="63"/>
    </row>
    <row r="16" spans="2:22" ht="17" thickBot="1" x14ac:dyDescent="0.25">
      <c r="B16" s="128" t="s">
        <v>32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P16" s="59"/>
      <c r="Q16" s="129" t="s">
        <v>81</v>
      </c>
      <c r="R16" s="129"/>
      <c r="S16" s="129"/>
      <c r="T16" s="129"/>
      <c r="U16" s="129"/>
      <c r="V16" s="129"/>
    </row>
    <row r="17" spans="2:22" ht="17" thickBot="1" x14ac:dyDescent="0.25">
      <c r="B17" s="58" t="s">
        <v>65</v>
      </c>
      <c r="C17" s="58"/>
      <c r="D17" s="58" t="s">
        <v>66</v>
      </c>
      <c r="E17" s="58" t="s">
        <v>73</v>
      </c>
      <c r="F17" s="58"/>
      <c r="G17" s="58" t="s">
        <v>13</v>
      </c>
      <c r="H17" s="58" t="s">
        <v>73</v>
      </c>
      <c r="I17" s="58"/>
      <c r="J17" s="58" t="s">
        <v>3</v>
      </c>
      <c r="K17" s="58" t="s">
        <v>73</v>
      </c>
      <c r="L17" s="58"/>
      <c r="M17" s="58" t="s">
        <v>11</v>
      </c>
      <c r="N17" s="58" t="s">
        <v>73</v>
      </c>
      <c r="P17" s="59"/>
      <c r="Q17" s="61" t="s">
        <v>65</v>
      </c>
      <c r="R17" s="61"/>
      <c r="S17" s="61" t="s">
        <v>66</v>
      </c>
      <c r="T17" s="61" t="s">
        <v>13</v>
      </c>
      <c r="U17" s="61" t="s">
        <v>3</v>
      </c>
      <c r="V17" s="61" t="s">
        <v>11</v>
      </c>
    </row>
    <row r="18" spans="2:22" x14ac:dyDescent="0.2">
      <c r="P18" s="59"/>
      <c r="Q18" s="62"/>
      <c r="R18" s="62"/>
      <c r="S18" s="62"/>
      <c r="T18" s="62"/>
      <c r="U18" s="62"/>
      <c r="V18" s="62"/>
    </row>
    <row r="19" spans="2:22" x14ac:dyDescent="0.2">
      <c r="B19" t="s">
        <v>67</v>
      </c>
      <c r="C19" t="s">
        <v>70</v>
      </c>
      <c r="D19">
        <v>0.87000100000000002</v>
      </c>
      <c r="E19">
        <v>6.1441000000000003E-2</v>
      </c>
      <c r="F19" t="s">
        <v>78</v>
      </c>
      <c r="G19" s="59">
        <v>1.057698</v>
      </c>
      <c r="H19" s="59">
        <v>3.5608000000000001E-2</v>
      </c>
      <c r="I19" t="s">
        <v>78</v>
      </c>
      <c r="J19">
        <v>1.1774290000000001</v>
      </c>
      <c r="K19">
        <v>8.6161000000000001E-2</v>
      </c>
      <c r="L19" t="s">
        <v>78</v>
      </c>
      <c r="M19">
        <v>-5.1756999999999997E-2</v>
      </c>
      <c r="N19">
        <v>1.7298999999999998E-2</v>
      </c>
      <c r="O19" s="59" t="s">
        <v>77</v>
      </c>
      <c r="P19" s="59"/>
      <c r="Q19" s="63" t="s">
        <v>67</v>
      </c>
      <c r="R19" s="63" t="s">
        <v>70</v>
      </c>
      <c r="S19" s="63" t="str">
        <f t="shared" ref="S19:S28" si="6">_xlfn.CONCAT(ROUND(D19,3)," (", ROUND(E19,3), ") ", F19)</f>
        <v>0.87 (0.061) ***</v>
      </c>
      <c r="T19" s="63" t="str">
        <f t="shared" si="1"/>
        <v>1.058 (0.036) ***</v>
      </c>
      <c r="U19" s="63" t="str">
        <f t="shared" si="2"/>
        <v>1.177 (0.086) ***</v>
      </c>
      <c r="V19" s="63" t="str">
        <f t="shared" si="3"/>
        <v>-0.052 (0.017) **</v>
      </c>
    </row>
    <row r="20" spans="2:22" x14ac:dyDescent="0.2">
      <c r="C20" t="s">
        <v>72</v>
      </c>
      <c r="D20">
        <v>8.2425999999999999E-2</v>
      </c>
      <c r="E20">
        <v>1.9610000000000001E-3</v>
      </c>
      <c r="F20" t="s">
        <v>78</v>
      </c>
      <c r="G20" s="59">
        <v>3.9094999999999998E-2</v>
      </c>
      <c r="H20" s="59">
        <v>1.3107000000000001E-2</v>
      </c>
      <c r="I20" t="s">
        <v>77</v>
      </c>
      <c r="J20">
        <v>5.731E-3</v>
      </c>
      <c r="K20">
        <v>3.1213000000000001E-2</v>
      </c>
      <c r="M20">
        <v>-4.5393999999999997E-2</v>
      </c>
      <c r="N20">
        <v>1.954E-3</v>
      </c>
      <c r="O20" s="59" t="s">
        <v>78</v>
      </c>
      <c r="P20" s="59"/>
      <c r="Q20" s="63"/>
      <c r="R20" s="63" t="s">
        <v>72</v>
      </c>
      <c r="S20" s="63" t="str">
        <f t="shared" si="6"/>
        <v>0.082 (0.002) ***</v>
      </c>
      <c r="T20" s="63" t="str">
        <f t="shared" si="1"/>
        <v>0.039 (0.013) **</v>
      </c>
      <c r="U20" s="63" t="str">
        <f t="shared" si="2"/>
        <v xml:space="preserve">0.006 (0.031) </v>
      </c>
      <c r="V20" s="63" t="str">
        <f t="shared" si="3"/>
        <v>-0.045 (0.002) ***</v>
      </c>
    </row>
    <row r="21" spans="2:22" x14ac:dyDescent="0.2">
      <c r="C21" t="s">
        <v>71</v>
      </c>
      <c r="D21" s="60" t="s">
        <v>76</v>
      </c>
      <c r="G21" s="59">
        <v>-8.1899999999999994E-3</v>
      </c>
      <c r="H21" s="59">
        <v>1.3339999999999999E-3</v>
      </c>
      <c r="I21" t="s">
        <v>78</v>
      </c>
      <c r="J21">
        <v>-1.3981E-2</v>
      </c>
      <c r="K21">
        <v>3.0730000000000002E-3</v>
      </c>
      <c r="L21" t="s">
        <v>78</v>
      </c>
      <c r="M21" s="60" t="s">
        <v>76</v>
      </c>
      <c r="P21" s="59"/>
      <c r="Q21" s="63"/>
      <c r="R21" s="63" t="s">
        <v>71</v>
      </c>
      <c r="S21" s="63"/>
      <c r="T21" s="64" t="str">
        <f t="shared" si="1"/>
        <v>-0.008 (0.001) ***</v>
      </c>
      <c r="U21" s="65" t="str">
        <f t="shared" si="2"/>
        <v>-0.014 (0.003) ***</v>
      </c>
      <c r="V21" s="63"/>
    </row>
    <row r="22" spans="2:22" x14ac:dyDescent="0.2">
      <c r="P22" s="59"/>
      <c r="Q22" s="63"/>
      <c r="R22" s="63"/>
      <c r="S22" s="63"/>
      <c r="T22" s="63"/>
      <c r="U22" s="63"/>
      <c r="V22" s="63"/>
    </row>
    <row r="23" spans="2:22" x14ac:dyDescent="0.2">
      <c r="B23" t="s">
        <v>69</v>
      </c>
      <c r="C23" t="s">
        <v>70</v>
      </c>
      <c r="D23">
        <v>0.82272199999999995</v>
      </c>
      <c r="E23">
        <v>2.0414999999999999E-2</v>
      </c>
      <c r="F23" t="s">
        <v>78</v>
      </c>
      <c r="G23">
        <v>0.75630900000000001</v>
      </c>
      <c r="H23">
        <v>0.168297</v>
      </c>
      <c r="I23" t="s">
        <v>78</v>
      </c>
      <c r="J23">
        <v>0.79007000000000005</v>
      </c>
      <c r="K23">
        <v>2.734E-2</v>
      </c>
      <c r="L23" t="s">
        <v>78</v>
      </c>
      <c r="M23">
        <v>-3.2555000000000001E-2</v>
      </c>
      <c r="N23">
        <v>2.2006000000000001E-2</v>
      </c>
      <c r="Q23" s="63" t="s">
        <v>69</v>
      </c>
      <c r="R23" s="63" t="s">
        <v>70</v>
      </c>
      <c r="S23" s="63" t="str">
        <f t="shared" si="6"/>
        <v>0.823 (0.02) ***</v>
      </c>
      <c r="T23" s="63" t="str">
        <f t="shared" si="1"/>
        <v>0.756 (0.168) ***</v>
      </c>
      <c r="U23" s="63" t="str">
        <f t="shared" si="2"/>
        <v>0.79 (0.027) ***</v>
      </c>
      <c r="V23" s="63" t="str">
        <f t="shared" si="3"/>
        <v xml:space="preserve">-0.033 (0.022) </v>
      </c>
    </row>
    <row r="24" spans="2:22" x14ac:dyDescent="0.2">
      <c r="C24" t="s">
        <v>72</v>
      </c>
      <c r="D24">
        <v>6.7450999999999997E-2</v>
      </c>
      <c r="E24">
        <v>9.214E-3</v>
      </c>
      <c r="F24" t="s">
        <v>78</v>
      </c>
      <c r="G24">
        <v>3.8979E-2</v>
      </c>
      <c r="H24">
        <v>1.389E-3</v>
      </c>
      <c r="I24" t="s">
        <v>78</v>
      </c>
      <c r="J24">
        <v>-1.8319999999999999E-2</v>
      </c>
      <c r="K24">
        <v>2.6599999999999999E-2</v>
      </c>
      <c r="M24">
        <v>-3.8182000000000001E-2</v>
      </c>
      <c r="N24">
        <v>6.1079999999999997E-3</v>
      </c>
      <c r="O24" t="s">
        <v>78</v>
      </c>
      <c r="Q24" s="63"/>
      <c r="R24" s="63" t="s">
        <v>72</v>
      </c>
      <c r="S24" s="63" t="str">
        <f t="shared" si="6"/>
        <v>0.067 (0.009) ***</v>
      </c>
      <c r="T24" s="63" t="str">
        <f t="shared" si="1"/>
        <v>0.039 (0.001) ***</v>
      </c>
      <c r="U24" s="63" t="str">
        <f t="shared" si="2"/>
        <v xml:space="preserve">-0.018 (0.027) </v>
      </c>
      <c r="V24" s="63" t="str">
        <f t="shared" si="3"/>
        <v>-0.038 (0.006) ***</v>
      </c>
    </row>
    <row r="25" spans="2:22" x14ac:dyDescent="0.2">
      <c r="C25" t="s">
        <v>71</v>
      </c>
      <c r="G25" s="60" t="s">
        <v>76</v>
      </c>
      <c r="Q25" s="63"/>
      <c r="R25" s="63" t="s">
        <v>71</v>
      </c>
      <c r="S25" s="63"/>
      <c r="T25" s="63"/>
      <c r="U25" s="63"/>
      <c r="V25" s="63"/>
    </row>
    <row r="26" spans="2:22" x14ac:dyDescent="0.2">
      <c r="Q26" s="63"/>
      <c r="R26" s="63"/>
      <c r="S26" s="63"/>
      <c r="T26" s="63"/>
      <c r="U26" s="63"/>
      <c r="V26" s="63"/>
    </row>
    <row r="27" spans="2:22" x14ac:dyDescent="0.2">
      <c r="B27" t="s">
        <v>68</v>
      </c>
      <c r="C27" t="s">
        <v>70</v>
      </c>
      <c r="D27">
        <v>0.80867199999999995</v>
      </c>
      <c r="E27">
        <v>2.9786E-2</v>
      </c>
      <c r="F27" t="s">
        <v>78</v>
      </c>
      <c r="G27">
        <v>0.84434699999999996</v>
      </c>
      <c r="H27">
        <v>2.1999999999999999E-2</v>
      </c>
      <c r="I27" t="s">
        <v>78</v>
      </c>
      <c r="J27">
        <v>1.174409</v>
      </c>
      <c r="K27">
        <v>8.5024000000000002E-2</v>
      </c>
      <c r="L27" t="s">
        <v>78</v>
      </c>
      <c r="M27">
        <v>-0.16409000000000001</v>
      </c>
      <c r="N27">
        <v>2.1319999999999999E-2</v>
      </c>
      <c r="O27" s="59" t="s">
        <v>78</v>
      </c>
      <c r="Q27" s="63" t="s">
        <v>68</v>
      </c>
      <c r="R27" s="63" t="s">
        <v>70</v>
      </c>
      <c r="S27" s="63" t="str">
        <f t="shared" si="6"/>
        <v>0.809 (0.03) ***</v>
      </c>
      <c r="T27" s="63" t="str">
        <f t="shared" si="1"/>
        <v>0.844 (0.022) ***</v>
      </c>
      <c r="U27" s="63" t="str">
        <f t="shared" si="2"/>
        <v>1.174 (0.085) ***</v>
      </c>
      <c r="V27" s="63" t="str">
        <f t="shared" si="3"/>
        <v>-0.164 (0.021) ***</v>
      </c>
    </row>
    <row r="28" spans="2:22" x14ac:dyDescent="0.2">
      <c r="C28" t="s">
        <v>72</v>
      </c>
      <c r="D28">
        <v>8.1128000000000006E-2</v>
      </c>
      <c r="E28">
        <v>8.9910000000000007E-3</v>
      </c>
      <c r="F28" t="s">
        <v>78</v>
      </c>
      <c r="G28">
        <v>-1.7402999999999998E-2</v>
      </c>
      <c r="H28">
        <v>7.8139999999999998E-3</v>
      </c>
      <c r="I28" t="s">
        <v>80</v>
      </c>
      <c r="J28">
        <v>6.391E-3</v>
      </c>
      <c r="K28">
        <v>3.0175E-2</v>
      </c>
      <c r="M28">
        <v>-9.4759999999999997E-2</v>
      </c>
      <c r="N28">
        <v>1.0880000000000001E-2</v>
      </c>
      <c r="O28" s="59" t="s">
        <v>78</v>
      </c>
      <c r="Q28" s="63"/>
      <c r="R28" s="63" t="s">
        <v>72</v>
      </c>
      <c r="S28" s="63" t="str">
        <f t="shared" si="6"/>
        <v>0.081 (0.009) ***</v>
      </c>
      <c r="T28" s="63" t="str">
        <f t="shared" si="1"/>
        <v>-0.017 (0.008) *</v>
      </c>
      <c r="U28" s="63" t="str">
        <f t="shared" si="2"/>
        <v xml:space="preserve">0.006 (0.03) </v>
      </c>
      <c r="V28" s="63" t="str">
        <f t="shared" si="3"/>
        <v>-0.095 (0.011) ***</v>
      </c>
    </row>
    <row r="29" spans="2:22" x14ac:dyDescent="0.2">
      <c r="C29" t="s">
        <v>71</v>
      </c>
      <c r="J29">
        <v>-1.3835E-2</v>
      </c>
      <c r="K29">
        <v>3.039E-3</v>
      </c>
      <c r="L29" t="s">
        <v>78</v>
      </c>
      <c r="Q29" s="63"/>
      <c r="R29" s="63" t="s">
        <v>71</v>
      </c>
      <c r="S29" s="63"/>
      <c r="T29" s="63"/>
      <c r="U29" s="65" t="str">
        <f t="shared" si="2"/>
        <v>-0.014 (0.003) ***</v>
      </c>
      <c r="V29" s="63"/>
    </row>
    <row r="31" spans="2:22" x14ac:dyDescent="0.2">
      <c r="B31" t="s">
        <v>75</v>
      </c>
    </row>
    <row r="32" spans="2:22" x14ac:dyDescent="0.2">
      <c r="B32" s="59"/>
      <c r="F32" s="96"/>
    </row>
    <row r="33" spans="2:6" x14ac:dyDescent="0.2">
      <c r="B33" s="59"/>
    </row>
    <row r="34" spans="2:6" x14ac:dyDescent="0.2">
      <c r="B34" s="59"/>
      <c r="F34" s="96"/>
    </row>
    <row r="35" spans="2:6" x14ac:dyDescent="0.2">
      <c r="B35" s="59"/>
    </row>
  </sheetData>
  <mergeCells count="4">
    <mergeCell ref="B16:N16"/>
    <mergeCell ref="B2:N2"/>
    <mergeCell ref="Q16:V16"/>
    <mergeCell ref="Q2:V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EF8A-659A-CA47-87BA-E70EAD51C700}">
  <dimension ref="A1:AY47"/>
  <sheetViews>
    <sheetView topLeftCell="E2" zoomScale="67" workbookViewId="0">
      <selection activeCell="T41" sqref="T41"/>
    </sheetView>
  </sheetViews>
  <sheetFormatPr baseColWidth="10" defaultRowHeight="16" x14ac:dyDescent="0.2"/>
  <cols>
    <col min="1" max="1" width="31.5" bestFit="1" customWidth="1"/>
    <col min="2" max="2" width="9.33203125" customWidth="1"/>
    <col min="3" max="3" width="9.33203125" style="75" customWidth="1"/>
    <col min="4" max="9" width="9.33203125" customWidth="1"/>
    <col min="15" max="18" width="8.33203125" customWidth="1"/>
    <col min="22" max="22" width="10.83203125" style="66"/>
    <col min="25" max="25" width="10.83203125" style="75"/>
    <col min="45" max="45" width="22.33203125" customWidth="1"/>
    <col min="46" max="46" width="9.33203125" style="75" customWidth="1"/>
    <col min="47" max="47" width="10.83203125" style="75"/>
    <col min="48" max="49" width="13.6640625" bestFit="1" customWidth="1"/>
    <col min="50" max="50" width="21" bestFit="1" customWidth="1"/>
    <col min="51" max="51" width="21.83203125" bestFit="1" customWidth="1"/>
  </cols>
  <sheetData>
    <row r="1" spans="1:51" x14ac:dyDescent="0.2">
      <c r="A1" s="126" t="s">
        <v>12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7" t="s">
        <v>13</v>
      </c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T1"/>
      <c r="AU1"/>
    </row>
    <row r="2" spans="1:51" ht="17" thickBot="1" x14ac:dyDescent="0.25">
      <c r="A2" t="s">
        <v>82</v>
      </c>
      <c r="B2" t="s">
        <v>83</v>
      </c>
      <c r="C2" s="75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99</v>
      </c>
      <c r="S2" t="s">
        <v>100</v>
      </c>
      <c r="T2" t="s">
        <v>101</v>
      </c>
      <c r="U2" t="s">
        <v>102</v>
      </c>
      <c r="V2" s="66" t="s">
        <v>103</v>
      </c>
      <c r="W2" t="s">
        <v>82</v>
      </c>
      <c r="X2" t="s">
        <v>83</v>
      </c>
      <c r="Y2" s="75" t="s">
        <v>84</v>
      </c>
      <c r="Z2" t="s">
        <v>85</v>
      </c>
      <c r="AA2" t="s">
        <v>86</v>
      </c>
      <c r="AB2" t="s">
        <v>87</v>
      </c>
      <c r="AC2" t="s">
        <v>88</v>
      </c>
      <c r="AD2" t="s">
        <v>89</v>
      </c>
      <c r="AE2" t="s">
        <v>90</v>
      </c>
      <c r="AF2" t="s">
        <v>91</v>
      </c>
      <c r="AG2" t="s">
        <v>92</v>
      </c>
      <c r="AH2" t="s">
        <v>93</v>
      </c>
      <c r="AI2" t="s">
        <v>94</v>
      </c>
      <c r="AJ2" t="s">
        <v>95</v>
      </c>
      <c r="AK2" t="s">
        <v>96</v>
      </c>
      <c r="AL2" t="s">
        <v>97</v>
      </c>
      <c r="AM2" t="s">
        <v>98</v>
      </c>
      <c r="AN2" t="s">
        <v>99</v>
      </c>
      <c r="AO2" t="s">
        <v>100</v>
      </c>
      <c r="AP2" t="s">
        <v>101</v>
      </c>
      <c r="AQ2" t="s">
        <v>102</v>
      </c>
      <c r="AR2" t="s">
        <v>103</v>
      </c>
      <c r="AT2" s="75" t="s">
        <v>220</v>
      </c>
      <c r="AU2" s="75" t="s">
        <v>221</v>
      </c>
      <c r="AV2" t="s">
        <v>218</v>
      </c>
      <c r="AW2" t="s">
        <v>219</v>
      </c>
      <c r="AX2" s="128" t="s">
        <v>313</v>
      </c>
      <c r="AY2" s="128"/>
    </row>
    <row r="3" spans="1:51" ht="17" thickBot="1" x14ac:dyDescent="0.25">
      <c r="A3" t="s">
        <v>104</v>
      </c>
      <c r="B3">
        <v>-4.8499999999999996</v>
      </c>
      <c r="C3" s="75">
        <v>1.24</v>
      </c>
      <c r="D3" t="s">
        <v>105</v>
      </c>
      <c r="E3">
        <v>-6.7</v>
      </c>
      <c r="F3">
        <v>0.91</v>
      </c>
      <c r="G3" t="s">
        <v>105</v>
      </c>
      <c r="H3">
        <v>-3.01</v>
      </c>
      <c r="I3">
        <v>1.56</v>
      </c>
      <c r="J3" t="s">
        <v>105</v>
      </c>
      <c r="K3" t="s">
        <v>106</v>
      </c>
      <c r="L3" t="s">
        <v>107</v>
      </c>
      <c r="M3">
        <v>171</v>
      </c>
      <c r="N3">
        <v>507</v>
      </c>
      <c r="O3">
        <v>48</v>
      </c>
      <c r="P3">
        <v>20</v>
      </c>
      <c r="Q3">
        <v>20</v>
      </c>
      <c r="R3">
        <v>1</v>
      </c>
      <c r="S3" t="s">
        <v>12</v>
      </c>
      <c r="T3" t="s">
        <v>7</v>
      </c>
      <c r="U3" t="s">
        <v>108</v>
      </c>
      <c r="V3" s="66">
        <v>0</v>
      </c>
      <c r="AV3" t="s">
        <v>217</v>
      </c>
      <c r="AW3" t="s">
        <v>217</v>
      </c>
      <c r="AX3" t="s">
        <v>213</v>
      </c>
      <c r="AY3" t="s">
        <v>214</v>
      </c>
    </row>
    <row r="4" spans="1:51" x14ac:dyDescent="0.2">
      <c r="A4" t="s">
        <v>109</v>
      </c>
      <c r="B4">
        <v>-2.33</v>
      </c>
      <c r="C4" s="75">
        <v>0.96</v>
      </c>
      <c r="D4">
        <v>0.03</v>
      </c>
      <c r="E4">
        <v>-2.5499999999999998</v>
      </c>
      <c r="F4">
        <v>0.93</v>
      </c>
      <c r="G4">
        <v>0.02</v>
      </c>
      <c r="H4">
        <v>-2.11</v>
      </c>
      <c r="I4">
        <v>0.99</v>
      </c>
      <c r="J4">
        <v>0.03</v>
      </c>
      <c r="K4" t="s">
        <v>110</v>
      </c>
      <c r="L4" t="s">
        <v>107</v>
      </c>
      <c r="M4">
        <v>0.38</v>
      </c>
      <c r="N4">
        <v>126000</v>
      </c>
      <c r="O4">
        <v>732</v>
      </c>
      <c r="P4">
        <v>0</v>
      </c>
      <c r="Q4">
        <v>28</v>
      </c>
      <c r="R4">
        <v>24</v>
      </c>
      <c r="S4" t="s">
        <v>12</v>
      </c>
      <c r="T4" t="s">
        <v>7</v>
      </c>
      <c r="U4" t="s">
        <v>111</v>
      </c>
      <c r="V4" s="66">
        <v>1</v>
      </c>
      <c r="W4" t="s">
        <v>109</v>
      </c>
      <c r="X4">
        <v>-1.99</v>
      </c>
      <c r="Y4" s="75">
        <v>1.18</v>
      </c>
      <c r="Z4">
        <v>0.05</v>
      </c>
      <c r="AA4">
        <v>-2.2799999999999998</v>
      </c>
      <c r="AB4">
        <v>1.1299999999999999</v>
      </c>
      <c r="AC4">
        <v>0.04</v>
      </c>
      <c r="AD4">
        <v>-1.69</v>
      </c>
      <c r="AE4">
        <v>1.24</v>
      </c>
      <c r="AF4">
        <v>0.06</v>
      </c>
      <c r="AG4" t="s">
        <v>110</v>
      </c>
      <c r="AH4" t="s">
        <v>107</v>
      </c>
      <c r="AI4">
        <v>0.45</v>
      </c>
      <c r="AJ4">
        <v>52.82</v>
      </c>
      <c r="AK4">
        <v>393</v>
      </c>
      <c r="AL4">
        <v>0</v>
      </c>
      <c r="AM4">
        <v>28</v>
      </c>
      <c r="AN4">
        <v>20</v>
      </c>
      <c r="AO4" t="s">
        <v>181</v>
      </c>
      <c r="AP4" t="s">
        <v>7</v>
      </c>
      <c r="AQ4" t="s">
        <v>182</v>
      </c>
      <c r="AR4">
        <v>1</v>
      </c>
      <c r="AS4" s="67" t="s">
        <v>109</v>
      </c>
      <c r="AT4" s="75">
        <v>0.96</v>
      </c>
      <c r="AU4" s="75">
        <v>1.18</v>
      </c>
      <c r="AV4" s="112">
        <f>AU4-AT4</f>
        <v>0.21999999999999997</v>
      </c>
      <c r="AW4" s="113"/>
      <c r="AX4" t="b">
        <f>C4&lt;C5</f>
        <v>1</v>
      </c>
      <c r="AY4" s="68" t="b">
        <f>Y4&lt;Y5</f>
        <v>0</v>
      </c>
    </row>
    <row r="5" spans="1:51" ht="17" thickBot="1" x14ac:dyDescent="0.25">
      <c r="A5" t="s">
        <v>112</v>
      </c>
      <c r="B5">
        <v>-1.93</v>
      </c>
      <c r="C5" s="75">
        <v>1</v>
      </c>
      <c r="D5">
        <v>0.01</v>
      </c>
      <c r="E5">
        <v>-2.52</v>
      </c>
      <c r="F5">
        <v>0.86</v>
      </c>
      <c r="G5">
        <v>0</v>
      </c>
      <c r="H5">
        <v>-1.34</v>
      </c>
      <c r="I5">
        <v>1.1299999999999999</v>
      </c>
      <c r="J5">
        <v>0.03</v>
      </c>
      <c r="K5" t="s">
        <v>110</v>
      </c>
      <c r="L5" t="s">
        <v>10</v>
      </c>
      <c r="M5">
        <v>1.49</v>
      </c>
      <c r="N5">
        <v>31.01</v>
      </c>
      <c r="O5">
        <v>158</v>
      </c>
      <c r="P5">
        <v>8</v>
      </c>
      <c r="Q5">
        <v>32</v>
      </c>
      <c r="R5">
        <v>5</v>
      </c>
      <c r="S5" t="s">
        <v>12</v>
      </c>
      <c r="T5" t="s">
        <v>7</v>
      </c>
      <c r="U5" t="s">
        <v>113</v>
      </c>
      <c r="V5" s="66">
        <v>1</v>
      </c>
      <c r="W5" t="s">
        <v>112</v>
      </c>
      <c r="X5">
        <v>-0.48</v>
      </c>
      <c r="Y5" s="75">
        <v>0.85</v>
      </c>
      <c r="Z5">
        <v>0.01</v>
      </c>
      <c r="AA5">
        <v>-0.95</v>
      </c>
      <c r="AB5">
        <v>0.75</v>
      </c>
      <c r="AC5">
        <v>0</v>
      </c>
      <c r="AD5">
        <v>-0.01</v>
      </c>
      <c r="AE5">
        <v>0.95</v>
      </c>
      <c r="AF5">
        <v>0.03</v>
      </c>
      <c r="AG5" t="s">
        <v>110</v>
      </c>
      <c r="AH5" t="s">
        <v>10</v>
      </c>
      <c r="AI5">
        <v>0.38</v>
      </c>
      <c r="AJ5">
        <v>61.7</v>
      </c>
      <c r="AK5">
        <v>165</v>
      </c>
      <c r="AL5">
        <v>8</v>
      </c>
      <c r="AM5">
        <v>32</v>
      </c>
      <c r="AN5">
        <v>6</v>
      </c>
      <c r="AO5" t="s">
        <v>181</v>
      </c>
      <c r="AP5" t="s">
        <v>7</v>
      </c>
      <c r="AQ5" t="s">
        <v>183</v>
      </c>
      <c r="AR5">
        <v>1</v>
      </c>
      <c r="AS5" s="67" t="s">
        <v>112</v>
      </c>
      <c r="AT5" s="75">
        <v>1</v>
      </c>
      <c r="AU5" s="75">
        <v>0.85</v>
      </c>
      <c r="AV5" s="114"/>
      <c r="AW5" s="115">
        <f>Y5-C5</f>
        <v>-0.15000000000000002</v>
      </c>
    </row>
    <row r="6" spans="1:51" x14ac:dyDescent="0.2">
      <c r="A6" t="s">
        <v>114</v>
      </c>
      <c r="B6">
        <v>-2.8</v>
      </c>
      <c r="C6" s="75">
        <v>0.93</v>
      </c>
      <c r="D6">
        <v>0.05</v>
      </c>
      <c r="E6">
        <v>-2.85</v>
      </c>
      <c r="F6">
        <v>0.92</v>
      </c>
      <c r="G6">
        <v>0.05</v>
      </c>
      <c r="H6">
        <v>-2.75</v>
      </c>
      <c r="I6">
        <v>0.94</v>
      </c>
      <c r="J6">
        <v>0.05</v>
      </c>
      <c r="K6" t="s">
        <v>115</v>
      </c>
      <c r="L6" t="s">
        <v>107</v>
      </c>
      <c r="M6">
        <v>0.09</v>
      </c>
      <c r="N6">
        <v>11000</v>
      </c>
      <c r="O6">
        <v>4575</v>
      </c>
      <c r="P6">
        <v>-1</v>
      </c>
      <c r="Q6">
        <v>31</v>
      </c>
      <c r="R6">
        <v>53</v>
      </c>
      <c r="S6" t="s">
        <v>12</v>
      </c>
      <c r="T6" t="s">
        <v>7</v>
      </c>
      <c r="U6" t="s">
        <v>116</v>
      </c>
      <c r="V6" s="66">
        <v>1</v>
      </c>
      <c r="W6" t="s">
        <v>114</v>
      </c>
      <c r="X6">
        <v>-0.53</v>
      </c>
      <c r="Y6" s="75">
        <v>0.9</v>
      </c>
      <c r="Z6">
        <v>0.01</v>
      </c>
      <c r="AA6">
        <v>-0.59</v>
      </c>
      <c r="AB6">
        <v>0.89</v>
      </c>
      <c r="AC6">
        <v>0.01</v>
      </c>
      <c r="AD6">
        <v>-0.48</v>
      </c>
      <c r="AE6">
        <v>0.91</v>
      </c>
      <c r="AF6">
        <v>0.01</v>
      </c>
      <c r="AG6" t="s">
        <v>115</v>
      </c>
      <c r="AH6" t="s">
        <v>107</v>
      </c>
      <c r="AI6">
        <v>0.06</v>
      </c>
      <c r="AJ6">
        <v>7200</v>
      </c>
      <c r="AK6">
        <v>3463</v>
      </c>
      <c r="AL6">
        <v>1.6</v>
      </c>
      <c r="AM6">
        <v>31</v>
      </c>
      <c r="AN6">
        <v>49</v>
      </c>
      <c r="AO6" t="s">
        <v>181</v>
      </c>
      <c r="AP6" t="s">
        <v>7</v>
      </c>
      <c r="AQ6" t="s">
        <v>184</v>
      </c>
      <c r="AR6">
        <v>1</v>
      </c>
      <c r="AS6" s="67" t="s">
        <v>114</v>
      </c>
      <c r="AT6" s="75">
        <v>0.93</v>
      </c>
      <c r="AU6" s="75">
        <v>0.9</v>
      </c>
      <c r="AV6">
        <f>AU6-AT6</f>
        <v>-3.0000000000000027E-2</v>
      </c>
      <c r="AX6" s="68" t="b">
        <f>C6&lt;C7</f>
        <v>0</v>
      </c>
      <c r="AY6" t="b">
        <f>Y6&lt;Y7</f>
        <v>1</v>
      </c>
    </row>
    <row r="7" spans="1:51" x14ac:dyDescent="0.2">
      <c r="A7" t="s">
        <v>16</v>
      </c>
      <c r="B7">
        <v>-2.86</v>
      </c>
      <c r="C7" s="75">
        <v>0.93</v>
      </c>
      <c r="D7">
        <v>0.05</v>
      </c>
      <c r="E7">
        <v>-2.94</v>
      </c>
      <c r="F7">
        <v>0.92</v>
      </c>
      <c r="G7">
        <v>0.05</v>
      </c>
      <c r="H7">
        <v>-2.79</v>
      </c>
      <c r="I7">
        <v>0.95</v>
      </c>
      <c r="J7">
        <v>0.06</v>
      </c>
      <c r="K7" t="s">
        <v>115</v>
      </c>
      <c r="L7" t="s">
        <v>10</v>
      </c>
      <c r="M7">
        <v>0.33</v>
      </c>
      <c r="N7">
        <v>6350.99</v>
      </c>
      <c r="O7">
        <v>1176</v>
      </c>
      <c r="P7">
        <v>1</v>
      </c>
      <c r="Q7">
        <v>36.729999999999997</v>
      </c>
      <c r="R7">
        <v>19</v>
      </c>
      <c r="S7" t="s">
        <v>12</v>
      </c>
      <c r="T7" t="s">
        <v>7</v>
      </c>
      <c r="U7" t="s">
        <v>117</v>
      </c>
      <c r="V7" s="66">
        <v>1</v>
      </c>
      <c r="W7" t="s">
        <v>16</v>
      </c>
      <c r="X7">
        <v>-0.83</v>
      </c>
      <c r="Y7" s="75">
        <v>0.93</v>
      </c>
      <c r="Z7">
        <v>0.02</v>
      </c>
      <c r="AA7">
        <v>-0.91</v>
      </c>
      <c r="AB7">
        <v>0.92</v>
      </c>
      <c r="AC7">
        <v>0.02</v>
      </c>
      <c r="AD7">
        <v>-0.75</v>
      </c>
      <c r="AE7">
        <v>0.94</v>
      </c>
      <c r="AF7">
        <v>0.03</v>
      </c>
      <c r="AG7" t="s">
        <v>115</v>
      </c>
      <c r="AH7" t="s">
        <v>10</v>
      </c>
      <c r="AI7">
        <v>0.2</v>
      </c>
      <c r="AJ7">
        <v>6795.93</v>
      </c>
      <c r="AK7">
        <v>1072</v>
      </c>
      <c r="AL7">
        <v>8</v>
      </c>
      <c r="AM7">
        <v>39</v>
      </c>
      <c r="AN7">
        <v>20</v>
      </c>
      <c r="AO7" t="s">
        <v>181</v>
      </c>
      <c r="AP7" t="s">
        <v>7</v>
      </c>
      <c r="AQ7" t="s">
        <v>185</v>
      </c>
      <c r="AR7">
        <v>1</v>
      </c>
      <c r="AS7" s="67" t="s">
        <v>16</v>
      </c>
      <c r="AT7" s="75">
        <v>0.95</v>
      </c>
      <c r="AU7" s="75">
        <v>0.93</v>
      </c>
      <c r="AW7">
        <f>Y7-C7</f>
        <v>0</v>
      </c>
    </row>
    <row r="8" spans="1:51" x14ac:dyDescent="0.2">
      <c r="A8" t="s">
        <v>118</v>
      </c>
      <c r="B8">
        <v>-2.52</v>
      </c>
      <c r="C8" s="75">
        <v>0.82</v>
      </c>
      <c r="D8">
        <v>0.04</v>
      </c>
      <c r="E8">
        <v>-3.06</v>
      </c>
      <c r="F8">
        <v>0.79</v>
      </c>
      <c r="G8">
        <v>0.02</v>
      </c>
      <c r="H8">
        <v>-1.98</v>
      </c>
      <c r="I8">
        <v>0.86</v>
      </c>
      <c r="J8">
        <v>0.06</v>
      </c>
      <c r="K8" t="s">
        <v>119</v>
      </c>
      <c r="L8" t="s">
        <v>107</v>
      </c>
      <c r="M8">
        <v>0.04</v>
      </c>
      <c r="N8">
        <v>1672</v>
      </c>
      <c r="O8">
        <v>378</v>
      </c>
      <c r="P8">
        <v>12</v>
      </c>
      <c r="Q8">
        <v>30</v>
      </c>
      <c r="R8">
        <v>14</v>
      </c>
      <c r="S8" t="s">
        <v>12</v>
      </c>
      <c r="T8" t="s">
        <v>7</v>
      </c>
      <c r="U8" t="s">
        <v>120</v>
      </c>
      <c r="V8" s="66">
        <v>1</v>
      </c>
      <c r="W8" t="s">
        <v>118</v>
      </c>
      <c r="X8">
        <v>0.28000000000000003</v>
      </c>
      <c r="Y8" s="75">
        <v>0.74</v>
      </c>
      <c r="Z8">
        <v>-0.01</v>
      </c>
      <c r="AA8">
        <v>-0.09</v>
      </c>
      <c r="AB8">
        <v>0.72</v>
      </c>
      <c r="AC8">
        <v>-0.02</v>
      </c>
      <c r="AD8">
        <v>0.64</v>
      </c>
      <c r="AE8">
        <v>0.76</v>
      </c>
      <c r="AF8">
        <v>0.01</v>
      </c>
      <c r="AG8" t="s">
        <v>119</v>
      </c>
      <c r="AH8" t="s">
        <v>107</v>
      </c>
      <c r="AI8">
        <v>0.04</v>
      </c>
      <c r="AJ8">
        <v>1672</v>
      </c>
      <c r="AK8">
        <v>253</v>
      </c>
      <c r="AL8">
        <v>12</v>
      </c>
      <c r="AM8">
        <v>30</v>
      </c>
      <c r="AN8">
        <v>10</v>
      </c>
      <c r="AO8" t="s">
        <v>181</v>
      </c>
      <c r="AP8" t="s">
        <v>7</v>
      </c>
      <c r="AQ8" t="s">
        <v>186</v>
      </c>
      <c r="AR8">
        <v>1</v>
      </c>
      <c r="AS8" s="67" t="s">
        <v>118</v>
      </c>
      <c r="AT8" s="75">
        <v>0.82</v>
      </c>
      <c r="AU8" s="75">
        <v>0.74</v>
      </c>
      <c r="AV8">
        <f>AU8-AT8</f>
        <v>-7.999999999999996E-2</v>
      </c>
      <c r="AX8" t="b">
        <f>C8&lt;C9</f>
        <v>1</v>
      </c>
      <c r="AY8" t="b">
        <f>Y8&lt;Y9</f>
        <v>1</v>
      </c>
    </row>
    <row r="9" spans="1:51" ht="17" thickBot="1" x14ac:dyDescent="0.25">
      <c r="A9" t="s">
        <v>121</v>
      </c>
      <c r="B9">
        <v>-2.89</v>
      </c>
      <c r="C9" s="75">
        <v>0.99</v>
      </c>
      <c r="D9">
        <v>0.04</v>
      </c>
      <c r="E9">
        <v>-3.77</v>
      </c>
      <c r="F9">
        <v>0.94</v>
      </c>
      <c r="G9">
        <v>0.02</v>
      </c>
      <c r="H9">
        <v>-2.0099999999999998</v>
      </c>
      <c r="I9">
        <v>1.05</v>
      </c>
      <c r="J9">
        <v>7.0000000000000007E-2</v>
      </c>
      <c r="K9" t="s">
        <v>119</v>
      </c>
      <c r="L9" t="s">
        <v>10</v>
      </c>
      <c r="M9">
        <v>0.97</v>
      </c>
      <c r="N9">
        <v>1672</v>
      </c>
      <c r="O9">
        <v>131</v>
      </c>
      <c r="P9">
        <v>21</v>
      </c>
      <c r="Q9">
        <v>35</v>
      </c>
      <c r="R9">
        <v>5</v>
      </c>
      <c r="S9" t="s">
        <v>12</v>
      </c>
      <c r="T9" t="s">
        <v>7</v>
      </c>
      <c r="U9" t="s">
        <v>122</v>
      </c>
      <c r="V9" s="66">
        <v>1</v>
      </c>
      <c r="W9" t="s">
        <v>121</v>
      </c>
      <c r="X9">
        <v>-0.79</v>
      </c>
      <c r="Y9" s="75">
        <v>0.91</v>
      </c>
      <c r="Z9">
        <v>0.02</v>
      </c>
      <c r="AA9">
        <v>-1.29</v>
      </c>
      <c r="AB9">
        <v>0.88</v>
      </c>
      <c r="AC9">
        <v>0.01</v>
      </c>
      <c r="AD9">
        <v>-0.28000000000000003</v>
      </c>
      <c r="AE9">
        <v>0.95</v>
      </c>
      <c r="AF9">
        <v>0.03</v>
      </c>
      <c r="AG9" t="s">
        <v>119</v>
      </c>
      <c r="AH9" t="s">
        <v>10</v>
      </c>
      <c r="AI9">
        <v>1.6</v>
      </c>
      <c r="AJ9">
        <v>1672</v>
      </c>
      <c r="AK9">
        <v>126</v>
      </c>
      <c r="AL9">
        <v>21</v>
      </c>
      <c r="AM9">
        <v>39</v>
      </c>
      <c r="AN9">
        <v>5</v>
      </c>
      <c r="AO9" t="s">
        <v>181</v>
      </c>
      <c r="AP9" t="s">
        <v>7</v>
      </c>
      <c r="AQ9" t="s">
        <v>187</v>
      </c>
      <c r="AR9">
        <v>1</v>
      </c>
      <c r="AS9" s="67" t="s">
        <v>121</v>
      </c>
      <c r="AT9" s="75">
        <v>0.99</v>
      </c>
      <c r="AU9" s="75">
        <v>0.91</v>
      </c>
      <c r="AW9">
        <f>Y9-C9</f>
        <v>-7.999999999999996E-2</v>
      </c>
    </row>
    <row r="10" spans="1:51" x14ac:dyDescent="0.2">
      <c r="A10" t="s">
        <v>128</v>
      </c>
      <c r="B10">
        <v>-2.62</v>
      </c>
      <c r="C10" s="75">
        <v>0.91</v>
      </c>
      <c r="D10">
        <v>0.05</v>
      </c>
      <c r="E10">
        <v>-2.69</v>
      </c>
      <c r="F10">
        <v>0.9</v>
      </c>
      <c r="G10">
        <v>0.04</v>
      </c>
      <c r="H10">
        <v>-2.5499999999999998</v>
      </c>
      <c r="I10">
        <v>0.92</v>
      </c>
      <c r="J10">
        <v>0.05</v>
      </c>
      <c r="K10" t="s">
        <v>129</v>
      </c>
      <c r="L10" t="s">
        <v>107</v>
      </c>
      <c r="M10">
        <v>0.38</v>
      </c>
      <c r="N10">
        <v>11600</v>
      </c>
      <c r="O10">
        <v>2860</v>
      </c>
      <c r="P10">
        <v>5</v>
      </c>
      <c r="Q10">
        <v>30</v>
      </c>
      <c r="R10">
        <v>38</v>
      </c>
      <c r="S10" t="s">
        <v>12</v>
      </c>
      <c r="T10" t="s">
        <v>8</v>
      </c>
      <c r="U10" t="s">
        <v>130</v>
      </c>
      <c r="V10" s="66">
        <v>1</v>
      </c>
      <c r="W10" t="s">
        <v>128</v>
      </c>
      <c r="X10">
        <v>-0.22</v>
      </c>
      <c r="Y10" s="75">
        <v>0.92</v>
      </c>
      <c r="Z10">
        <v>0</v>
      </c>
      <c r="AA10">
        <v>-0.3</v>
      </c>
      <c r="AB10">
        <v>0.91</v>
      </c>
      <c r="AC10">
        <v>-0.01</v>
      </c>
      <c r="AD10">
        <v>-0.15</v>
      </c>
      <c r="AE10">
        <v>0.93</v>
      </c>
      <c r="AF10">
        <v>0</v>
      </c>
      <c r="AG10" t="s">
        <v>129</v>
      </c>
      <c r="AH10" t="s">
        <v>107</v>
      </c>
      <c r="AI10">
        <v>0.06</v>
      </c>
      <c r="AJ10">
        <v>7200</v>
      </c>
      <c r="AK10">
        <v>2013</v>
      </c>
      <c r="AL10">
        <v>5</v>
      </c>
      <c r="AM10">
        <v>30</v>
      </c>
      <c r="AN10">
        <v>38</v>
      </c>
      <c r="AO10" t="s">
        <v>181</v>
      </c>
      <c r="AP10" t="s">
        <v>8</v>
      </c>
      <c r="AQ10" t="s">
        <v>190</v>
      </c>
      <c r="AR10">
        <v>1</v>
      </c>
      <c r="AS10" s="67" t="s">
        <v>128</v>
      </c>
      <c r="AT10" s="75">
        <v>0.91</v>
      </c>
      <c r="AU10" s="75">
        <v>0.92</v>
      </c>
      <c r="AV10" s="116">
        <f>Y10-C10</f>
        <v>1.0000000000000009E-2</v>
      </c>
      <c r="AW10" s="117"/>
      <c r="AX10" t="b">
        <f>C10&lt;C11</f>
        <v>1</v>
      </c>
      <c r="AY10" t="b">
        <f>Y10&lt;Y11</f>
        <v>1</v>
      </c>
    </row>
    <row r="11" spans="1:51" ht="17" thickBot="1" x14ac:dyDescent="0.25">
      <c r="A11" t="s">
        <v>18</v>
      </c>
      <c r="B11">
        <v>-3.29</v>
      </c>
      <c r="C11" s="75">
        <v>0.99</v>
      </c>
      <c r="D11">
        <v>0.09</v>
      </c>
      <c r="E11">
        <v>-3.39</v>
      </c>
      <c r="F11">
        <v>0.98</v>
      </c>
      <c r="G11">
        <v>0.08</v>
      </c>
      <c r="H11">
        <v>-3.2</v>
      </c>
      <c r="I11">
        <v>1</v>
      </c>
      <c r="J11">
        <v>0.09</v>
      </c>
      <c r="K11" t="s">
        <v>129</v>
      </c>
      <c r="L11" t="s">
        <v>10</v>
      </c>
      <c r="M11">
        <v>0.66</v>
      </c>
      <c r="N11">
        <v>6350.99</v>
      </c>
      <c r="O11">
        <v>475</v>
      </c>
      <c r="P11">
        <v>8</v>
      </c>
      <c r="Q11">
        <v>31</v>
      </c>
      <c r="R11">
        <v>6</v>
      </c>
      <c r="S11" t="s">
        <v>12</v>
      </c>
      <c r="T11" t="s">
        <v>8</v>
      </c>
      <c r="U11" t="s">
        <v>131</v>
      </c>
      <c r="V11" s="66">
        <v>1</v>
      </c>
      <c r="W11" t="s">
        <v>18</v>
      </c>
      <c r="X11">
        <v>-1.1200000000000001</v>
      </c>
      <c r="Y11" s="75">
        <v>0.97</v>
      </c>
      <c r="Z11">
        <v>0.04</v>
      </c>
      <c r="AA11">
        <v>-1.21</v>
      </c>
      <c r="AB11">
        <v>0.95</v>
      </c>
      <c r="AC11">
        <v>0.04</v>
      </c>
      <c r="AD11">
        <v>-1.03</v>
      </c>
      <c r="AE11">
        <v>0.98</v>
      </c>
      <c r="AF11">
        <v>0.05</v>
      </c>
      <c r="AG11" t="s">
        <v>129</v>
      </c>
      <c r="AH11" t="s">
        <v>10</v>
      </c>
      <c r="AI11">
        <v>0.2</v>
      </c>
      <c r="AJ11">
        <v>6795.93</v>
      </c>
      <c r="AK11">
        <v>568</v>
      </c>
      <c r="AL11">
        <v>8</v>
      </c>
      <c r="AM11">
        <v>39</v>
      </c>
      <c r="AN11">
        <v>10</v>
      </c>
      <c r="AO11" t="s">
        <v>181</v>
      </c>
      <c r="AP11" t="s">
        <v>8</v>
      </c>
      <c r="AQ11" t="s">
        <v>191</v>
      </c>
      <c r="AR11">
        <v>1</v>
      </c>
      <c r="AS11" s="67" t="s">
        <v>18</v>
      </c>
      <c r="AT11" s="75">
        <v>0.99</v>
      </c>
      <c r="AU11" s="75">
        <v>0.97</v>
      </c>
      <c r="AV11" s="118"/>
      <c r="AW11" s="119">
        <f>Y11-C11</f>
        <v>-2.0000000000000018E-2</v>
      </c>
    </row>
    <row r="12" spans="1:51" x14ac:dyDescent="0.2">
      <c r="A12" t="s">
        <v>132</v>
      </c>
      <c r="B12">
        <v>-3.19</v>
      </c>
      <c r="C12" s="75">
        <v>0.94</v>
      </c>
      <c r="D12">
        <v>7.0000000000000007E-2</v>
      </c>
      <c r="E12">
        <v>-3.3</v>
      </c>
      <c r="F12">
        <v>0.93</v>
      </c>
      <c r="G12">
        <v>0.06</v>
      </c>
      <c r="H12">
        <v>-3.08</v>
      </c>
      <c r="I12">
        <v>0.96</v>
      </c>
      <c r="J12">
        <v>7.0000000000000007E-2</v>
      </c>
      <c r="K12" t="s">
        <v>133</v>
      </c>
      <c r="L12" t="s">
        <v>107</v>
      </c>
      <c r="M12">
        <v>0.16</v>
      </c>
      <c r="N12">
        <v>3450</v>
      </c>
      <c r="O12">
        <v>1454</v>
      </c>
      <c r="P12">
        <v>3</v>
      </c>
      <c r="Q12">
        <v>30</v>
      </c>
      <c r="R12">
        <v>27</v>
      </c>
      <c r="S12" t="s">
        <v>12</v>
      </c>
      <c r="T12" t="s">
        <v>8</v>
      </c>
      <c r="U12" t="s">
        <v>134</v>
      </c>
      <c r="V12" s="66">
        <v>1</v>
      </c>
      <c r="W12" t="s">
        <v>132</v>
      </c>
      <c r="X12">
        <v>-0.68</v>
      </c>
      <c r="Y12" s="75">
        <v>0.91</v>
      </c>
      <c r="Z12">
        <v>0.01</v>
      </c>
      <c r="AA12">
        <v>-0.79</v>
      </c>
      <c r="AB12">
        <v>0.89</v>
      </c>
      <c r="AC12">
        <v>0</v>
      </c>
      <c r="AD12">
        <v>-0.56999999999999995</v>
      </c>
      <c r="AE12">
        <v>0.92</v>
      </c>
      <c r="AF12">
        <v>0.01</v>
      </c>
      <c r="AG12" t="s">
        <v>133</v>
      </c>
      <c r="AH12" t="s">
        <v>107</v>
      </c>
      <c r="AI12">
        <v>0.06</v>
      </c>
      <c r="AJ12">
        <v>3450</v>
      </c>
      <c r="AK12">
        <v>1108</v>
      </c>
      <c r="AL12">
        <v>10</v>
      </c>
      <c r="AM12">
        <v>30</v>
      </c>
      <c r="AN12">
        <v>23</v>
      </c>
      <c r="AO12" t="s">
        <v>181</v>
      </c>
      <c r="AP12" t="s">
        <v>8</v>
      </c>
      <c r="AQ12" t="s">
        <v>192</v>
      </c>
      <c r="AR12">
        <v>1</v>
      </c>
      <c r="AS12" s="67" t="s">
        <v>132</v>
      </c>
      <c r="AT12" s="75">
        <v>0.94</v>
      </c>
      <c r="AU12" s="75">
        <v>0.91</v>
      </c>
      <c r="AV12">
        <f>AU12-AT12</f>
        <v>-2.9999999999999916E-2</v>
      </c>
      <c r="AX12" t="b">
        <f>C12&lt;C13</f>
        <v>1</v>
      </c>
      <c r="AY12" t="b">
        <f>Y12&lt;Y13</f>
        <v>1</v>
      </c>
    </row>
    <row r="13" spans="1:51" x14ac:dyDescent="0.2">
      <c r="A13" t="s">
        <v>20</v>
      </c>
      <c r="B13">
        <v>-2.17</v>
      </c>
      <c r="C13" s="75">
        <v>0.97</v>
      </c>
      <c r="D13">
        <v>0.03</v>
      </c>
      <c r="E13">
        <v>-2.59</v>
      </c>
      <c r="F13">
        <v>0.94</v>
      </c>
      <c r="G13">
        <v>0.01</v>
      </c>
      <c r="H13">
        <v>-1.76</v>
      </c>
      <c r="I13">
        <v>1</v>
      </c>
      <c r="J13">
        <v>0.04</v>
      </c>
      <c r="K13" t="s">
        <v>133</v>
      </c>
      <c r="L13" t="s">
        <v>10</v>
      </c>
      <c r="M13">
        <v>1.49</v>
      </c>
      <c r="N13">
        <v>3190</v>
      </c>
      <c r="O13">
        <v>237</v>
      </c>
      <c r="P13">
        <v>11</v>
      </c>
      <c r="Q13">
        <v>31</v>
      </c>
      <c r="R13">
        <v>7</v>
      </c>
      <c r="S13" t="s">
        <v>12</v>
      </c>
      <c r="T13" t="s">
        <v>8</v>
      </c>
      <c r="U13" t="s">
        <v>135</v>
      </c>
      <c r="V13" s="66">
        <v>1</v>
      </c>
      <c r="W13" t="s">
        <v>20</v>
      </c>
      <c r="X13">
        <v>-0.24</v>
      </c>
      <c r="Y13" s="75">
        <v>0.95</v>
      </c>
      <c r="Z13">
        <v>0</v>
      </c>
      <c r="AA13">
        <v>-0.57999999999999996</v>
      </c>
      <c r="AB13">
        <v>0.92</v>
      </c>
      <c r="AC13">
        <v>-0.02</v>
      </c>
      <c r="AD13">
        <v>0.1</v>
      </c>
      <c r="AE13">
        <v>0.97</v>
      </c>
      <c r="AF13">
        <v>0.01</v>
      </c>
      <c r="AG13" t="s">
        <v>133</v>
      </c>
      <c r="AH13" t="s">
        <v>10</v>
      </c>
      <c r="AI13">
        <v>7.1</v>
      </c>
      <c r="AJ13">
        <v>3190</v>
      </c>
      <c r="AK13">
        <v>221</v>
      </c>
      <c r="AL13">
        <v>11</v>
      </c>
      <c r="AM13">
        <v>31</v>
      </c>
      <c r="AN13">
        <v>6</v>
      </c>
      <c r="AO13" t="s">
        <v>181</v>
      </c>
      <c r="AP13" t="s">
        <v>8</v>
      </c>
      <c r="AQ13" t="s">
        <v>193</v>
      </c>
      <c r="AR13">
        <v>1</v>
      </c>
      <c r="AS13" s="67" t="s">
        <v>20</v>
      </c>
      <c r="AT13" s="75">
        <v>0.97</v>
      </c>
      <c r="AU13" s="75">
        <v>0.95</v>
      </c>
      <c r="AW13">
        <f>Y13-C13</f>
        <v>-2.0000000000000018E-2</v>
      </c>
    </row>
    <row r="14" spans="1:51" x14ac:dyDescent="0.2">
      <c r="A14" t="s">
        <v>136</v>
      </c>
      <c r="B14">
        <v>-3.25</v>
      </c>
      <c r="C14" s="75">
        <v>0.87</v>
      </c>
      <c r="D14">
        <v>0.06</v>
      </c>
      <c r="E14">
        <v>-3.51</v>
      </c>
      <c r="F14">
        <v>0.85</v>
      </c>
      <c r="G14">
        <v>0.05</v>
      </c>
      <c r="H14">
        <v>-3</v>
      </c>
      <c r="I14">
        <v>0.88</v>
      </c>
      <c r="J14">
        <v>7.0000000000000007E-2</v>
      </c>
      <c r="K14" t="s">
        <v>137</v>
      </c>
      <c r="L14" t="s">
        <v>107</v>
      </c>
      <c r="M14">
        <v>0.04</v>
      </c>
      <c r="N14">
        <v>1672</v>
      </c>
      <c r="O14">
        <v>1277</v>
      </c>
      <c r="P14">
        <v>16</v>
      </c>
      <c r="Q14">
        <v>31</v>
      </c>
      <c r="R14">
        <v>22</v>
      </c>
      <c r="S14" t="s">
        <v>12</v>
      </c>
      <c r="T14" t="s">
        <v>8</v>
      </c>
      <c r="U14" t="s">
        <v>138</v>
      </c>
      <c r="V14" s="66">
        <v>1</v>
      </c>
      <c r="W14" t="s">
        <v>136</v>
      </c>
      <c r="X14">
        <v>-1.01</v>
      </c>
      <c r="Y14" s="75">
        <v>0.8</v>
      </c>
      <c r="Z14">
        <v>0.04</v>
      </c>
      <c r="AA14">
        <v>-1.22</v>
      </c>
      <c r="AB14">
        <v>0.79</v>
      </c>
      <c r="AC14">
        <v>0.03</v>
      </c>
      <c r="AD14">
        <v>-0.8</v>
      </c>
      <c r="AE14">
        <v>0.81</v>
      </c>
      <c r="AF14">
        <v>0.04</v>
      </c>
      <c r="AG14" t="s">
        <v>137</v>
      </c>
      <c r="AH14" t="s">
        <v>107</v>
      </c>
      <c r="AI14">
        <v>0.04</v>
      </c>
      <c r="AJ14">
        <v>1672</v>
      </c>
      <c r="AK14">
        <v>914</v>
      </c>
      <c r="AL14">
        <v>16</v>
      </c>
      <c r="AM14">
        <v>31</v>
      </c>
      <c r="AN14">
        <v>16</v>
      </c>
      <c r="AO14" t="s">
        <v>181</v>
      </c>
      <c r="AP14" t="s">
        <v>8</v>
      </c>
      <c r="AQ14" t="s">
        <v>194</v>
      </c>
      <c r="AR14">
        <v>1</v>
      </c>
      <c r="AS14" s="67" t="s">
        <v>136</v>
      </c>
      <c r="AT14" s="75">
        <v>0.85</v>
      </c>
      <c r="AU14" s="75">
        <v>0.8</v>
      </c>
      <c r="AV14">
        <f>AU14-AT14</f>
        <v>-4.9999999999999933E-2</v>
      </c>
      <c r="AX14" t="b">
        <f>C14&lt;C15</f>
        <v>1</v>
      </c>
      <c r="AY14" t="b">
        <f>Y14&lt;Y15</f>
        <v>1</v>
      </c>
    </row>
    <row r="15" spans="1:51" x14ac:dyDescent="0.2">
      <c r="A15" t="s">
        <v>139</v>
      </c>
      <c r="B15">
        <v>-2.36</v>
      </c>
      <c r="C15" s="75">
        <v>0.91</v>
      </c>
      <c r="D15">
        <v>0.03</v>
      </c>
      <c r="E15">
        <v>-2.65</v>
      </c>
      <c r="F15">
        <v>0.9</v>
      </c>
      <c r="G15">
        <v>0.02</v>
      </c>
      <c r="H15">
        <v>-2.0699999999999998</v>
      </c>
      <c r="I15">
        <v>0.93</v>
      </c>
      <c r="J15">
        <v>0.04</v>
      </c>
      <c r="K15" t="s">
        <v>137</v>
      </c>
      <c r="L15" t="s">
        <v>10</v>
      </c>
      <c r="M15">
        <v>0.33</v>
      </c>
      <c r="N15">
        <v>1672</v>
      </c>
      <c r="O15">
        <v>596</v>
      </c>
      <c r="P15">
        <v>21</v>
      </c>
      <c r="Q15">
        <v>36.729999999999997</v>
      </c>
      <c r="R15">
        <v>13</v>
      </c>
      <c r="S15" t="s">
        <v>12</v>
      </c>
      <c r="T15" t="s">
        <v>8</v>
      </c>
      <c r="U15" t="s">
        <v>140</v>
      </c>
      <c r="V15" s="66">
        <v>1</v>
      </c>
      <c r="W15" t="s">
        <v>139</v>
      </c>
      <c r="X15">
        <v>-1.35</v>
      </c>
      <c r="Y15" s="75">
        <v>0.91</v>
      </c>
      <c r="Z15">
        <v>0.04</v>
      </c>
      <c r="AA15">
        <v>-1.66</v>
      </c>
      <c r="AB15">
        <v>0.89</v>
      </c>
      <c r="AC15">
        <v>0.03</v>
      </c>
      <c r="AD15">
        <v>-1.04</v>
      </c>
      <c r="AE15">
        <v>0.93</v>
      </c>
      <c r="AF15">
        <v>0.05</v>
      </c>
      <c r="AG15" t="s">
        <v>137</v>
      </c>
      <c r="AH15" t="s">
        <v>10</v>
      </c>
      <c r="AI15">
        <v>0.33</v>
      </c>
      <c r="AJ15">
        <v>1672</v>
      </c>
      <c r="AK15">
        <v>530</v>
      </c>
      <c r="AL15">
        <v>21</v>
      </c>
      <c r="AM15">
        <v>39</v>
      </c>
      <c r="AN15">
        <v>13</v>
      </c>
      <c r="AO15" t="s">
        <v>181</v>
      </c>
      <c r="AP15" t="s">
        <v>8</v>
      </c>
      <c r="AQ15" t="s">
        <v>195</v>
      </c>
      <c r="AR15">
        <v>1</v>
      </c>
      <c r="AS15" s="67" t="s">
        <v>139</v>
      </c>
      <c r="AT15" s="75">
        <v>0.94</v>
      </c>
      <c r="AU15" s="75">
        <v>0.91</v>
      </c>
      <c r="AW15">
        <f>Y15-C15</f>
        <v>0</v>
      </c>
    </row>
    <row r="16" spans="1:51" x14ac:dyDescent="0.2">
      <c r="A16" t="s">
        <v>141</v>
      </c>
      <c r="B16">
        <v>-2.86</v>
      </c>
      <c r="C16" s="75">
        <v>0.96</v>
      </c>
      <c r="D16">
        <v>0.05</v>
      </c>
      <c r="E16">
        <v>-2.96</v>
      </c>
      <c r="F16">
        <v>0.95</v>
      </c>
      <c r="G16">
        <v>0.04</v>
      </c>
      <c r="H16">
        <v>-2.77</v>
      </c>
      <c r="I16">
        <v>0.97</v>
      </c>
      <c r="J16">
        <v>0.05</v>
      </c>
      <c r="K16" t="s">
        <v>142</v>
      </c>
      <c r="L16" t="s">
        <v>107</v>
      </c>
      <c r="M16">
        <v>0.09</v>
      </c>
      <c r="N16">
        <v>126000</v>
      </c>
      <c r="O16">
        <v>2665</v>
      </c>
      <c r="P16">
        <v>3</v>
      </c>
      <c r="Q16">
        <v>30</v>
      </c>
      <c r="R16">
        <v>40</v>
      </c>
      <c r="S16" t="s">
        <v>12</v>
      </c>
      <c r="T16" t="s">
        <v>5</v>
      </c>
      <c r="U16" t="s">
        <v>143</v>
      </c>
      <c r="V16" s="66">
        <v>1</v>
      </c>
      <c r="W16" t="s">
        <v>141</v>
      </c>
      <c r="X16">
        <v>-0.17</v>
      </c>
      <c r="Y16" s="75">
        <v>0.89</v>
      </c>
      <c r="Z16">
        <v>-0.01</v>
      </c>
      <c r="AA16">
        <v>-0.27</v>
      </c>
      <c r="AB16">
        <v>0.87</v>
      </c>
      <c r="AC16">
        <v>-0.01</v>
      </c>
      <c r="AD16">
        <v>-0.08</v>
      </c>
      <c r="AE16">
        <v>0.9</v>
      </c>
      <c r="AF16">
        <v>0</v>
      </c>
      <c r="AG16" t="s">
        <v>142</v>
      </c>
      <c r="AH16" t="s">
        <v>107</v>
      </c>
      <c r="AI16">
        <v>0.06</v>
      </c>
      <c r="AJ16">
        <v>7200</v>
      </c>
      <c r="AK16">
        <v>1628</v>
      </c>
      <c r="AL16">
        <v>5</v>
      </c>
      <c r="AM16">
        <v>30</v>
      </c>
      <c r="AN16">
        <v>37</v>
      </c>
      <c r="AO16" t="s">
        <v>181</v>
      </c>
      <c r="AP16" t="s">
        <v>5</v>
      </c>
      <c r="AQ16" t="s">
        <v>196</v>
      </c>
      <c r="AR16">
        <v>1</v>
      </c>
      <c r="AS16" s="67" t="s">
        <v>141</v>
      </c>
      <c r="AT16" s="75">
        <v>0.96</v>
      </c>
      <c r="AU16" s="75">
        <v>0.89</v>
      </c>
      <c r="AV16">
        <f>AU16-AT16</f>
        <v>-6.9999999999999951E-2</v>
      </c>
      <c r="AX16" t="b">
        <f>C16&lt;C17</f>
        <v>1</v>
      </c>
      <c r="AY16" t="b">
        <f>Y16&lt;Y17</f>
        <v>1</v>
      </c>
    </row>
    <row r="17" spans="1:51" x14ac:dyDescent="0.2">
      <c r="A17" t="s">
        <v>22</v>
      </c>
      <c r="B17">
        <v>-2.97</v>
      </c>
      <c r="C17" s="75">
        <v>1</v>
      </c>
      <c r="D17">
        <v>0.06</v>
      </c>
      <c r="E17">
        <v>-3.09</v>
      </c>
      <c r="F17">
        <v>0.99</v>
      </c>
      <c r="G17">
        <v>0.06</v>
      </c>
      <c r="H17">
        <v>-2.85</v>
      </c>
      <c r="I17">
        <v>1.02</v>
      </c>
      <c r="J17">
        <v>7.0000000000000007E-2</v>
      </c>
      <c r="K17" t="s">
        <v>142</v>
      </c>
      <c r="L17" t="s">
        <v>10</v>
      </c>
      <c r="M17">
        <v>0.66</v>
      </c>
      <c r="N17">
        <v>6350.99</v>
      </c>
      <c r="O17">
        <v>478</v>
      </c>
      <c r="P17">
        <v>8</v>
      </c>
      <c r="Q17">
        <v>32</v>
      </c>
      <c r="R17">
        <v>7</v>
      </c>
      <c r="S17" t="s">
        <v>12</v>
      </c>
      <c r="T17" t="s">
        <v>5</v>
      </c>
      <c r="U17" t="s">
        <v>144</v>
      </c>
      <c r="V17" s="66">
        <v>1</v>
      </c>
      <c r="W17" t="s">
        <v>22</v>
      </c>
      <c r="X17">
        <v>-0.93</v>
      </c>
      <c r="Y17" s="75">
        <v>0.96</v>
      </c>
      <c r="Z17">
        <v>0.03</v>
      </c>
      <c r="AA17">
        <v>-1.02</v>
      </c>
      <c r="AB17">
        <v>0.95</v>
      </c>
      <c r="AC17">
        <v>0.03</v>
      </c>
      <c r="AD17">
        <v>-0.84</v>
      </c>
      <c r="AE17">
        <v>0.98</v>
      </c>
      <c r="AF17">
        <v>0.03</v>
      </c>
      <c r="AG17" t="s">
        <v>142</v>
      </c>
      <c r="AH17" t="s">
        <v>10</v>
      </c>
      <c r="AI17">
        <v>0.38</v>
      </c>
      <c r="AJ17">
        <v>6795.93</v>
      </c>
      <c r="AK17">
        <v>499</v>
      </c>
      <c r="AL17">
        <v>8</v>
      </c>
      <c r="AM17">
        <v>39</v>
      </c>
      <c r="AN17">
        <v>7</v>
      </c>
      <c r="AO17" t="s">
        <v>181</v>
      </c>
      <c r="AP17" t="s">
        <v>5</v>
      </c>
      <c r="AQ17" t="s">
        <v>197</v>
      </c>
      <c r="AR17">
        <v>1</v>
      </c>
      <c r="AS17" s="67" t="s">
        <v>22</v>
      </c>
      <c r="AT17" s="75">
        <v>1</v>
      </c>
      <c r="AU17" s="75">
        <v>0.96</v>
      </c>
      <c r="AW17">
        <f>Y17-C17</f>
        <v>-4.0000000000000036E-2</v>
      </c>
    </row>
    <row r="18" spans="1:51" x14ac:dyDescent="0.2">
      <c r="A18" t="s">
        <v>145</v>
      </c>
      <c r="B18">
        <v>-2.65</v>
      </c>
      <c r="C18" s="75">
        <v>0.83</v>
      </c>
      <c r="D18">
        <v>0.05</v>
      </c>
      <c r="E18">
        <v>-2.73</v>
      </c>
      <c r="F18">
        <v>0.82</v>
      </c>
      <c r="G18">
        <v>0.05</v>
      </c>
      <c r="H18">
        <v>-2.57</v>
      </c>
      <c r="I18">
        <v>0.85</v>
      </c>
      <c r="J18">
        <v>0.05</v>
      </c>
      <c r="K18" t="s">
        <v>146</v>
      </c>
      <c r="L18" t="s">
        <v>107</v>
      </c>
      <c r="M18">
        <v>0.45</v>
      </c>
      <c r="N18">
        <v>1672</v>
      </c>
      <c r="O18">
        <v>1549</v>
      </c>
      <c r="P18">
        <v>-1</v>
      </c>
      <c r="Q18">
        <v>31</v>
      </c>
      <c r="R18">
        <v>30</v>
      </c>
      <c r="S18" t="s">
        <v>12</v>
      </c>
      <c r="T18" t="s">
        <v>5</v>
      </c>
      <c r="U18" t="s">
        <v>147</v>
      </c>
      <c r="V18" s="66">
        <v>1</v>
      </c>
      <c r="W18" t="s">
        <v>145</v>
      </c>
      <c r="X18">
        <v>-0.82</v>
      </c>
      <c r="Y18" s="75">
        <v>0.8</v>
      </c>
      <c r="Z18">
        <v>0.03</v>
      </c>
      <c r="AA18">
        <v>-0.89</v>
      </c>
      <c r="AB18">
        <v>0.79</v>
      </c>
      <c r="AC18">
        <v>0.03</v>
      </c>
      <c r="AD18">
        <v>-0.75</v>
      </c>
      <c r="AE18">
        <v>0.81</v>
      </c>
      <c r="AF18">
        <v>0.03</v>
      </c>
      <c r="AG18" t="s">
        <v>146</v>
      </c>
      <c r="AH18" t="s">
        <v>107</v>
      </c>
      <c r="AI18">
        <v>0.06</v>
      </c>
      <c r="AJ18">
        <v>1672</v>
      </c>
      <c r="AK18">
        <v>1214</v>
      </c>
      <c r="AL18">
        <v>0</v>
      </c>
      <c r="AM18">
        <v>31</v>
      </c>
      <c r="AN18">
        <v>26</v>
      </c>
      <c r="AO18" t="s">
        <v>181</v>
      </c>
      <c r="AP18" t="s">
        <v>5</v>
      </c>
      <c r="AQ18" t="s">
        <v>198</v>
      </c>
      <c r="AR18">
        <v>1</v>
      </c>
      <c r="AS18" s="67" t="s">
        <v>145</v>
      </c>
      <c r="AT18" s="75">
        <v>0.83</v>
      </c>
      <c r="AU18" s="75">
        <v>0.8</v>
      </c>
      <c r="AV18">
        <f>AU18-AT18</f>
        <v>-2.9999999999999916E-2</v>
      </c>
      <c r="AX18" s="68" t="b">
        <f>C18&lt;C19</f>
        <v>0</v>
      </c>
      <c r="AY18" s="68" t="b">
        <f>Y18&lt;Y19</f>
        <v>0</v>
      </c>
    </row>
    <row r="19" spans="1:51" x14ac:dyDescent="0.2">
      <c r="A19" t="s">
        <v>24</v>
      </c>
      <c r="B19">
        <v>-2.92</v>
      </c>
      <c r="C19" s="75">
        <v>0.82</v>
      </c>
      <c r="D19">
        <v>0.06</v>
      </c>
      <c r="E19">
        <v>-3.02</v>
      </c>
      <c r="F19">
        <v>0.8</v>
      </c>
      <c r="G19">
        <v>0.06</v>
      </c>
      <c r="H19">
        <v>-2.83</v>
      </c>
      <c r="I19">
        <v>0.85</v>
      </c>
      <c r="J19">
        <v>7.0000000000000007E-2</v>
      </c>
      <c r="K19" t="s">
        <v>146</v>
      </c>
      <c r="L19" t="s">
        <v>10</v>
      </c>
      <c r="M19">
        <v>0.52</v>
      </c>
      <c r="N19">
        <v>1672</v>
      </c>
      <c r="O19">
        <v>648</v>
      </c>
      <c r="P19">
        <v>1</v>
      </c>
      <c r="Q19">
        <v>36.729999999999997</v>
      </c>
      <c r="R19">
        <v>10</v>
      </c>
      <c r="S19" t="s">
        <v>12</v>
      </c>
      <c r="T19" t="s">
        <v>5</v>
      </c>
      <c r="U19" t="s">
        <v>148</v>
      </c>
      <c r="V19" s="66">
        <v>1</v>
      </c>
      <c r="W19" t="s">
        <v>24</v>
      </c>
      <c r="X19">
        <v>-0.98</v>
      </c>
      <c r="Y19" s="75">
        <v>0.79</v>
      </c>
      <c r="Z19">
        <v>0.04</v>
      </c>
      <c r="AA19">
        <v>-1.0900000000000001</v>
      </c>
      <c r="AB19">
        <v>0.78</v>
      </c>
      <c r="AC19">
        <v>0.04</v>
      </c>
      <c r="AD19">
        <v>-0.87</v>
      </c>
      <c r="AE19">
        <v>0.81</v>
      </c>
      <c r="AF19">
        <v>0.05</v>
      </c>
      <c r="AG19" t="s">
        <v>146</v>
      </c>
      <c r="AH19" t="s">
        <v>10</v>
      </c>
      <c r="AI19">
        <v>0.2</v>
      </c>
      <c r="AJ19">
        <v>1672</v>
      </c>
      <c r="AK19">
        <v>499</v>
      </c>
      <c r="AL19">
        <v>8</v>
      </c>
      <c r="AM19">
        <v>39</v>
      </c>
      <c r="AN19">
        <v>11</v>
      </c>
      <c r="AO19" t="s">
        <v>181</v>
      </c>
      <c r="AP19" t="s">
        <v>5</v>
      </c>
      <c r="AQ19" t="s">
        <v>199</v>
      </c>
      <c r="AR19">
        <v>1</v>
      </c>
      <c r="AS19" s="67" t="s">
        <v>24</v>
      </c>
      <c r="AT19" s="75">
        <v>0.82</v>
      </c>
      <c r="AU19" s="75">
        <v>0.79</v>
      </c>
      <c r="AW19">
        <f>Y19-C19</f>
        <v>-2.9999999999999916E-2</v>
      </c>
    </row>
    <row r="20" spans="1:51" x14ac:dyDescent="0.2">
      <c r="A20" t="s">
        <v>154</v>
      </c>
      <c r="B20">
        <v>-2.71</v>
      </c>
      <c r="C20" s="75">
        <v>0.81</v>
      </c>
      <c r="D20">
        <v>0.05</v>
      </c>
      <c r="E20">
        <v>-2.8</v>
      </c>
      <c r="F20">
        <v>0.8</v>
      </c>
      <c r="G20">
        <v>0.05</v>
      </c>
      <c r="H20">
        <v>-2.61</v>
      </c>
      <c r="I20">
        <v>0.82</v>
      </c>
      <c r="J20">
        <v>0.06</v>
      </c>
      <c r="K20" t="s">
        <v>155</v>
      </c>
      <c r="L20" t="s">
        <v>107</v>
      </c>
      <c r="M20">
        <v>0.04</v>
      </c>
      <c r="N20">
        <v>602.29999999999995</v>
      </c>
      <c r="O20">
        <v>753</v>
      </c>
      <c r="P20">
        <v>13</v>
      </c>
      <c r="Q20">
        <v>30</v>
      </c>
      <c r="R20">
        <v>15</v>
      </c>
      <c r="S20" t="s">
        <v>12</v>
      </c>
      <c r="T20" t="s">
        <v>5</v>
      </c>
      <c r="U20" t="s">
        <v>156</v>
      </c>
      <c r="V20" s="66">
        <v>1</v>
      </c>
      <c r="W20" t="s">
        <v>154</v>
      </c>
      <c r="X20">
        <v>-1.1299999999999999</v>
      </c>
      <c r="Y20" s="75">
        <v>0.78</v>
      </c>
      <c r="Z20">
        <v>0.05</v>
      </c>
      <c r="AA20">
        <v>-1.22</v>
      </c>
      <c r="AB20">
        <v>0.77</v>
      </c>
      <c r="AC20">
        <v>0.04</v>
      </c>
      <c r="AD20">
        <v>-1.05</v>
      </c>
      <c r="AE20">
        <v>0.79</v>
      </c>
      <c r="AF20">
        <v>0.05</v>
      </c>
      <c r="AG20" t="s">
        <v>155</v>
      </c>
      <c r="AH20" t="s">
        <v>107</v>
      </c>
      <c r="AI20">
        <v>0.04</v>
      </c>
      <c r="AJ20">
        <v>602.29999999999995</v>
      </c>
      <c r="AK20">
        <v>694</v>
      </c>
      <c r="AL20">
        <v>13</v>
      </c>
      <c r="AM20">
        <v>30</v>
      </c>
      <c r="AN20">
        <v>12</v>
      </c>
      <c r="AO20" t="s">
        <v>181</v>
      </c>
      <c r="AP20" t="s">
        <v>5</v>
      </c>
      <c r="AQ20" t="s">
        <v>202</v>
      </c>
      <c r="AR20">
        <v>1</v>
      </c>
      <c r="AS20" s="67" t="s">
        <v>154</v>
      </c>
      <c r="AT20" s="75">
        <v>0.75</v>
      </c>
      <c r="AU20" s="75">
        <v>0.78</v>
      </c>
      <c r="AV20" s="111">
        <f>Y20-C20</f>
        <v>-3.0000000000000027E-2</v>
      </c>
      <c r="AW20" s="111"/>
      <c r="AX20" t="b">
        <f>C20&lt;C21</f>
        <v>1</v>
      </c>
      <c r="AY20" t="b">
        <f>Y20&lt;Y21</f>
        <v>1</v>
      </c>
    </row>
    <row r="21" spans="1:51" x14ac:dyDescent="0.2">
      <c r="A21" t="s">
        <v>26</v>
      </c>
      <c r="B21">
        <v>-3.08</v>
      </c>
      <c r="C21" s="75">
        <v>0.9</v>
      </c>
      <c r="D21">
        <v>0.06</v>
      </c>
      <c r="E21">
        <v>-4.1399999999999997</v>
      </c>
      <c r="F21">
        <v>0.87</v>
      </c>
      <c r="G21">
        <v>0.02</v>
      </c>
      <c r="H21">
        <v>-2.0299999999999998</v>
      </c>
      <c r="I21">
        <v>0.93</v>
      </c>
      <c r="J21">
        <v>0.09</v>
      </c>
      <c r="K21" t="s">
        <v>155</v>
      </c>
      <c r="L21" t="s">
        <v>10</v>
      </c>
      <c r="M21">
        <v>0.33</v>
      </c>
      <c r="N21">
        <v>700.4</v>
      </c>
      <c r="O21">
        <v>291</v>
      </c>
      <c r="P21">
        <v>26.5</v>
      </c>
      <c r="Q21">
        <v>35</v>
      </c>
      <c r="R21">
        <v>10</v>
      </c>
      <c r="S21" t="s">
        <v>12</v>
      </c>
      <c r="T21" t="s">
        <v>5</v>
      </c>
      <c r="U21" t="s">
        <v>157</v>
      </c>
      <c r="V21" s="66">
        <v>1</v>
      </c>
      <c r="W21" t="s">
        <v>26</v>
      </c>
      <c r="X21">
        <v>-1.1599999999999999</v>
      </c>
      <c r="Y21" s="75">
        <v>0.84</v>
      </c>
      <c r="Z21">
        <v>0.04</v>
      </c>
      <c r="AA21">
        <v>-2.16</v>
      </c>
      <c r="AB21">
        <v>0.82</v>
      </c>
      <c r="AC21">
        <v>0</v>
      </c>
      <c r="AD21">
        <v>-0.16</v>
      </c>
      <c r="AE21">
        <v>0.87</v>
      </c>
      <c r="AF21">
        <v>7.0000000000000007E-2</v>
      </c>
      <c r="AG21" t="s">
        <v>155</v>
      </c>
      <c r="AH21" t="s">
        <v>10</v>
      </c>
      <c r="AI21">
        <v>0.33</v>
      </c>
      <c r="AJ21">
        <v>700.4</v>
      </c>
      <c r="AK21">
        <v>286</v>
      </c>
      <c r="AL21">
        <v>26.5</v>
      </c>
      <c r="AM21">
        <v>35</v>
      </c>
      <c r="AN21">
        <v>10</v>
      </c>
      <c r="AO21" t="s">
        <v>181</v>
      </c>
      <c r="AP21" t="s">
        <v>5</v>
      </c>
      <c r="AQ21" t="s">
        <v>203</v>
      </c>
      <c r="AR21">
        <v>1</v>
      </c>
      <c r="AS21" s="67" t="s">
        <v>26</v>
      </c>
      <c r="AT21" s="75">
        <v>0.89</v>
      </c>
      <c r="AU21" s="75">
        <v>0.84</v>
      </c>
      <c r="AV21" s="111"/>
      <c r="AW21" s="111">
        <f>Y21-C21</f>
        <v>-6.0000000000000053E-2</v>
      </c>
    </row>
    <row r="22" spans="1:51" x14ac:dyDescent="0.2">
      <c r="A22" t="s">
        <v>168</v>
      </c>
      <c r="B22">
        <v>-2.87</v>
      </c>
      <c r="C22" s="75">
        <v>0.86</v>
      </c>
      <c r="D22">
        <v>0.06</v>
      </c>
      <c r="E22">
        <v>-2.94</v>
      </c>
      <c r="F22">
        <v>0.85</v>
      </c>
      <c r="G22">
        <v>0.06</v>
      </c>
      <c r="H22">
        <v>-2.79</v>
      </c>
      <c r="I22">
        <v>0.88</v>
      </c>
      <c r="J22">
        <v>7.0000000000000007E-2</v>
      </c>
      <c r="K22" t="s">
        <v>169</v>
      </c>
      <c r="L22" t="s">
        <v>107</v>
      </c>
      <c r="M22">
        <v>0.04</v>
      </c>
      <c r="N22">
        <v>1672</v>
      </c>
      <c r="O22">
        <v>1290</v>
      </c>
      <c r="P22">
        <v>-1</v>
      </c>
      <c r="Q22">
        <v>30</v>
      </c>
      <c r="R22">
        <v>24</v>
      </c>
      <c r="S22" t="s">
        <v>12</v>
      </c>
      <c r="T22" t="s">
        <v>9</v>
      </c>
      <c r="U22" t="s">
        <v>170</v>
      </c>
      <c r="V22" s="66">
        <v>1</v>
      </c>
      <c r="W22" t="s">
        <v>168</v>
      </c>
      <c r="X22">
        <v>-1.1000000000000001</v>
      </c>
      <c r="Y22" s="75">
        <v>0.81</v>
      </c>
      <c r="Z22">
        <v>0.05</v>
      </c>
      <c r="AA22">
        <v>-1.18</v>
      </c>
      <c r="AB22">
        <v>0.8</v>
      </c>
      <c r="AC22">
        <v>0.04</v>
      </c>
      <c r="AD22">
        <v>-1.02</v>
      </c>
      <c r="AE22">
        <v>0.82</v>
      </c>
      <c r="AF22">
        <v>0.05</v>
      </c>
      <c r="AG22" t="s">
        <v>169</v>
      </c>
      <c r="AH22" t="s">
        <v>107</v>
      </c>
      <c r="AI22">
        <v>0.04</v>
      </c>
      <c r="AJ22">
        <v>1672</v>
      </c>
      <c r="AK22">
        <v>921</v>
      </c>
      <c r="AL22">
        <v>12</v>
      </c>
      <c r="AM22">
        <v>30</v>
      </c>
      <c r="AN22">
        <v>15</v>
      </c>
      <c r="AO22" t="s">
        <v>181</v>
      </c>
      <c r="AP22" t="s">
        <v>9</v>
      </c>
      <c r="AQ22" t="s">
        <v>207</v>
      </c>
      <c r="AR22">
        <v>1</v>
      </c>
      <c r="AS22" s="67" t="s">
        <v>168</v>
      </c>
      <c r="AT22" s="75">
        <v>0.86</v>
      </c>
      <c r="AU22" s="75">
        <v>0.81</v>
      </c>
      <c r="AV22">
        <f>Y22-C22</f>
        <v>-4.9999999999999933E-2</v>
      </c>
      <c r="AX22" t="b">
        <f>C22&lt;C23</f>
        <v>1</v>
      </c>
      <c r="AY22" t="b">
        <f>Y22&lt;Y23</f>
        <v>1</v>
      </c>
    </row>
    <row r="23" spans="1:51" x14ac:dyDescent="0.2">
      <c r="A23" t="s">
        <v>28</v>
      </c>
      <c r="B23">
        <v>-3.18</v>
      </c>
      <c r="C23" s="75">
        <v>0.9</v>
      </c>
      <c r="D23">
        <v>0.06</v>
      </c>
      <c r="E23">
        <v>-3.29</v>
      </c>
      <c r="F23">
        <v>0.88</v>
      </c>
      <c r="G23">
        <v>0.06</v>
      </c>
      <c r="H23">
        <v>-3.07</v>
      </c>
      <c r="I23">
        <v>0.92</v>
      </c>
      <c r="J23">
        <v>7.0000000000000007E-2</v>
      </c>
      <c r="K23" t="s">
        <v>169</v>
      </c>
      <c r="L23" t="s">
        <v>10</v>
      </c>
      <c r="M23">
        <v>0.33</v>
      </c>
      <c r="N23">
        <v>1672</v>
      </c>
      <c r="O23">
        <v>505</v>
      </c>
      <c r="P23">
        <v>1</v>
      </c>
      <c r="Q23">
        <v>35</v>
      </c>
      <c r="R23">
        <v>14</v>
      </c>
      <c r="S23" t="s">
        <v>12</v>
      </c>
      <c r="T23" t="s">
        <v>9</v>
      </c>
      <c r="U23" t="s">
        <v>171</v>
      </c>
      <c r="V23" s="66">
        <v>1</v>
      </c>
      <c r="W23" t="s">
        <v>28</v>
      </c>
      <c r="X23">
        <v>0.1</v>
      </c>
      <c r="Y23" s="75">
        <v>0.84</v>
      </c>
      <c r="Z23">
        <v>-0.01</v>
      </c>
      <c r="AA23">
        <v>-0.37</v>
      </c>
      <c r="AB23">
        <v>0.82</v>
      </c>
      <c r="AC23">
        <v>-0.02</v>
      </c>
      <c r="AD23">
        <v>0.56000000000000005</v>
      </c>
      <c r="AE23">
        <v>0.86</v>
      </c>
      <c r="AF23">
        <v>0.01</v>
      </c>
      <c r="AG23" t="s">
        <v>169</v>
      </c>
      <c r="AH23" t="s">
        <v>10</v>
      </c>
      <c r="AI23">
        <v>0.33</v>
      </c>
      <c r="AJ23">
        <v>1672</v>
      </c>
      <c r="AK23">
        <v>332</v>
      </c>
      <c r="AL23">
        <v>21</v>
      </c>
      <c r="AM23">
        <v>35</v>
      </c>
      <c r="AN23">
        <v>11</v>
      </c>
      <c r="AO23" t="s">
        <v>181</v>
      </c>
      <c r="AP23" t="s">
        <v>9</v>
      </c>
      <c r="AQ23" t="s">
        <v>208</v>
      </c>
      <c r="AR23">
        <v>1</v>
      </c>
      <c r="AS23" s="67" t="s">
        <v>28</v>
      </c>
      <c r="AT23" s="75">
        <v>0.91</v>
      </c>
      <c r="AU23" s="75">
        <v>0.84</v>
      </c>
      <c r="AW23">
        <f>Y23-C23</f>
        <v>-6.0000000000000053E-2</v>
      </c>
    </row>
    <row r="24" spans="1:51" x14ac:dyDescent="0.2">
      <c r="A24" t="s">
        <v>177</v>
      </c>
      <c r="B24">
        <v>-2.72</v>
      </c>
      <c r="C24" s="75">
        <v>0.95</v>
      </c>
      <c r="D24">
        <v>0.04</v>
      </c>
      <c r="E24">
        <v>-2.79</v>
      </c>
      <c r="F24">
        <v>0.94</v>
      </c>
      <c r="G24">
        <v>0.04</v>
      </c>
      <c r="H24">
        <v>-2.65</v>
      </c>
      <c r="I24">
        <v>0.96</v>
      </c>
      <c r="J24">
        <v>0.04</v>
      </c>
      <c r="K24" t="s">
        <v>178</v>
      </c>
      <c r="L24" t="s">
        <v>107</v>
      </c>
      <c r="M24">
        <v>0.16</v>
      </c>
      <c r="N24">
        <v>7200</v>
      </c>
      <c r="O24">
        <v>2484</v>
      </c>
      <c r="P24">
        <v>5</v>
      </c>
      <c r="Q24">
        <v>30.02</v>
      </c>
      <c r="R24">
        <v>18</v>
      </c>
      <c r="S24" t="s">
        <v>12</v>
      </c>
      <c r="T24" t="s">
        <v>9</v>
      </c>
      <c r="U24" t="s">
        <v>179</v>
      </c>
      <c r="V24" s="66">
        <v>1</v>
      </c>
      <c r="W24" t="s">
        <v>177</v>
      </c>
      <c r="X24">
        <v>-0.28999999999999998</v>
      </c>
      <c r="Y24" s="75">
        <v>0.93</v>
      </c>
      <c r="Z24">
        <v>0</v>
      </c>
      <c r="AA24">
        <v>-0.35</v>
      </c>
      <c r="AB24">
        <v>0.92</v>
      </c>
      <c r="AC24">
        <v>0</v>
      </c>
      <c r="AD24">
        <v>-0.24</v>
      </c>
      <c r="AE24">
        <v>0.94</v>
      </c>
      <c r="AF24">
        <v>0</v>
      </c>
      <c r="AG24" t="s">
        <v>178</v>
      </c>
      <c r="AH24" t="s">
        <v>107</v>
      </c>
      <c r="AI24">
        <v>0.06</v>
      </c>
      <c r="AJ24">
        <v>7200</v>
      </c>
      <c r="AK24">
        <v>1782</v>
      </c>
      <c r="AL24">
        <v>5</v>
      </c>
      <c r="AM24">
        <v>29</v>
      </c>
      <c r="AN24">
        <v>14</v>
      </c>
      <c r="AO24" t="s">
        <v>181</v>
      </c>
      <c r="AP24" t="s">
        <v>9</v>
      </c>
      <c r="AQ24" t="s">
        <v>211</v>
      </c>
      <c r="AR24">
        <v>1</v>
      </c>
      <c r="AS24" s="67" t="s">
        <v>216</v>
      </c>
      <c r="AT24" s="75">
        <v>0.95</v>
      </c>
      <c r="AU24" s="75">
        <v>0.93</v>
      </c>
      <c r="AV24">
        <f>Y24-C24</f>
        <v>-1.9999999999999907E-2</v>
      </c>
      <c r="AX24" t="b">
        <f>C24&lt;C25</f>
        <v>1</v>
      </c>
      <c r="AY24" t="b">
        <f>Y24&lt;Y25</f>
        <v>1</v>
      </c>
    </row>
    <row r="25" spans="1:51" s="73" customFormat="1" ht="17" thickBot="1" x14ac:dyDescent="0.25">
      <c r="A25" s="73" t="s">
        <v>30</v>
      </c>
      <c r="B25" s="73">
        <v>-2.3199999999999998</v>
      </c>
      <c r="C25" s="76">
        <v>0.96</v>
      </c>
      <c r="D25" s="73">
        <v>0.03</v>
      </c>
      <c r="E25" s="73">
        <v>-2.41</v>
      </c>
      <c r="F25" s="73">
        <v>0.95</v>
      </c>
      <c r="G25" s="73">
        <v>0.03</v>
      </c>
      <c r="H25" s="73">
        <v>-2.2200000000000002</v>
      </c>
      <c r="I25" s="73">
        <v>0.98</v>
      </c>
      <c r="J25" s="73">
        <v>0.04</v>
      </c>
      <c r="K25" s="73" t="s">
        <v>178</v>
      </c>
      <c r="L25" s="73" t="s">
        <v>10</v>
      </c>
      <c r="M25" s="73">
        <v>0.66</v>
      </c>
      <c r="N25" s="73">
        <v>6350.99</v>
      </c>
      <c r="O25" s="73">
        <v>818</v>
      </c>
      <c r="P25" s="73">
        <v>8</v>
      </c>
      <c r="Q25" s="73">
        <v>36.729999999999997</v>
      </c>
      <c r="R25" s="73">
        <v>9</v>
      </c>
      <c r="S25" s="73" t="s">
        <v>12</v>
      </c>
      <c r="T25" s="73" t="s">
        <v>9</v>
      </c>
      <c r="U25" s="73" t="s">
        <v>180</v>
      </c>
      <c r="V25" s="74">
        <v>1</v>
      </c>
      <c r="W25" s="73" t="s">
        <v>30</v>
      </c>
      <c r="X25" s="73">
        <v>-0.7</v>
      </c>
      <c r="Y25" s="76">
        <v>0.97</v>
      </c>
      <c r="Z25" s="73">
        <v>0.02</v>
      </c>
      <c r="AA25" s="73">
        <v>-0.77</v>
      </c>
      <c r="AB25" s="73">
        <v>0.96</v>
      </c>
      <c r="AC25" s="73">
        <v>0.01</v>
      </c>
      <c r="AD25" s="73">
        <v>-0.62</v>
      </c>
      <c r="AE25" s="73">
        <v>0.98</v>
      </c>
      <c r="AF25" s="73">
        <v>0.02</v>
      </c>
      <c r="AG25" s="73" t="s">
        <v>178</v>
      </c>
      <c r="AH25" s="73" t="s">
        <v>10</v>
      </c>
      <c r="AI25" s="73">
        <v>0.2</v>
      </c>
      <c r="AJ25" s="73">
        <v>6795.93</v>
      </c>
      <c r="AK25" s="73">
        <v>822</v>
      </c>
      <c r="AL25" s="73">
        <v>8</v>
      </c>
      <c r="AM25" s="73">
        <v>35</v>
      </c>
      <c r="AN25" s="73">
        <v>11</v>
      </c>
      <c r="AO25" s="73" t="s">
        <v>181</v>
      </c>
      <c r="AP25" s="73" t="s">
        <v>9</v>
      </c>
      <c r="AQ25" s="73" t="s">
        <v>212</v>
      </c>
      <c r="AR25" s="73">
        <v>1</v>
      </c>
      <c r="AS25" s="67" t="s">
        <v>215</v>
      </c>
      <c r="AT25" s="76">
        <v>0.96</v>
      </c>
      <c r="AU25" s="76">
        <v>0.97</v>
      </c>
      <c r="AW25" s="79">
        <f>Y25-C25</f>
        <v>1.0000000000000009E-2</v>
      </c>
    </row>
    <row r="28" spans="1:51" s="69" customFormat="1" x14ac:dyDescent="0.2">
      <c r="A28" s="69" t="s">
        <v>123</v>
      </c>
      <c r="B28" s="69">
        <v>-2.89</v>
      </c>
      <c r="C28" s="77">
        <v>0.83</v>
      </c>
      <c r="D28" s="69">
        <v>0.06</v>
      </c>
      <c r="E28" s="69">
        <v>-3.02</v>
      </c>
      <c r="F28" s="69">
        <v>0.78</v>
      </c>
      <c r="G28" s="69">
        <v>0.02</v>
      </c>
      <c r="H28" s="69">
        <v>-2.76</v>
      </c>
      <c r="I28" s="69">
        <v>0.88</v>
      </c>
      <c r="J28" s="69">
        <v>0.1</v>
      </c>
      <c r="K28" s="69" t="s">
        <v>124</v>
      </c>
      <c r="L28" s="69" t="s">
        <v>107</v>
      </c>
      <c r="M28" s="69">
        <v>0.52</v>
      </c>
      <c r="N28" s="69">
        <v>126000</v>
      </c>
      <c r="O28" s="69">
        <v>142</v>
      </c>
      <c r="P28" s="69">
        <v>-1</v>
      </c>
      <c r="Q28" s="69">
        <v>10</v>
      </c>
      <c r="R28" s="69">
        <v>5</v>
      </c>
      <c r="S28" s="69" t="s">
        <v>12</v>
      </c>
      <c r="T28" s="69" t="s">
        <v>8</v>
      </c>
      <c r="U28" s="69" t="s">
        <v>125</v>
      </c>
      <c r="V28" s="70">
        <v>1</v>
      </c>
      <c r="W28" s="69" t="s">
        <v>123</v>
      </c>
      <c r="X28" s="69">
        <v>-1.01</v>
      </c>
      <c r="Y28" s="77">
        <v>0.76</v>
      </c>
      <c r="Z28" s="69">
        <v>0.03</v>
      </c>
      <c r="AA28" s="69">
        <v>-1.32</v>
      </c>
      <c r="AB28" s="69">
        <v>0.69</v>
      </c>
      <c r="AC28" s="69">
        <v>0.01</v>
      </c>
      <c r="AD28" s="69">
        <v>-0.7</v>
      </c>
      <c r="AE28" s="69">
        <v>0.84</v>
      </c>
      <c r="AF28" s="69">
        <v>0.05</v>
      </c>
      <c r="AG28" s="69" t="s">
        <v>124</v>
      </c>
      <c r="AH28" s="69" t="s">
        <v>107</v>
      </c>
      <c r="AI28" s="69">
        <v>16.100000000000001</v>
      </c>
      <c r="AJ28" s="69">
        <v>140.30000000000001</v>
      </c>
      <c r="AK28" s="69">
        <v>74</v>
      </c>
      <c r="AL28" s="69">
        <v>0</v>
      </c>
      <c r="AM28" s="69">
        <v>7.6</v>
      </c>
      <c r="AN28" s="69">
        <v>2</v>
      </c>
      <c r="AO28" s="69" t="s">
        <v>181</v>
      </c>
      <c r="AP28" s="69" t="s">
        <v>8</v>
      </c>
      <c r="AQ28" s="69" t="s">
        <v>188</v>
      </c>
      <c r="AR28" s="69">
        <v>0</v>
      </c>
      <c r="AS28" s="71" t="s">
        <v>123</v>
      </c>
      <c r="AT28" s="77">
        <v>0.83</v>
      </c>
      <c r="AU28" s="77">
        <v>0.76</v>
      </c>
      <c r="AV28">
        <f>AU28-AT28</f>
        <v>-6.9999999999999951E-2</v>
      </c>
      <c r="AW28"/>
      <c r="AX28" s="72" t="b">
        <f>C28&lt;C29</f>
        <v>0</v>
      </c>
      <c r="AY28" s="69" t="b">
        <f>Y28&lt;Y29</f>
        <v>1</v>
      </c>
    </row>
    <row r="29" spans="1:51" s="69" customFormat="1" x14ac:dyDescent="0.2">
      <c r="A29" s="69" t="s">
        <v>126</v>
      </c>
      <c r="B29" s="69">
        <v>-3.4</v>
      </c>
      <c r="C29" s="77">
        <v>0.73</v>
      </c>
      <c r="D29" s="69">
        <v>0.25</v>
      </c>
      <c r="E29" s="69">
        <v>-3.59</v>
      </c>
      <c r="F29" s="69">
        <v>0.68</v>
      </c>
      <c r="G29" s="69">
        <v>0.18</v>
      </c>
      <c r="H29" s="69">
        <v>-3.22</v>
      </c>
      <c r="I29" s="69">
        <v>0.78</v>
      </c>
      <c r="J29" s="69">
        <v>0.31</v>
      </c>
      <c r="K29" s="69" t="s">
        <v>124</v>
      </c>
      <c r="L29" s="69" t="s">
        <v>10</v>
      </c>
      <c r="M29" s="69">
        <v>0.52</v>
      </c>
      <c r="N29" s="69">
        <v>275</v>
      </c>
      <c r="O29" s="69">
        <v>157</v>
      </c>
      <c r="P29" s="69">
        <v>1</v>
      </c>
      <c r="Q29" s="69">
        <v>8</v>
      </c>
      <c r="R29" s="69">
        <v>3</v>
      </c>
      <c r="S29" s="69" t="s">
        <v>12</v>
      </c>
      <c r="T29" s="69" t="s">
        <v>8</v>
      </c>
      <c r="U29" s="69" t="s">
        <v>127</v>
      </c>
      <c r="V29" s="70">
        <v>1</v>
      </c>
      <c r="W29" s="69" t="s">
        <v>126</v>
      </c>
      <c r="X29" s="69">
        <v>-0.72</v>
      </c>
      <c r="Y29" s="77">
        <v>0.77</v>
      </c>
      <c r="Z29" s="69">
        <v>0</v>
      </c>
      <c r="AA29" s="69">
        <v>-1.19</v>
      </c>
      <c r="AB29" s="69">
        <v>0.65</v>
      </c>
      <c r="AC29" s="69">
        <v>-0.03</v>
      </c>
      <c r="AD29" s="69">
        <v>-0.25</v>
      </c>
      <c r="AE29" s="69">
        <v>0.9</v>
      </c>
      <c r="AF29" s="69">
        <v>0.02</v>
      </c>
      <c r="AG29" s="69" t="s">
        <v>124</v>
      </c>
      <c r="AH29" s="69" t="s">
        <v>10</v>
      </c>
      <c r="AI29" s="69">
        <v>11.4</v>
      </c>
      <c r="AJ29" s="69">
        <v>123.54</v>
      </c>
      <c r="AK29" s="69">
        <v>44</v>
      </c>
      <c r="AL29" s="69">
        <v>8</v>
      </c>
      <c r="AM29" s="69">
        <v>14.8</v>
      </c>
      <c r="AN29" s="69">
        <v>2</v>
      </c>
      <c r="AO29" s="69" t="s">
        <v>181</v>
      </c>
      <c r="AP29" s="69" t="s">
        <v>8</v>
      </c>
      <c r="AQ29" s="69" t="s">
        <v>189</v>
      </c>
      <c r="AR29" s="69">
        <v>0</v>
      </c>
      <c r="AS29" s="71" t="s">
        <v>126</v>
      </c>
      <c r="AT29" s="77">
        <v>0.73</v>
      </c>
      <c r="AU29" s="77">
        <v>0.77</v>
      </c>
      <c r="AV29"/>
      <c r="AW29">
        <f>AU29-AT29</f>
        <v>4.0000000000000036E-2</v>
      </c>
    </row>
    <row r="30" spans="1:51" s="69" customFormat="1" x14ac:dyDescent="0.2">
      <c r="A30" s="69" t="s">
        <v>149</v>
      </c>
      <c r="B30" s="69">
        <v>-2.94</v>
      </c>
      <c r="C30" s="77">
        <v>1.03</v>
      </c>
      <c r="D30" s="69">
        <v>0.04</v>
      </c>
      <c r="E30" s="69">
        <v>-3.03</v>
      </c>
      <c r="F30" s="69">
        <v>1.03</v>
      </c>
      <c r="G30" s="69">
        <v>0.03</v>
      </c>
      <c r="H30" s="69">
        <v>-2.86</v>
      </c>
      <c r="I30" s="69">
        <v>1.04</v>
      </c>
      <c r="J30" s="69">
        <v>0.04</v>
      </c>
      <c r="K30" s="69" t="s">
        <v>150</v>
      </c>
      <c r="L30" s="69" t="s">
        <v>107</v>
      </c>
      <c r="M30" s="69">
        <v>0.25</v>
      </c>
      <c r="N30" s="69">
        <v>11600</v>
      </c>
      <c r="O30" s="69">
        <v>766</v>
      </c>
      <c r="P30" s="69">
        <v>9</v>
      </c>
      <c r="Q30" s="69">
        <v>28</v>
      </c>
      <c r="R30" s="69">
        <v>7</v>
      </c>
      <c r="S30" s="69" t="s">
        <v>12</v>
      </c>
      <c r="T30" s="69" t="s">
        <v>5</v>
      </c>
      <c r="U30" s="69" t="s">
        <v>151</v>
      </c>
      <c r="V30" s="70">
        <v>1</v>
      </c>
      <c r="W30" s="69" t="s">
        <v>149</v>
      </c>
      <c r="X30" s="69">
        <v>-1.05</v>
      </c>
      <c r="Y30" s="77">
        <v>1.02</v>
      </c>
      <c r="Z30" s="69">
        <v>0.04</v>
      </c>
      <c r="AA30" s="69">
        <v>-1.1200000000000001</v>
      </c>
      <c r="AB30" s="69">
        <v>1.01</v>
      </c>
      <c r="AC30" s="69">
        <v>0.04</v>
      </c>
      <c r="AD30" s="69">
        <v>-0.99</v>
      </c>
      <c r="AE30" s="69">
        <v>1.02</v>
      </c>
      <c r="AF30" s="69">
        <v>0.05</v>
      </c>
      <c r="AG30" s="69" t="s">
        <v>150</v>
      </c>
      <c r="AH30" s="69" t="s">
        <v>107</v>
      </c>
      <c r="AI30" s="69">
        <v>5.37</v>
      </c>
      <c r="AJ30" s="69">
        <v>4108</v>
      </c>
      <c r="AK30" s="69">
        <v>573</v>
      </c>
      <c r="AL30" s="69">
        <v>8.83</v>
      </c>
      <c r="AM30" s="69">
        <v>28</v>
      </c>
      <c r="AN30" s="69">
        <v>4</v>
      </c>
      <c r="AO30" s="69" t="s">
        <v>181</v>
      </c>
      <c r="AP30" s="69" t="s">
        <v>5</v>
      </c>
      <c r="AQ30" s="69" t="s">
        <v>200</v>
      </c>
      <c r="AR30" s="69">
        <v>1</v>
      </c>
      <c r="AS30" s="71" t="s">
        <v>149</v>
      </c>
      <c r="AT30" s="77">
        <v>1.03</v>
      </c>
      <c r="AU30" s="77">
        <v>1.02</v>
      </c>
      <c r="AV30">
        <f>AU30-AT30</f>
        <v>-1.0000000000000009E-2</v>
      </c>
      <c r="AW30"/>
      <c r="AX30" s="69" t="b">
        <f>C30&lt;C31</f>
        <v>1</v>
      </c>
      <c r="AY30" s="72" t="b">
        <f>Y30&lt;Y31</f>
        <v>0</v>
      </c>
    </row>
    <row r="31" spans="1:51" s="69" customFormat="1" x14ac:dyDescent="0.2">
      <c r="A31" s="69" t="s">
        <v>152</v>
      </c>
      <c r="B31" s="69">
        <v>-6.06</v>
      </c>
      <c r="C31" s="77">
        <v>1.25</v>
      </c>
      <c r="D31" s="69">
        <v>0.12</v>
      </c>
      <c r="E31" s="69">
        <v>-9.26</v>
      </c>
      <c r="F31" s="69">
        <v>0.82</v>
      </c>
      <c r="G31" s="69">
        <v>0.1</v>
      </c>
      <c r="H31" s="69">
        <v>-2.87</v>
      </c>
      <c r="I31" s="69">
        <v>1.68</v>
      </c>
      <c r="J31" s="69">
        <v>0.15</v>
      </c>
      <c r="K31" s="69" t="s">
        <v>150</v>
      </c>
      <c r="L31" s="69" t="s">
        <v>10</v>
      </c>
      <c r="M31" s="69">
        <v>1433</v>
      </c>
      <c r="N31" s="69">
        <v>3190</v>
      </c>
      <c r="O31" s="69">
        <v>48</v>
      </c>
      <c r="P31" s="69">
        <v>18</v>
      </c>
      <c r="Q31" s="69">
        <v>26</v>
      </c>
      <c r="R31" s="69">
        <v>2</v>
      </c>
      <c r="S31" s="69" t="s">
        <v>12</v>
      </c>
      <c r="T31" s="69" t="s">
        <v>5</v>
      </c>
      <c r="U31" s="69" t="s">
        <v>153</v>
      </c>
      <c r="V31" s="70">
        <v>0</v>
      </c>
      <c r="W31" s="69" t="s">
        <v>152</v>
      </c>
      <c r="X31" s="69">
        <v>2.1</v>
      </c>
      <c r="Y31" s="77">
        <v>0.74</v>
      </c>
      <c r="Z31" s="69">
        <v>-0.02</v>
      </c>
      <c r="AA31" s="69">
        <v>1.0900000000000001</v>
      </c>
      <c r="AB31" s="69">
        <v>0.66</v>
      </c>
      <c r="AC31" s="69">
        <v>-0.04</v>
      </c>
      <c r="AD31" s="69">
        <v>3.1</v>
      </c>
      <c r="AE31" s="69">
        <v>0.81</v>
      </c>
      <c r="AF31" s="69">
        <v>0</v>
      </c>
      <c r="AG31" s="69" t="s">
        <v>150</v>
      </c>
      <c r="AH31" s="69" t="s">
        <v>10</v>
      </c>
      <c r="AI31" s="69">
        <v>16.5</v>
      </c>
      <c r="AJ31" s="69">
        <v>3190</v>
      </c>
      <c r="AK31" s="69">
        <v>79</v>
      </c>
      <c r="AL31" s="69">
        <v>17.760000000000002</v>
      </c>
      <c r="AM31" s="69">
        <v>32</v>
      </c>
      <c r="AN31" s="69">
        <v>3</v>
      </c>
      <c r="AO31" s="69" t="s">
        <v>181</v>
      </c>
      <c r="AP31" s="69" t="s">
        <v>5</v>
      </c>
      <c r="AQ31" s="69" t="s">
        <v>201</v>
      </c>
      <c r="AR31" s="69">
        <v>0</v>
      </c>
      <c r="AS31" s="71" t="s">
        <v>152</v>
      </c>
      <c r="AT31" s="77">
        <v>1.25</v>
      </c>
      <c r="AU31" s="77">
        <v>0.74</v>
      </c>
      <c r="AV31"/>
      <c r="AW31">
        <f>AU31-AT31</f>
        <v>-0.51</v>
      </c>
    </row>
    <row r="32" spans="1:51" s="121" customFormat="1" x14ac:dyDescent="0.2">
      <c r="A32" s="121" t="s">
        <v>158</v>
      </c>
      <c r="B32" s="121">
        <v>-3.72</v>
      </c>
      <c r="C32" s="121">
        <v>0.97</v>
      </c>
      <c r="D32" s="121">
        <v>0.06</v>
      </c>
      <c r="E32" s="121">
        <v>-4.17</v>
      </c>
      <c r="F32" s="121">
        <v>0.92</v>
      </c>
      <c r="G32" s="121">
        <v>0.05</v>
      </c>
      <c r="H32" s="121">
        <v>-3.27</v>
      </c>
      <c r="I32" s="121">
        <v>1.01</v>
      </c>
      <c r="J32" s="121">
        <v>0.08</v>
      </c>
      <c r="K32" s="121" t="s">
        <v>159</v>
      </c>
      <c r="L32" s="121" t="s">
        <v>107</v>
      </c>
      <c r="M32" s="121">
        <v>0.25</v>
      </c>
      <c r="N32" s="121">
        <v>88</v>
      </c>
      <c r="O32" s="121">
        <v>499</v>
      </c>
      <c r="P32" s="121">
        <v>15</v>
      </c>
      <c r="Q32" s="121">
        <v>31</v>
      </c>
      <c r="R32" s="121">
        <v>26</v>
      </c>
      <c r="S32" s="121" t="s">
        <v>12</v>
      </c>
      <c r="T32" s="121" t="s">
        <v>9</v>
      </c>
      <c r="U32" s="121" t="s">
        <v>160</v>
      </c>
      <c r="V32" s="122">
        <v>1</v>
      </c>
      <c r="W32" s="121" t="s">
        <v>158</v>
      </c>
      <c r="X32" s="121">
        <v>0.27</v>
      </c>
      <c r="Y32" s="121">
        <v>1.06</v>
      </c>
      <c r="Z32" s="121">
        <v>-0.04</v>
      </c>
      <c r="AA32" s="121">
        <v>-0.52</v>
      </c>
      <c r="AB32" s="121">
        <v>1.01</v>
      </c>
      <c r="AC32" s="121">
        <v>-7.0000000000000007E-2</v>
      </c>
      <c r="AD32" s="121">
        <v>1.06</v>
      </c>
      <c r="AE32" s="121">
        <v>1.1200000000000001</v>
      </c>
      <c r="AF32" s="121">
        <v>0</v>
      </c>
      <c r="AG32" s="121" t="s">
        <v>159</v>
      </c>
      <c r="AH32" s="121" t="s">
        <v>107</v>
      </c>
      <c r="AI32" s="121">
        <v>0.45</v>
      </c>
      <c r="AJ32" s="121">
        <v>119</v>
      </c>
      <c r="AK32" s="121">
        <v>315</v>
      </c>
      <c r="AL32" s="121">
        <v>25</v>
      </c>
      <c r="AM32" s="121">
        <v>31</v>
      </c>
      <c r="AN32" s="121">
        <v>25</v>
      </c>
      <c r="AO32" s="121" t="s">
        <v>181</v>
      </c>
      <c r="AP32" s="121" t="s">
        <v>9</v>
      </c>
      <c r="AQ32" s="121" t="s">
        <v>204</v>
      </c>
      <c r="AR32" s="121">
        <v>1</v>
      </c>
      <c r="AS32" s="123" t="s">
        <v>158</v>
      </c>
      <c r="AT32" s="121">
        <v>0.97</v>
      </c>
      <c r="AU32" s="121">
        <v>1.06</v>
      </c>
      <c r="AV32" s="124">
        <f>AU32-AT32</f>
        <v>9.000000000000008E-2</v>
      </c>
      <c r="AW32" s="124"/>
      <c r="AX32" s="125" t="b">
        <f>C32&lt;C33</f>
        <v>0</v>
      </c>
      <c r="AY32" s="125" t="b">
        <f>Y32&lt;Y33</f>
        <v>0</v>
      </c>
    </row>
    <row r="33" spans="1:51" s="121" customFormat="1" x14ac:dyDescent="0.2">
      <c r="A33" s="121" t="s">
        <v>161</v>
      </c>
      <c r="B33" s="121">
        <v>-0.89</v>
      </c>
      <c r="C33" s="121">
        <v>0.76</v>
      </c>
      <c r="D33" s="121">
        <v>0.01</v>
      </c>
      <c r="E33" s="121">
        <v>-1.99</v>
      </c>
      <c r="F33" s="121">
        <v>0.7</v>
      </c>
      <c r="G33" s="121">
        <v>-0.02</v>
      </c>
      <c r="H33" s="121">
        <v>0.2</v>
      </c>
      <c r="I33" s="121">
        <v>0.82</v>
      </c>
      <c r="J33" s="121">
        <v>0.05</v>
      </c>
      <c r="K33" s="121" t="s">
        <v>159</v>
      </c>
      <c r="L33" s="121" t="s">
        <v>10</v>
      </c>
      <c r="M33" s="121">
        <v>0.97</v>
      </c>
      <c r="N33" s="121">
        <v>50.08</v>
      </c>
      <c r="O33" s="121">
        <v>55</v>
      </c>
      <c r="P33" s="121">
        <v>30</v>
      </c>
      <c r="Q33" s="121">
        <v>35</v>
      </c>
      <c r="R33" s="121">
        <v>2</v>
      </c>
      <c r="S33" s="121" t="s">
        <v>12</v>
      </c>
      <c r="T33" s="121" t="s">
        <v>9</v>
      </c>
      <c r="U33" s="121" t="s">
        <v>162</v>
      </c>
      <c r="V33" s="122">
        <v>0</v>
      </c>
      <c r="W33" s="121" t="s">
        <v>161</v>
      </c>
      <c r="X33" s="121">
        <v>-0.97</v>
      </c>
      <c r="Y33" s="121">
        <v>0.77</v>
      </c>
      <c r="Z33" s="121">
        <v>0.05</v>
      </c>
      <c r="AA33" s="121">
        <v>-1.65</v>
      </c>
      <c r="AB33" s="121">
        <v>0.71</v>
      </c>
      <c r="AC33" s="121">
        <v>0.03</v>
      </c>
      <c r="AD33" s="121">
        <v>-0.28000000000000003</v>
      </c>
      <c r="AE33" s="121">
        <v>0.84</v>
      </c>
      <c r="AF33" s="121">
        <v>7.0000000000000007E-2</v>
      </c>
      <c r="AG33" s="121" t="s">
        <v>159</v>
      </c>
      <c r="AH33" s="121" t="s">
        <v>10</v>
      </c>
      <c r="AI33" s="121">
        <v>4.62</v>
      </c>
      <c r="AJ33" s="121">
        <v>119</v>
      </c>
      <c r="AK33" s="121">
        <v>55</v>
      </c>
      <c r="AL33" s="121">
        <v>31</v>
      </c>
      <c r="AM33" s="121">
        <v>39</v>
      </c>
      <c r="AN33" s="121">
        <v>2</v>
      </c>
      <c r="AO33" s="121" t="s">
        <v>181</v>
      </c>
      <c r="AP33" s="121" t="s">
        <v>9</v>
      </c>
      <c r="AQ33" s="121" t="s">
        <v>162</v>
      </c>
      <c r="AR33" s="121">
        <v>0</v>
      </c>
      <c r="AS33" s="123" t="s">
        <v>161</v>
      </c>
      <c r="AT33" s="121">
        <v>0.76</v>
      </c>
      <c r="AU33" s="121">
        <v>0.77</v>
      </c>
      <c r="AV33" s="124"/>
      <c r="AW33" s="124">
        <f>AU33-AT33</f>
        <v>1.0000000000000009E-2</v>
      </c>
    </row>
    <row r="34" spans="1:51" s="69" customFormat="1" x14ac:dyDescent="0.2">
      <c r="A34" s="69" t="s">
        <v>163</v>
      </c>
      <c r="B34" s="69">
        <v>-2.77</v>
      </c>
      <c r="C34" s="77">
        <v>0.82</v>
      </c>
      <c r="D34" s="69">
        <v>0.06</v>
      </c>
      <c r="E34" s="69">
        <v>-2.88</v>
      </c>
      <c r="F34" s="69">
        <v>0.81</v>
      </c>
      <c r="G34" s="69">
        <v>0.05</v>
      </c>
      <c r="H34" s="69">
        <v>-2.65</v>
      </c>
      <c r="I34" s="69">
        <v>0.83</v>
      </c>
      <c r="J34" s="69">
        <v>0.06</v>
      </c>
      <c r="K34" s="69" t="s">
        <v>164</v>
      </c>
      <c r="L34" s="69" t="s">
        <v>107</v>
      </c>
      <c r="M34" s="69">
        <v>0.09</v>
      </c>
      <c r="N34" s="69">
        <v>882</v>
      </c>
      <c r="O34" s="69">
        <v>1346</v>
      </c>
      <c r="P34" s="69">
        <v>10</v>
      </c>
      <c r="Q34" s="69">
        <v>30</v>
      </c>
      <c r="R34" s="69">
        <v>17</v>
      </c>
      <c r="S34" s="69" t="s">
        <v>12</v>
      </c>
      <c r="T34" s="69" t="s">
        <v>9</v>
      </c>
      <c r="U34" s="69" t="s">
        <v>165</v>
      </c>
      <c r="V34" s="70">
        <v>1</v>
      </c>
      <c r="W34" s="69" t="s">
        <v>163</v>
      </c>
      <c r="X34" s="69">
        <v>-0.51</v>
      </c>
      <c r="Y34" s="77">
        <v>0.82</v>
      </c>
      <c r="Z34" s="69">
        <v>0.01</v>
      </c>
      <c r="AA34" s="69">
        <v>-0.64</v>
      </c>
      <c r="AB34" s="69">
        <v>0.81</v>
      </c>
      <c r="AC34" s="69">
        <v>0</v>
      </c>
      <c r="AD34" s="69">
        <v>-0.37</v>
      </c>
      <c r="AE34" s="69">
        <v>0.84</v>
      </c>
      <c r="AF34" s="69">
        <v>0.01</v>
      </c>
      <c r="AG34" s="69" t="s">
        <v>164</v>
      </c>
      <c r="AH34" s="69" t="s">
        <v>107</v>
      </c>
      <c r="AI34" s="69">
        <v>0.06</v>
      </c>
      <c r="AJ34" s="69">
        <v>882</v>
      </c>
      <c r="AK34" s="69">
        <v>981</v>
      </c>
      <c r="AL34" s="69">
        <v>10</v>
      </c>
      <c r="AM34" s="69">
        <v>30</v>
      </c>
      <c r="AN34" s="69">
        <v>21</v>
      </c>
      <c r="AO34" s="69" t="s">
        <v>181</v>
      </c>
      <c r="AP34" s="69" t="s">
        <v>9</v>
      </c>
      <c r="AQ34" s="69" t="s">
        <v>205</v>
      </c>
      <c r="AR34" s="69">
        <v>1</v>
      </c>
      <c r="AS34" s="71" t="s">
        <v>163</v>
      </c>
      <c r="AT34" s="77">
        <v>0.82</v>
      </c>
      <c r="AU34" s="77">
        <v>0.82</v>
      </c>
      <c r="AV34">
        <f>AU34-AT34</f>
        <v>0</v>
      </c>
      <c r="AW34"/>
      <c r="AX34" s="69" t="b">
        <f>C34&lt;C35</f>
        <v>1</v>
      </c>
      <c r="AY34" s="69" t="b">
        <f>Y34&lt;Y35</f>
        <v>1</v>
      </c>
    </row>
    <row r="35" spans="1:51" s="69" customFormat="1" x14ac:dyDescent="0.2">
      <c r="A35" s="69" t="s">
        <v>166</v>
      </c>
      <c r="B35" s="69">
        <v>0.08</v>
      </c>
      <c r="C35" s="77">
        <v>0.87</v>
      </c>
      <c r="D35" s="69">
        <v>-0.05</v>
      </c>
      <c r="E35" s="69">
        <v>-1.07</v>
      </c>
      <c r="F35" s="69">
        <v>0.82</v>
      </c>
      <c r="G35" s="69">
        <v>-0.08</v>
      </c>
      <c r="H35" s="69">
        <v>1.23</v>
      </c>
      <c r="I35" s="69">
        <v>0.91</v>
      </c>
      <c r="J35" s="69">
        <v>-0.01</v>
      </c>
      <c r="K35" s="69" t="s">
        <v>164</v>
      </c>
      <c r="L35" s="69" t="s">
        <v>10</v>
      </c>
      <c r="M35" s="69">
        <v>2.42</v>
      </c>
      <c r="N35" s="69">
        <v>591</v>
      </c>
      <c r="O35" s="69">
        <v>76</v>
      </c>
      <c r="P35" s="69">
        <v>28</v>
      </c>
      <c r="Q35" s="69">
        <v>32</v>
      </c>
      <c r="R35" s="69">
        <v>2</v>
      </c>
      <c r="S35" s="69" t="s">
        <v>12</v>
      </c>
      <c r="T35" s="69" t="s">
        <v>9</v>
      </c>
      <c r="U35" s="69" t="s">
        <v>167</v>
      </c>
      <c r="V35" s="70">
        <v>0</v>
      </c>
      <c r="W35" s="69" t="s">
        <v>166</v>
      </c>
      <c r="X35" s="69">
        <v>-2.52</v>
      </c>
      <c r="Y35" s="77">
        <v>0.96</v>
      </c>
      <c r="Z35" s="69">
        <v>7.0000000000000007E-2</v>
      </c>
      <c r="AA35" s="69">
        <v>-3.02</v>
      </c>
      <c r="AB35" s="69">
        <v>0.92</v>
      </c>
      <c r="AC35" s="69">
        <v>0.05</v>
      </c>
      <c r="AD35" s="69">
        <v>-2.02</v>
      </c>
      <c r="AE35" s="69">
        <v>0.99</v>
      </c>
      <c r="AF35" s="69">
        <v>0.08</v>
      </c>
      <c r="AG35" s="69" t="s">
        <v>164</v>
      </c>
      <c r="AH35" s="69" t="s">
        <v>10</v>
      </c>
      <c r="AI35" s="69">
        <v>2.42</v>
      </c>
      <c r="AJ35" s="69">
        <v>591</v>
      </c>
      <c r="AK35" s="69">
        <v>84</v>
      </c>
      <c r="AL35" s="69">
        <v>28</v>
      </c>
      <c r="AM35" s="69">
        <v>39</v>
      </c>
      <c r="AN35" s="69">
        <v>3</v>
      </c>
      <c r="AO35" s="69" t="s">
        <v>181</v>
      </c>
      <c r="AP35" s="69" t="s">
        <v>9</v>
      </c>
      <c r="AQ35" s="69" t="s">
        <v>206</v>
      </c>
      <c r="AR35" s="69">
        <v>0</v>
      </c>
      <c r="AS35" s="71" t="s">
        <v>166</v>
      </c>
      <c r="AT35" s="77">
        <v>0.87</v>
      </c>
      <c r="AU35" s="77">
        <v>0.96</v>
      </c>
      <c r="AV35"/>
      <c r="AW35">
        <f>AU35-AT35</f>
        <v>8.9999999999999969E-2</v>
      </c>
    </row>
    <row r="36" spans="1:51" s="69" customFormat="1" x14ac:dyDescent="0.2">
      <c r="A36" s="69" t="s">
        <v>172</v>
      </c>
      <c r="B36" s="69">
        <v>-3.06</v>
      </c>
      <c r="C36" s="77">
        <v>0.95</v>
      </c>
      <c r="D36" s="69">
        <v>0.09</v>
      </c>
      <c r="E36" s="69">
        <v>-3.31</v>
      </c>
      <c r="F36" s="69">
        <v>0.92</v>
      </c>
      <c r="G36" s="69">
        <v>7.0000000000000007E-2</v>
      </c>
      <c r="H36" s="69">
        <v>-2.82</v>
      </c>
      <c r="I36" s="69">
        <v>0.99</v>
      </c>
      <c r="J36" s="69">
        <v>0.11</v>
      </c>
      <c r="K36" s="69" t="s">
        <v>173</v>
      </c>
      <c r="L36" s="69" t="s">
        <v>107</v>
      </c>
      <c r="M36" s="69">
        <v>0.38</v>
      </c>
      <c r="N36" s="69">
        <v>126000</v>
      </c>
      <c r="O36" s="69">
        <v>114</v>
      </c>
      <c r="P36" s="69">
        <v>0</v>
      </c>
      <c r="Q36" s="69">
        <v>20.8</v>
      </c>
      <c r="R36" s="69">
        <v>7</v>
      </c>
      <c r="S36" s="69" t="s">
        <v>12</v>
      </c>
      <c r="T36" s="69" t="s">
        <v>9</v>
      </c>
      <c r="U36" s="69" t="s">
        <v>174</v>
      </c>
      <c r="V36" s="70">
        <v>1</v>
      </c>
      <c r="W36" s="69" t="s">
        <v>172</v>
      </c>
      <c r="X36" s="69">
        <v>-0.88</v>
      </c>
      <c r="Y36" s="77">
        <v>0.67</v>
      </c>
      <c r="Z36" s="69">
        <v>0.09</v>
      </c>
      <c r="AA36" s="69">
        <v>-1.21</v>
      </c>
      <c r="AB36" s="69">
        <v>0.6</v>
      </c>
      <c r="AC36" s="69">
        <v>0.09</v>
      </c>
      <c r="AD36" s="69">
        <v>-0.54</v>
      </c>
      <c r="AE36" s="69">
        <v>0.75</v>
      </c>
      <c r="AF36" s="69">
        <v>0.1</v>
      </c>
      <c r="AG36" s="69" t="s">
        <v>173</v>
      </c>
      <c r="AH36" s="69" t="s">
        <v>107</v>
      </c>
      <c r="AI36" s="69">
        <v>16.100000000000001</v>
      </c>
      <c r="AJ36" s="69">
        <v>140.30000000000001</v>
      </c>
      <c r="AK36" s="69">
        <v>110</v>
      </c>
      <c r="AL36" s="69">
        <v>0</v>
      </c>
      <c r="AM36" s="69">
        <v>28</v>
      </c>
      <c r="AN36" s="69">
        <v>4</v>
      </c>
      <c r="AO36" s="69" t="s">
        <v>181</v>
      </c>
      <c r="AP36" s="69" t="s">
        <v>9</v>
      </c>
      <c r="AQ36" s="69" t="s">
        <v>209</v>
      </c>
      <c r="AR36" s="69">
        <v>0</v>
      </c>
      <c r="AS36" s="71" t="s">
        <v>172</v>
      </c>
      <c r="AT36" s="77">
        <v>0.95</v>
      </c>
      <c r="AU36" s="77">
        <v>0.67</v>
      </c>
      <c r="AV36">
        <f>AU36-AT36</f>
        <v>-0.27999999999999992</v>
      </c>
      <c r="AW36"/>
      <c r="AX36" s="69" t="b">
        <f>C36&lt;C37</f>
        <v>1</v>
      </c>
      <c r="AY36" s="72" t="b">
        <f>D36&lt;D37</f>
        <v>0</v>
      </c>
    </row>
    <row r="37" spans="1:51" s="69" customFormat="1" x14ac:dyDescent="0.2">
      <c r="A37" s="69" t="s">
        <v>175</v>
      </c>
      <c r="B37" s="69">
        <v>-1.77</v>
      </c>
      <c r="C37" s="77">
        <v>1.04</v>
      </c>
      <c r="D37" s="69">
        <v>-0.02</v>
      </c>
      <c r="E37" s="69">
        <v>-2.39</v>
      </c>
      <c r="F37" s="69">
        <v>0.6</v>
      </c>
      <c r="G37" s="69">
        <v>-0.13</v>
      </c>
      <c r="H37" s="69">
        <v>-1.1499999999999999</v>
      </c>
      <c r="I37" s="69">
        <v>1.47</v>
      </c>
      <c r="J37" s="69">
        <v>0.08</v>
      </c>
      <c r="K37" s="69" t="s">
        <v>173</v>
      </c>
      <c r="L37" s="69" t="s">
        <v>10</v>
      </c>
      <c r="M37" s="69">
        <v>11.4</v>
      </c>
      <c r="N37" s="69">
        <v>156.19999999999999</v>
      </c>
      <c r="O37" s="69">
        <v>11</v>
      </c>
      <c r="P37" s="69">
        <v>8</v>
      </c>
      <c r="Q37" s="69">
        <v>16</v>
      </c>
      <c r="R37" s="69">
        <v>2</v>
      </c>
      <c r="S37" s="69" t="s">
        <v>12</v>
      </c>
      <c r="T37" s="69" t="s">
        <v>9</v>
      </c>
      <c r="U37" s="69" t="s">
        <v>176</v>
      </c>
      <c r="V37" s="70">
        <v>0</v>
      </c>
      <c r="W37" s="69" t="s">
        <v>175</v>
      </c>
      <c r="X37" s="69">
        <v>-1.68</v>
      </c>
      <c r="Y37" s="77">
        <v>0.73</v>
      </c>
      <c r="Z37" s="69">
        <v>0.1</v>
      </c>
      <c r="AA37" s="69">
        <v>-1.89</v>
      </c>
      <c r="AB37" s="69">
        <v>0.69</v>
      </c>
      <c r="AC37" s="69">
        <v>0.09</v>
      </c>
      <c r="AD37" s="69">
        <v>-1.46</v>
      </c>
      <c r="AE37" s="69">
        <v>0.76</v>
      </c>
      <c r="AF37" s="69">
        <v>0.11</v>
      </c>
      <c r="AG37" s="69" t="s">
        <v>173</v>
      </c>
      <c r="AH37" s="69" t="s">
        <v>10</v>
      </c>
      <c r="AI37" s="69">
        <v>0.38</v>
      </c>
      <c r="AJ37" s="69">
        <v>123.54</v>
      </c>
      <c r="AK37" s="69">
        <v>70</v>
      </c>
      <c r="AL37" s="69">
        <v>8</v>
      </c>
      <c r="AM37" s="69">
        <v>32</v>
      </c>
      <c r="AN37" s="69">
        <v>4</v>
      </c>
      <c r="AO37" s="69" t="s">
        <v>181</v>
      </c>
      <c r="AP37" s="69" t="s">
        <v>9</v>
      </c>
      <c r="AQ37" s="69" t="s">
        <v>210</v>
      </c>
      <c r="AR37" s="69">
        <v>0</v>
      </c>
      <c r="AS37" s="71" t="s">
        <v>175</v>
      </c>
      <c r="AT37" s="77">
        <v>1.04</v>
      </c>
      <c r="AU37" s="77">
        <v>0.73</v>
      </c>
      <c r="AV37"/>
      <c r="AW37">
        <f>AU37-AT37</f>
        <v>-0.31000000000000005</v>
      </c>
    </row>
    <row r="39" spans="1:51" x14ac:dyDescent="0.2">
      <c r="C39"/>
      <c r="V39"/>
      <c r="Y39"/>
    </row>
    <row r="40" spans="1:51" x14ac:dyDescent="0.2">
      <c r="C40"/>
      <c r="V40"/>
      <c r="Y40"/>
    </row>
    <row r="41" spans="1:51" x14ac:dyDescent="0.2">
      <c r="C41"/>
      <c r="V41"/>
      <c r="Y41"/>
    </row>
    <row r="42" spans="1:51" x14ac:dyDescent="0.2">
      <c r="C42"/>
      <c r="V42"/>
      <c r="Y42"/>
    </row>
    <row r="43" spans="1:51" x14ac:dyDescent="0.2">
      <c r="C43"/>
      <c r="V43"/>
      <c r="Y43"/>
    </row>
    <row r="44" spans="1:51" x14ac:dyDescent="0.2">
      <c r="C44"/>
      <c r="V44"/>
      <c r="Y44"/>
    </row>
    <row r="45" spans="1:51" x14ac:dyDescent="0.2">
      <c r="C45"/>
      <c r="V45"/>
      <c r="Y45"/>
    </row>
    <row r="46" spans="1:51" x14ac:dyDescent="0.2">
      <c r="C46"/>
      <c r="V46"/>
      <c r="Y46"/>
    </row>
    <row r="47" spans="1:51" x14ac:dyDescent="0.2">
      <c r="C47"/>
      <c r="V47"/>
      <c r="Y47"/>
    </row>
  </sheetData>
  <mergeCells count="3">
    <mergeCell ref="A1:V1"/>
    <mergeCell ref="W1:AR1"/>
    <mergeCell ref="AX2:AY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96A89-9781-834E-ACC1-96ACB3209C4C}">
  <dimension ref="A1:W23"/>
  <sheetViews>
    <sheetView zoomScale="87" workbookViewId="0">
      <selection activeCell="H20" sqref="H20"/>
    </sheetView>
  </sheetViews>
  <sheetFormatPr baseColWidth="10" defaultRowHeight="16" x14ac:dyDescent="0.2"/>
  <cols>
    <col min="1" max="1" width="31.5" bestFit="1" customWidth="1"/>
    <col min="2" max="2" width="11.6640625" customWidth="1"/>
    <col min="21" max="21" width="11.83203125" bestFit="1" customWidth="1"/>
  </cols>
  <sheetData>
    <row r="1" spans="1:23" ht="17" thickBot="1" x14ac:dyDescent="0.25">
      <c r="A1" s="80" t="s">
        <v>82</v>
      </c>
      <c r="B1" s="80"/>
      <c r="C1" s="80" t="s">
        <v>83</v>
      </c>
      <c r="D1" s="80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</row>
    <row r="2" spans="1:23" x14ac:dyDescent="0.2">
      <c r="A2" s="80" t="s">
        <v>109</v>
      </c>
      <c r="B2" s="106"/>
      <c r="C2" s="107">
        <v>0.69</v>
      </c>
      <c r="D2" s="108">
        <v>0.05</v>
      </c>
      <c r="E2" s="80">
        <v>0.02</v>
      </c>
      <c r="F2" s="80">
        <v>0.48</v>
      </c>
      <c r="G2" s="80">
        <v>0.01</v>
      </c>
      <c r="H2" s="80">
        <v>0.02</v>
      </c>
      <c r="I2" s="80">
        <v>0.89</v>
      </c>
      <c r="J2" s="80">
        <v>0.09</v>
      </c>
      <c r="K2" s="80">
        <v>0.03</v>
      </c>
      <c r="L2" s="80" t="s">
        <v>110</v>
      </c>
      <c r="M2" s="80" t="s">
        <v>107</v>
      </c>
      <c r="N2" s="80">
        <v>0.45</v>
      </c>
      <c r="O2" s="80">
        <v>48.6</v>
      </c>
      <c r="P2" s="80">
        <v>335</v>
      </c>
      <c r="Q2" s="80">
        <v>0</v>
      </c>
      <c r="R2" s="80">
        <v>27</v>
      </c>
      <c r="S2" s="80">
        <v>18</v>
      </c>
      <c r="T2" s="80" t="s">
        <v>11</v>
      </c>
      <c r="U2" s="80" t="s">
        <v>7</v>
      </c>
      <c r="V2" s="80" t="s">
        <v>222</v>
      </c>
      <c r="W2" s="80">
        <v>1</v>
      </c>
    </row>
    <row r="3" spans="1:23" ht="17" thickBot="1" x14ac:dyDescent="0.25">
      <c r="A3" s="80" t="s">
        <v>112</v>
      </c>
      <c r="B3" s="109" t="b">
        <f>D3&lt;D2</f>
        <v>1</v>
      </c>
      <c r="C3" s="81">
        <v>1.75</v>
      </c>
      <c r="D3" s="110">
        <v>-0.25</v>
      </c>
      <c r="E3" s="80">
        <v>-0.01</v>
      </c>
      <c r="F3" s="80">
        <v>1.51</v>
      </c>
      <c r="G3" s="80">
        <v>-0.3</v>
      </c>
      <c r="H3" s="80">
        <v>-0.02</v>
      </c>
      <c r="I3" s="80">
        <v>1.98</v>
      </c>
      <c r="J3" s="80">
        <v>-0.2</v>
      </c>
      <c r="K3" s="80">
        <v>0</v>
      </c>
      <c r="L3" s="80" t="s">
        <v>110</v>
      </c>
      <c r="M3" s="80" t="s">
        <v>10</v>
      </c>
      <c r="N3" s="80">
        <v>0.38</v>
      </c>
      <c r="O3" s="80">
        <v>31.01</v>
      </c>
      <c r="P3" s="80">
        <v>152</v>
      </c>
      <c r="Q3" s="80">
        <v>8</v>
      </c>
      <c r="R3" s="80">
        <v>32</v>
      </c>
      <c r="S3" s="80">
        <v>5</v>
      </c>
      <c r="T3" s="80" t="s">
        <v>11</v>
      </c>
      <c r="U3" s="80" t="s">
        <v>7</v>
      </c>
      <c r="V3" s="80" t="s">
        <v>223</v>
      </c>
      <c r="W3" s="80">
        <v>1</v>
      </c>
    </row>
    <row r="4" spans="1:23" x14ac:dyDescent="0.2">
      <c r="A4" s="80" t="s">
        <v>114</v>
      </c>
      <c r="B4" s="80"/>
      <c r="C4" s="80">
        <v>1.84</v>
      </c>
      <c r="D4" s="78">
        <v>-0.01</v>
      </c>
      <c r="E4" s="80">
        <v>-0.02</v>
      </c>
      <c r="F4" s="80">
        <v>1.78</v>
      </c>
      <c r="G4" s="80">
        <v>-0.02</v>
      </c>
      <c r="H4" s="80">
        <v>-0.02</v>
      </c>
      <c r="I4" s="80">
        <v>1.89</v>
      </c>
      <c r="J4" s="80">
        <v>0</v>
      </c>
      <c r="K4" s="80">
        <v>-0.02</v>
      </c>
      <c r="L4" s="80" t="s">
        <v>115</v>
      </c>
      <c r="M4" s="80" t="s">
        <v>107</v>
      </c>
      <c r="N4" s="80">
        <v>0.09</v>
      </c>
      <c r="O4" s="80">
        <v>3450</v>
      </c>
      <c r="P4" s="80">
        <v>2755</v>
      </c>
      <c r="Q4" s="80">
        <v>5</v>
      </c>
      <c r="R4" s="80">
        <v>31</v>
      </c>
      <c r="S4" s="80">
        <v>38</v>
      </c>
      <c r="T4" s="80" t="s">
        <v>11</v>
      </c>
      <c r="U4" s="80" t="s">
        <v>7</v>
      </c>
      <c r="V4" s="80" t="s">
        <v>224</v>
      </c>
      <c r="W4" s="80">
        <v>1</v>
      </c>
    </row>
    <row r="5" spans="1:23" ht="17" thickBot="1" x14ac:dyDescent="0.25">
      <c r="A5" s="80" t="s">
        <v>16</v>
      </c>
      <c r="B5" s="68" t="b">
        <f>D5&lt;D4</f>
        <v>0</v>
      </c>
      <c r="C5" s="80">
        <v>1.54</v>
      </c>
      <c r="D5" s="78">
        <v>0.01</v>
      </c>
      <c r="E5" s="80">
        <v>-0.02</v>
      </c>
      <c r="F5" s="80">
        <v>1.45</v>
      </c>
      <c r="G5" s="80">
        <v>-0.01</v>
      </c>
      <c r="H5" s="80">
        <v>-0.02</v>
      </c>
      <c r="I5" s="80">
        <v>1.63</v>
      </c>
      <c r="J5" s="80">
        <v>0.02</v>
      </c>
      <c r="K5" s="80">
        <v>-0.01</v>
      </c>
      <c r="L5" s="80" t="s">
        <v>115</v>
      </c>
      <c r="M5" s="80" t="s">
        <v>10</v>
      </c>
      <c r="N5" s="80">
        <v>0.33</v>
      </c>
      <c r="O5" s="80">
        <v>3190</v>
      </c>
      <c r="P5" s="80">
        <v>845</v>
      </c>
      <c r="Q5" s="80">
        <v>8</v>
      </c>
      <c r="R5" s="80">
        <v>35</v>
      </c>
      <c r="S5" s="80">
        <v>15</v>
      </c>
      <c r="T5" s="80" t="s">
        <v>11</v>
      </c>
      <c r="U5" s="80" t="s">
        <v>7</v>
      </c>
      <c r="V5" s="80" t="s">
        <v>225</v>
      </c>
      <c r="W5" s="80">
        <v>1</v>
      </c>
    </row>
    <row r="6" spans="1:23" x14ac:dyDescent="0.2">
      <c r="A6" s="80" t="s">
        <v>118</v>
      </c>
      <c r="B6" s="106"/>
      <c r="C6" s="107">
        <v>2.71</v>
      </c>
      <c r="D6" s="108">
        <v>-0.04</v>
      </c>
      <c r="E6" s="80">
        <v>-0.06</v>
      </c>
      <c r="F6" s="80">
        <v>2.4300000000000002</v>
      </c>
      <c r="G6" s="80">
        <v>-0.06</v>
      </c>
      <c r="H6" s="80">
        <v>-7.0000000000000007E-2</v>
      </c>
      <c r="I6" s="80">
        <v>2.98</v>
      </c>
      <c r="J6" s="80">
        <v>-0.02</v>
      </c>
      <c r="K6" s="80">
        <v>-0.05</v>
      </c>
      <c r="L6" s="80" t="s">
        <v>119</v>
      </c>
      <c r="M6" s="80" t="s">
        <v>107</v>
      </c>
      <c r="N6" s="80">
        <v>0.04</v>
      </c>
      <c r="O6" s="80">
        <v>1672</v>
      </c>
      <c r="P6" s="80">
        <v>204</v>
      </c>
      <c r="Q6" s="80">
        <v>12</v>
      </c>
      <c r="R6" s="80">
        <v>30</v>
      </c>
      <c r="S6" s="80">
        <v>8</v>
      </c>
      <c r="T6" s="80" t="s">
        <v>11</v>
      </c>
      <c r="U6" s="80" t="s">
        <v>7</v>
      </c>
      <c r="V6" s="80" t="s">
        <v>226</v>
      </c>
      <c r="W6" s="80">
        <v>1</v>
      </c>
    </row>
    <row r="7" spans="1:23" ht="17" thickBot="1" x14ac:dyDescent="0.25">
      <c r="A7" s="80" t="s">
        <v>121</v>
      </c>
      <c r="B7" s="109" t="b">
        <f>D7&lt;D6</f>
        <v>1</v>
      </c>
      <c r="C7" s="81">
        <v>5.85</v>
      </c>
      <c r="D7" s="110">
        <v>-0.31</v>
      </c>
      <c r="E7" s="80">
        <v>-0.12</v>
      </c>
      <c r="F7" s="80">
        <v>5.07</v>
      </c>
      <c r="G7" s="80">
        <v>-0.36</v>
      </c>
      <c r="H7" s="80">
        <v>-0.15</v>
      </c>
      <c r="I7" s="80">
        <v>6.63</v>
      </c>
      <c r="J7" s="80">
        <v>-0.26</v>
      </c>
      <c r="K7" s="80">
        <v>-0.1</v>
      </c>
      <c r="L7" s="80" t="s">
        <v>119</v>
      </c>
      <c r="M7" s="80" t="s">
        <v>10</v>
      </c>
      <c r="N7" s="80">
        <v>1.6</v>
      </c>
      <c r="O7" s="80">
        <v>1672</v>
      </c>
      <c r="P7" s="80">
        <v>118</v>
      </c>
      <c r="Q7" s="80">
        <v>21</v>
      </c>
      <c r="R7" s="80">
        <v>35</v>
      </c>
      <c r="S7" s="80">
        <v>4</v>
      </c>
      <c r="T7" s="80" t="s">
        <v>11</v>
      </c>
      <c r="U7" s="80" t="s">
        <v>7</v>
      </c>
      <c r="V7" s="80" t="s">
        <v>227</v>
      </c>
      <c r="W7" s="80">
        <v>1</v>
      </c>
    </row>
    <row r="8" spans="1:23" x14ac:dyDescent="0.2">
      <c r="A8" s="80" t="s">
        <v>128</v>
      </c>
      <c r="B8" s="80"/>
      <c r="C8" s="80">
        <v>1.97</v>
      </c>
      <c r="D8" s="80">
        <v>0.02</v>
      </c>
      <c r="E8" s="80">
        <v>-0.03</v>
      </c>
      <c r="F8" s="80">
        <v>1.87</v>
      </c>
      <c r="G8" s="80">
        <v>0</v>
      </c>
      <c r="H8" s="80">
        <v>-0.04</v>
      </c>
      <c r="I8" s="80">
        <v>2.0699999999999998</v>
      </c>
      <c r="J8" s="80">
        <v>0.03</v>
      </c>
      <c r="K8" s="80">
        <v>-0.03</v>
      </c>
      <c r="L8" s="80" t="s">
        <v>129</v>
      </c>
      <c r="M8" s="80" t="s">
        <v>107</v>
      </c>
      <c r="N8" s="80">
        <v>0.46</v>
      </c>
      <c r="O8" s="80">
        <v>3011</v>
      </c>
      <c r="P8" s="80">
        <v>1509</v>
      </c>
      <c r="Q8" s="80">
        <v>5</v>
      </c>
      <c r="R8" s="80">
        <v>30</v>
      </c>
      <c r="S8" s="80">
        <v>30</v>
      </c>
      <c r="T8" s="80" t="s">
        <v>11</v>
      </c>
      <c r="U8" s="80" t="s">
        <v>8</v>
      </c>
      <c r="V8" s="80" t="s">
        <v>228</v>
      </c>
      <c r="W8" s="80">
        <v>1</v>
      </c>
    </row>
    <row r="9" spans="1:23" x14ac:dyDescent="0.2">
      <c r="A9" s="80" t="s">
        <v>18</v>
      </c>
      <c r="B9" s="80" t="b">
        <f>D9&lt;D8</f>
        <v>1</v>
      </c>
      <c r="C9" s="80">
        <v>1.99</v>
      </c>
      <c r="D9" s="80">
        <v>0.01</v>
      </c>
      <c r="E9" s="80">
        <v>-0.04</v>
      </c>
      <c r="F9" s="80">
        <v>1.85</v>
      </c>
      <c r="G9" s="80">
        <v>-0.02</v>
      </c>
      <c r="H9" s="80">
        <v>-0.05</v>
      </c>
      <c r="I9" s="80">
        <v>2.12</v>
      </c>
      <c r="J9" s="80">
        <v>0.03</v>
      </c>
      <c r="K9" s="80">
        <v>-0.04</v>
      </c>
      <c r="L9" s="80" t="s">
        <v>129</v>
      </c>
      <c r="M9" s="80" t="s">
        <v>10</v>
      </c>
      <c r="N9" s="80">
        <v>0.38</v>
      </c>
      <c r="O9" s="80">
        <v>2595</v>
      </c>
      <c r="P9" s="80">
        <v>377</v>
      </c>
      <c r="Q9" s="80">
        <v>8</v>
      </c>
      <c r="R9" s="80">
        <v>31</v>
      </c>
      <c r="S9" s="80">
        <v>6</v>
      </c>
      <c r="T9" s="80" t="s">
        <v>11</v>
      </c>
      <c r="U9" s="80" t="s">
        <v>8</v>
      </c>
      <c r="V9" s="80" t="s">
        <v>229</v>
      </c>
      <c r="W9" s="80">
        <v>1</v>
      </c>
    </row>
    <row r="10" spans="1:23" x14ac:dyDescent="0.2">
      <c r="A10" s="80" t="s">
        <v>132</v>
      </c>
      <c r="B10" s="80"/>
      <c r="C10" s="80">
        <v>1.83</v>
      </c>
      <c r="D10" s="80">
        <v>0</v>
      </c>
      <c r="E10" s="80">
        <v>-0.02</v>
      </c>
      <c r="F10" s="80">
        <v>1.74</v>
      </c>
      <c r="G10" s="80">
        <v>-0.01</v>
      </c>
      <c r="H10" s="80">
        <v>-0.03</v>
      </c>
      <c r="I10" s="80">
        <v>1.91</v>
      </c>
      <c r="J10" s="80">
        <v>0.01</v>
      </c>
      <c r="K10" s="80">
        <v>-0.02</v>
      </c>
      <c r="L10" s="80" t="s">
        <v>133</v>
      </c>
      <c r="M10" s="80" t="s">
        <v>107</v>
      </c>
      <c r="N10" s="80">
        <v>0.45</v>
      </c>
      <c r="O10" s="80">
        <v>3450</v>
      </c>
      <c r="P10" s="80">
        <v>930</v>
      </c>
      <c r="Q10" s="80">
        <v>10</v>
      </c>
      <c r="R10" s="80">
        <v>30</v>
      </c>
      <c r="S10" s="80">
        <v>19</v>
      </c>
      <c r="T10" s="80" t="s">
        <v>11</v>
      </c>
      <c r="U10" s="80" t="s">
        <v>8</v>
      </c>
      <c r="V10" s="80" t="s">
        <v>230</v>
      </c>
      <c r="W10" s="80">
        <v>1</v>
      </c>
    </row>
    <row r="11" spans="1:23" x14ac:dyDescent="0.2">
      <c r="A11" s="80" t="s">
        <v>20</v>
      </c>
      <c r="B11" s="80" t="b">
        <f>D11&lt;D10</f>
        <v>1</v>
      </c>
      <c r="C11" s="80">
        <v>1.79</v>
      </c>
      <c r="D11" s="80">
        <v>-0.01</v>
      </c>
      <c r="E11" s="80">
        <v>-0.03</v>
      </c>
      <c r="F11" s="80">
        <v>1.46</v>
      </c>
      <c r="G11" s="80">
        <v>-0.04</v>
      </c>
      <c r="H11" s="80">
        <v>-0.04</v>
      </c>
      <c r="I11" s="80">
        <v>2.12</v>
      </c>
      <c r="J11" s="80">
        <v>0.01</v>
      </c>
      <c r="K11" s="80">
        <v>-0.02</v>
      </c>
      <c r="L11" s="80" t="s">
        <v>133</v>
      </c>
      <c r="M11" s="80" t="s">
        <v>10</v>
      </c>
      <c r="N11" s="80">
        <v>7.1</v>
      </c>
      <c r="O11" s="80">
        <v>3190</v>
      </c>
      <c r="P11" s="80">
        <v>214</v>
      </c>
      <c r="Q11" s="80">
        <v>11</v>
      </c>
      <c r="R11" s="80">
        <v>31</v>
      </c>
      <c r="S11" s="80">
        <v>5</v>
      </c>
      <c r="T11" s="80" t="s">
        <v>11</v>
      </c>
      <c r="U11" s="80" t="s">
        <v>8</v>
      </c>
      <c r="V11" s="80" t="s">
        <v>231</v>
      </c>
      <c r="W11" s="80">
        <v>1</v>
      </c>
    </row>
    <row r="12" spans="1:23" x14ac:dyDescent="0.2">
      <c r="A12" s="80" t="s">
        <v>136</v>
      </c>
      <c r="B12" s="80"/>
      <c r="C12" s="80">
        <v>1.87</v>
      </c>
      <c r="D12" s="68">
        <v>-0.02</v>
      </c>
      <c r="E12" s="80">
        <v>-0.02</v>
      </c>
      <c r="F12" s="80">
        <v>1.65</v>
      </c>
      <c r="G12" s="80">
        <v>-0.03</v>
      </c>
      <c r="H12" s="80">
        <v>-0.03</v>
      </c>
      <c r="I12" s="80">
        <v>2.09</v>
      </c>
      <c r="J12" s="80">
        <v>-0.01</v>
      </c>
      <c r="K12" s="80">
        <v>-0.01</v>
      </c>
      <c r="L12" s="80" t="s">
        <v>137</v>
      </c>
      <c r="M12" s="80" t="s">
        <v>107</v>
      </c>
      <c r="N12" s="80">
        <v>0.04</v>
      </c>
      <c r="O12" s="80">
        <v>1672</v>
      </c>
      <c r="P12" s="80">
        <v>842</v>
      </c>
      <c r="Q12" s="80">
        <v>16</v>
      </c>
      <c r="R12" s="80">
        <v>31</v>
      </c>
      <c r="S12" s="80">
        <v>14</v>
      </c>
      <c r="T12" s="80" t="s">
        <v>11</v>
      </c>
      <c r="U12" s="80" t="s">
        <v>8</v>
      </c>
      <c r="V12" s="80" t="s">
        <v>232</v>
      </c>
      <c r="W12" s="80">
        <v>1</v>
      </c>
    </row>
    <row r="13" spans="1:23" x14ac:dyDescent="0.2">
      <c r="A13" s="80" t="s">
        <v>139</v>
      </c>
      <c r="B13" s="80" t="b">
        <f>D13&lt;D12</f>
        <v>1</v>
      </c>
      <c r="C13" s="80">
        <v>1.39</v>
      </c>
      <c r="D13" s="68">
        <v>-0.03</v>
      </c>
      <c r="E13" s="80">
        <v>0</v>
      </c>
      <c r="F13" s="80">
        <v>1.1299999999999999</v>
      </c>
      <c r="G13" s="80">
        <v>-0.05</v>
      </c>
      <c r="H13" s="80">
        <v>-0.01</v>
      </c>
      <c r="I13" s="80">
        <v>1.65</v>
      </c>
      <c r="J13" s="80">
        <v>-0.01</v>
      </c>
      <c r="K13" s="80">
        <v>0</v>
      </c>
      <c r="L13" s="80" t="s">
        <v>137</v>
      </c>
      <c r="M13" s="80" t="s">
        <v>10</v>
      </c>
      <c r="N13" s="80">
        <v>0.33</v>
      </c>
      <c r="O13" s="80">
        <v>1672</v>
      </c>
      <c r="P13" s="80">
        <v>519</v>
      </c>
      <c r="Q13" s="80">
        <v>21</v>
      </c>
      <c r="R13" s="80">
        <v>35</v>
      </c>
      <c r="S13" s="80">
        <v>12</v>
      </c>
      <c r="T13" s="80" t="s">
        <v>11</v>
      </c>
      <c r="U13" s="80" t="s">
        <v>8</v>
      </c>
      <c r="V13" s="80" t="s">
        <v>233</v>
      </c>
      <c r="W13" s="80">
        <v>1</v>
      </c>
    </row>
    <row r="14" spans="1:23" x14ac:dyDescent="0.2">
      <c r="A14" s="80" t="s">
        <v>141</v>
      </c>
      <c r="B14" s="80"/>
      <c r="C14" s="80">
        <v>1.71</v>
      </c>
      <c r="D14" s="80">
        <v>-0.04</v>
      </c>
      <c r="E14" s="80">
        <v>-0.01</v>
      </c>
      <c r="F14" s="80">
        <v>1.61</v>
      </c>
      <c r="G14" s="80">
        <v>-0.05</v>
      </c>
      <c r="H14" s="80">
        <v>-0.02</v>
      </c>
      <c r="I14" s="80">
        <v>1.82</v>
      </c>
      <c r="J14" s="80">
        <v>-0.02</v>
      </c>
      <c r="K14" s="80">
        <v>-0.01</v>
      </c>
      <c r="L14" s="80" t="s">
        <v>142</v>
      </c>
      <c r="M14" s="80" t="s">
        <v>107</v>
      </c>
      <c r="N14" s="80">
        <v>0.09</v>
      </c>
      <c r="O14" s="80">
        <v>610</v>
      </c>
      <c r="P14" s="80">
        <v>1053</v>
      </c>
      <c r="Q14" s="80">
        <v>5</v>
      </c>
      <c r="R14" s="80">
        <v>30</v>
      </c>
      <c r="S14" s="80">
        <v>27</v>
      </c>
      <c r="T14" s="80" t="s">
        <v>11</v>
      </c>
      <c r="U14" s="80" t="s">
        <v>5</v>
      </c>
      <c r="V14" s="80" t="s">
        <v>234</v>
      </c>
      <c r="W14" s="80">
        <v>1</v>
      </c>
    </row>
    <row r="15" spans="1:23" x14ac:dyDescent="0.2">
      <c r="A15" s="80" t="s">
        <v>22</v>
      </c>
      <c r="B15" s="68" t="b">
        <f>D15&lt;D14</f>
        <v>0</v>
      </c>
      <c r="C15" s="80">
        <v>1.85</v>
      </c>
      <c r="D15" s="80">
        <v>0</v>
      </c>
      <c r="E15" s="80">
        <v>-0.03</v>
      </c>
      <c r="F15" s="80">
        <v>1.71</v>
      </c>
      <c r="G15" s="80">
        <v>-0.03</v>
      </c>
      <c r="H15" s="80">
        <v>-0.04</v>
      </c>
      <c r="I15" s="80">
        <v>1.99</v>
      </c>
      <c r="J15" s="80">
        <v>0.03</v>
      </c>
      <c r="K15" s="80">
        <v>-0.03</v>
      </c>
      <c r="L15" s="80" t="s">
        <v>142</v>
      </c>
      <c r="M15" s="80" t="s">
        <v>10</v>
      </c>
      <c r="N15" s="80">
        <v>0.38</v>
      </c>
      <c r="O15" s="80">
        <v>40.9</v>
      </c>
      <c r="P15" s="80">
        <v>349</v>
      </c>
      <c r="Q15" s="80">
        <v>8</v>
      </c>
      <c r="R15" s="80">
        <v>32</v>
      </c>
      <c r="S15" s="80">
        <v>4</v>
      </c>
      <c r="T15" s="80" t="s">
        <v>11</v>
      </c>
      <c r="U15" s="80" t="s">
        <v>5</v>
      </c>
      <c r="V15" s="80" t="s">
        <v>235</v>
      </c>
      <c r="W15" s="80">
        <v>1</v>
      </c>
    </row>
    <row r="16" spans="1:23" x14ac:dyDescent="0.2">
      <c r="A16" s="80" t="s">
        <v>145</v>
      </c>
      <c r="B16" s="80"/>
      <c r="C16" s="80">
        <v>1.44</v>
      </c>
      <c r="D16" s="80">
        <v>-0.02</v>
      </c>
      <c r="E16" s="80">
        <v>0</v>
      </c>
      <c r="F16" s="80">
        <v>1.34</v>
      </c>
      <c r="G16" s="80">
        <v>-0.04</v>
      </c>
      <c r="H16" s="80">
        <v>-0.01</v>
      </c>
      <c r="I16" s="80">
        <v>1.54</v>
      </c>
      <c r="J16" s="80">
        <v>0</v>
      </c>
      <c r="K16" s="80">
        <v>0</v>
      </c>
      <c r="L16" s="80" t="s">
        <v>146</v>
      </c>
      <c r="M16" s="80" t="s">
        <v>107</v>
      </c>
      <c r="N16" s="80">
        <v>0.45</v>
      </c>
      <c r="O16" s="80">
        <v>1672</v>
      </c>
      <c r="P16" s="80">
        <v>1080</v>
      </c>
      <c r="Q16" s="80">
        <v>0</v>
      </c>
      <c r="R16" s="80">
        <v>31</v>
      </c>
      <c r="S16" s="80">
        <v>22</v>
      </c>
      <c r="T16" s="80" t="s">
        <v>11</v>
      </c>
      <c r="U16" s="80" t="s">
        <v>5</v>
      </c>
      <c r="V16" s="80" t="s">
        <v>236</v>
      </c>
      <c r="W16" s="80">
        <v>1</v>
      </c>
    </row>
    <row r="17" spans="1:23" x14ac:dyDescent="0.2">
      <c r="A17" s="80" t="s">
        <v>24</v>
      </c>
      <c r="B17" s="68" t="b">
        <f>D17&lt;D16</f>
        <v>0</v>
      </c>
      <c r="C17" s="80">
        <v>0.44</v>
      </c>
      <c r="D17" s="80">
        <v>0.05</v>
      </c>
      <c r="E17" s="80">
        <v>0.01</v>
      </c>
      <c r="F17" s="80">
        <v>0.27</v>
      </c>
      <c r="G17" s="80">
        <v>0.03</v>
      </c>
      <c r="H17" s="80">
        <v>0.01</v>
      </c>
      <c r="I17" s="80">
        <v>0.61</v>
      </c>
      <c r="J17" s="80">
        <v>0.08</v>
      </c>
      <c r="K17" s="80">
        <v>0.02</v>
      </c>
      <c r="L17" s="80" t="s">
        <v>146</v>
      </c>
      <c r="M17" s="80" t="s">
        <v>10</v>
      </c>
      <c r="N17" s="80">
        <v>4.62</v>
      </c>
      <c r="O17" s="80">
        <v>1672</v>
      </c>
      <c r="P17" s="80">
        <v>435</v>
      </c>
      <c r="Q17" s="80">
        <v>8</v>
      </c>
      <c r="R17" s="80">
        <v>35</v>
      </c>
      <c r="S17" s="80">
        <v>8</v>
      </c>
      <c r="T17" s="80" t="s">
        <v>11</v>
      </c>
      <c r="U17" s="80" t="s">
        <v>5</v>
      </c>
      <c r="V17" s="80" t="s">
        <v>237</v>
      </c>
      <c r="W17" s="80">
        <v>1</v>
      </c>
    </row>
    <row r="18" spans="1:23" x14ac:dyDescent="0.2">
      <c r="A18" s="80" t="s">
        <v>154</v>
      </c>
      <c r="B18" s="80"/>
      <c r="C18" s="80">
        <v>1.59</v>
      </c>
      <c r="D18" s="68">
        <v>0</v>
      </c>
      <c r="E18" s="80">
        <v>-0.01</v>
      </c>
      <c r="F18" s="80">
        <v>1.51</v>
      </c>
      <c r="G18" s="80">
        <v>-0.01</v>
      </c>
      <c r="H18" s="80">
        <v>-0.01</v>
      </c>
      <c r="I18" s="80">
        <v>1.67</v>
      </c>
      <c r="J18" s="80">
        <v>0.01</v>
      </c>
      <c r="K18" s="80">
        <v>-0.01</v>
      </c>
      <c r="L18" s="80" t="s">
        <v>155</v>
      </c>
      <c r="M18" s="80" t="s">
        <v>107</v>
      </c>
      <c r="N18" s="80">
        <v>0.04</v>
      </c>
      <c r="O18" s="80">
        <v>602.29999999999995</v>
      </c>
      <c r="P18" s="80">
        <v>659</v>
      </c>
      <c r="Q18" s="80">
        <v>13</v>
      </c>
      <c r="R18" s="80">
        <v>30</v>
      </c>
      <c r="S18" s="80">
        <v>12</v>
      </c>
      <c r="T18" s="80" t="s">
        <v>11</v>
      </c>
      <c r="U18" s="80" t="s">
        <v>5</v>
      </c>
      <c r="V18" s="80" t="s">
        <v>238</v>
      </c>
      <c r="W18" s="80">
        <v>1</v>
      </c>
    </row>
    <row r="19" spans="1:23" x14ac:dyDescent="0.2">
      <c r="A19" s="80" t="s">
        <v>26</v>
      </c>
      <c r="B19" s="80" t="b">
        <f>D19&lt;D18</f>
        <v>1</v>
      </c>
      <c r="C19" s="80">
        <v>2.11</v>
      </c>
      <c r="D19" s="68">
        <v>-0.06</v>
      </c>
      <c r="E19" s="80">
        <v>-0.03</v>
      </c>
      <c r="F19" s="80">
        <v>1.25</v>
      </c>
      <c r="G19" s="80">
        <v>-0.08</v>
      </c>
      <c r="H19" s="80">
        <v>-0.05</v>
      </c>
      <c r="I19" s="80">
        <v>2.97</v>
      </c>
      <c r="J19" s="80">
        <v>-0.04</v>
      </c>
      <c r="K19" s="80">
        <v>0</v>
      </c>
      <c r="L19" s="80" t="s">
        <v>155</v>
      </c>
      <c r="M19" s="80" t="s">
        <v>10</v>
      </c>
      <c r="N19" s="80">
        <v>0.33</v>
      </c>
      <c r="O19" s="80">
        <v>700.4</v>
      </c>
      <c r="P19" s="80">
        <v>283</v>
      </c>
      <c r="Q19" s="80">
        <v>26.5</v>
      </c>
      <c r="R19" s="80">
        <v>35</v>
      </c>
      <c r="S19" s="80">
        <v>10</v>
      </c>
      <c r="T19" s="80" t="s">
        <v>11</v>
      </c>
      <c r="U19" s="80" t="s">
        <v>5</v>
      </c>
      <c r="V19" s="80" t="s">
        <v>239</v>
      </c>
      <c r="W19" s="80">
        <v>1</v>
      </c>
    </row>
    <row r="20" spans="1:23" x14ac:dyDescent="0.2">
      <c r="A20" s="80" t="s">
        <v>168</v>
      </c>
      <c r="B20" s="80"/>
      <c r="C20" s="80">
        <v>1.48</v>
      </c>
      <c r="D20" s="80">
        <v>-0.02</v>
      </c>
      <c r="E20" s="80">
        <v>-0.01</v>
      </c>
      <c r="F20" s="80">
        <v>1.37</v>
      </c>
      <c r="G20" s="80">
        <v>-0.03</v>
      </c>
      <c r="H20" s="80">
        <v>-0.01</v>
      </c>
      <c r="I20" s="80">
        <v>1.6</v>
      </c>
      <c r="J20" s="80">
        <v>-0.01</v>
      </c>
      <c r="K20" s="80">
        <v>0</v>
      </c>
      <c r="L20" s="80" t="s">
        <v>169</v>
      </c>
      <c r="M20" s="80" t="s">
        <v>107</v>
      </c>
      <c r="N20" s="80">
        <v>0.04</v>
      </c>
      <c r="O20" s="80">
        <v>1672</v>
      </c>
      <c r="P20" s="80">
        <v>881</v>
      </c>
      <c r="Q20" s="80">
        <v>12</v>
      </c>
      <c r="R20" s="80">
        <v>30</v>
      </c>
      <c r="S20" s="80">
        <v>15</v>
      </c>
      <c r="T20" s="80" t="s">
        <v>11</v>
      </c>
      <c r="U20" s="80" t="s">
        <v>9</v>
      </c>
      <c r="V20" s="80" t="s">
        <v>240</v>
      </c>
      <c r="W20" s="80">
        <v>1</v>
      </c>
    </row>
    <row r="21" spans="1:23" x14ac:dyDescent="0.2">
      <c r="A21" s="80" t="s">
        <v>28</v>
      </c>
      <c r="B21" s="68" t="b">
        <f>D21&lt;D20</f>
        <v>0</v>
      </c>
      <c r="C21" s="80">
        <v>0.59</v>
      </c>
      <c r="D21" s="80">
        <v>-0.02</v>
      </c>
      <c r="E21" s="80">
        <v>0.02</v>
      </c>
      <c r="F21" s="80">
        <v>0.13</v>
      </c>
      <c r="G21" s="80">
        <v>-0.04</v>
      </c>
      <c r="H21" s="80">
        <v>0</v>
      </c>
      <c r="I21" s="80">
        <v>1.06</v>
      </c>
      <c r="J21" s="80">
        <v>0.01</v>
      </c>
      <c r="K21" s="80">
        <v>0.03</v>
      </c>
      <c r="L21" s="80" t="s">
        <v>169</v>
      </c>
      <c r="M21" s="80" t="s">
        <v>10</v>
      </c>
      <c r="N21" s="80">
        <v>0.33</v>
      </c>
      <c r="O21" s="80">
        <v>1672</v>
      </c>
      <c r="P21" s="80">
        <v>328</v>
      </c>
      <c r="Q21" s="80">
        <v>21</v>
      </c>
      <c r="R21" s="80">
        <v>35</v>
      </c>
      <c r="S21" s="80">
        <v>11</v>
      </c>
      <c r="T21" s="80" t="s">
        <v>11</v>
      </c>
      <c r="U21" s="80" t="s">
        <v>9</v>
      </c>
      <c r="V21" s="80" t="s">
        <v>241</v>
      </c>
      <c r="W21" s="80">
        <v>1</v>
      </c>
    </row>
    <row r="22" spans="1:23" x14ac:dyDescent="0.2">
      <c r="A22" s="80" t="s">
        <v>177</v>
      </c>
      <c r="B22" s="80"/>
      <c r="C22" s="80">
        <v>1.96</v>
      </c>
      <c r="D22" s="78">
        <v>0.02</v>
      </c>
      <c r="E22" s="80">
        <v>-0.03</v>
      </c>
      <c r="F22" s="80">
        <v>1.9</v>
      </c>
      <c r="G22" s="80">
        <v>0.01</v>
      </c>
      <c r="H22" s="80">
        <v>-0.03</v>
      </c>
      <c r="I22" s="80">
        <v>2.02</v>
      </c>
      <c r="J22" s="80">
        <v>0.03</v>
      </c>
      <c r="K22" s="80">
        <v>-0.03</v>
      </c>
      <c r="L22" s="80" t="s">
        <v>178</v>
      </c>
      <c r="M22" s="80" t="s">
        <v>107</v>
      </c>
      <c r="N22" s="80">
        <v>0.46</v>
      </c>
      <c r="O22" s="80">
        <v>3450</v>
      </c>
      <c r="P22" s="80">
        <v>1421</v>
      </c>
      <c r="Q22" s="80">
        <v>5</v>
      </c>
      <c r="R22" s="80">
        <v>29</v>
      </c>
      <c r="S22" s="80">
        <v>12</v>
      </c>
      <c r="T22" s="80" t="s">
        <v>11</v>
      </c>
      <c r="U22" s="80" t="s">
        <v>9</v>
      </c>
      <c r="V22" s="80" t="s">
        <v>242</v>
      </c>
      <c r="W22" s="80">
        <v>1</v>
      </c>
    </row>
    <row r="23" spans="1:23" s="73" customFormat="1" ht="17" thickBot="1" x14ac:dyDescent="0.25">
      <c r="A23" s="81" t="s">
        <v>30</v>
      </c>
      <c r="B23" s="68" t="b">
        <f>D23&lt;D22</f>
        <v>0</v>
      </c>
      <c r="C23" s="81">
        <v>1.52</v>
      </c>
      <c r="D23" s="79">
        <v>0.04</v>
      </c>
      <c r="E23" s="81">
        <v>-0.02</v>
      </c>
      <c r="F23" s="81">
        <v>1.43</v>
      </c>
      <c r="G23" s="81">
        <v>0.02</v>
      </c>
      <c r="H23" s="81">
        <v>-0.02</v>
      </c>
      <c r="I23" s="81">
        <v>1.61</v>
      </c>
      <c r="J23" s="81">
        <v>0.06</v>
      </c>
      <c r="K23" s="81">
        <v>-0.02</v>
      </c>
      <c r="L23" s="81" t="s">
        <v>178</v>
      </c>
      <c r="M23" s="81" t="s">
        <v>10</v>
      </c>
      <c r="N23" s="81">
        <v>0.66</v>
      </c>
      <c r="O23" s="81">
        <v>3190</v>
      </c>
      <c r="P23" s="81">
        <v>646</v>
      </c>
      <c r="Q23" s="81">
        <v>8</v>
      </c>
      <c r="R23" s="81">
        <v>35</v>
      </c>
      <c r="S23" s="81">
        <v>8</v>
      </c>
      <c r="T23" s="81" t="s">
        <v>11</v>
      </c>
      <c r="U23" s="81" t="s">
        <v>9</v>
      </c>
      <c r="V23" s="81" t="s">
        <v>243</v>
      </c>
      <c r="W23" s="8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51559-BDF0-9B49-9ED9-E6A711315C29}">
  <dimension ref="A1:P65"/>
  <sheetViews>
    <sheetView topLeftCell="A27" zoomScale="84" workbookViewId="0">
      <selection activeCell="G55" sqref="A54:G55"/>
    </sheetView>
  </sheetViews>
  <sheetFormatPr baseColWidth="10" defaultRowHeight="16" x14ac:dyDescent="0.2"/>
  <cols>
    <col min="4" max="4" width="13.6640625" bestFit="1" customWidth="1"/>
    <col min="8" max="8" width="12" bestFit="1" customWidth="1"/>
    <col min="9" max="9" width="15.1640625" customWidth="1"/>
    <col min="10" max="10" width="13.83203125" bestFit="1" customWidth="1"/>
    <col min="12" max="12" width="16.5" customWidth="1"/>
    <col min="13" max="13" width="14.6640625" customWidth="1"/>
  </cols>
  <sheetData>
    <row r="1" spans="1:16" x14ac:dyDescent="0.2">
      <c r="A1" t="s">
        <v>36</v>
      </c>
      <c r="B1" t="s">
        <v>37</v>
      </c>
      <c r="C1" t="s">
        <v>38</v>
      </c>
      <c r="D1" t="s">
        <v>39</v>
      </c>
      <c r="E1" t="s">
        <v>0</v>
      </c>
      <c r="F1" t="s">
        <v>1</v>
      </c>
      <c r="G1" t="s">
        <v>2</v>
      </c>
    </row>
    <row r="2" spans="1:16" x14ac:dyDescent="0.2">
      <c r="A2" s="92">
        <v>11</v>
      </c>
      <c r="B2" s="92">
        <v>978.26477833776005</v>
      </c>
      <c r="C2" s="92">
        <v>0</v>
      </c>
      <c r="D2" s="94" t="s">
        <v>41</v>
      </c>
      <c r="E2" s="92" t="s">
        <v>3</v>
      </c>
      <c r="F2" s="92" t="s">
        <v>4</v>
      </c>
      <c r="G2" s="92" t="s">
        <v>5</v>
      </c>
    </row>
    <row r="3" spans="1:16" s="45" customFormat="1" x14ac:dyDescent="0.2">
      <c r="A3" s="93">
        <v>8</v>
      </c>
      <c r="B3" s="93">
        <v>987.76119356706704</v>
      </c>
      <c r="C3" s="93">
        <v>9.4964200000000005</v>
      </c>
      <c r="D3" s="93" t="s">
        <v>40</v>
      </c>
      <c r="E3" s="93" t="s">
        <v>3</v>
      </c>
      <c r="F3" s="93" t="s">
        <v>4</v>
      </c>
      <c r="G3" s="93" t="s">
        <v>5</v>
      </c>
      <c r="I3" s="95"/>
      <c r="J3"/>
      <c r="K3"/>
      <c r="L3" s="95"/>
      <c r="M3"/>
      <c r="N3"/>
      <c r="O3"/>
      <c r="P3"/>
    </row>
    <row r="4" spans="1:16" x14ac:dyDescent="0.2">
      <c r="A4">
        <v>8</v>
      </c>
      <c r="B4">
        <v>987.76119356706704</v>
      </c>
      <c r="C4">
        <v>0</v>
      </c>
      <c r="D4" s="44" t="s">
        <v>40</v>
      </c>
      <c r="E4" t="s">
        <v>3</v>
      </c>
      <c r="F4" t="s">
        <v>4</v>
      </c>
      <c r="G4" t="s">
        <v>7</v>
      </c>
      <c r="J4" s="7"/>
      <c r="K4" s="7"/>
      <c r="M4" s="7"/>
      <c r="N4" s="7"/>
    </row>
    <row r="5" spans="1:16" s="45" customFormat="1" x14ac:dyDescent="0.2">
      <c r="A5" s="45">
        <v>10</v>
      </c>
      <c r="B5" s="45">
        <v>989.59992823123298</v>
      </c>
      <c r="C5" s="45">
        <v>1.83873</v>
      </c>
      <c r="D5" s="45" t="s">
        <v>41</v>
      </c>
      <c r="E5" s="45" t="s">
        <v>3</v>
      </c>
      <c r="F5" s="45" t="s">
        <v>4</v>
      </c>
      <c r="G5" s="45" t="s">
        <v>7</v>
      </c>
      <c r="I5"/>
      <c r="J5" s="6"/>
      <c r="K5" s="6"/>
      <c r="L5"/>
      <c r="M5" s="6"/>
      <c r="N5" s="6"/>
      <c r="O5"/>
      <c r="P5"/>
    </row>
    <row r="6" spans="1:16" x14ac:dyDescent="0.2">
      <c r="A6">
        <v>8</v>
      </c>
      <c r="B6">
        <v>987.76119356706704</v>
      </c>
      <c r="C6">
        <v>0</v>
      </c>
      <c r="D6" s="44" t="s">
        <v>40</v>
      </c>
      <c r="E6" t="s">
        <v>3</v>
      </c>
      <c r="F6" t="s">
        <v>4</v>
      </c>
      <c r="G6" t="s">
        <v>8</v>
      </c>
      <c r="J6" s="6"/>
      <c r="K6" s="6"/>
      <c r="M6" s="6"/>
      <c r="N6" s="6"/>
    </row>
    <row r="7" spans="1:16" s="45" customFormat="1" x14ac:dyDescent="0.2">
      <c r="A7" s="45">
        <v>11</v>
      </c>
      <c r="B7" s="45">
        <v>996.84007109280606</v>
      </c>
      <c r="C7" s="45">
        <v>9.0788799999999998</v>
      </c>
      <c r="D7" s="45" t="s">
        <v>41</v>
      </c>
      <c r="E7" s="45" t="s">
        <v>3</v>
      </c>
      <c r="F7" s="45" t="s">
        <v>4</v>
      </c>
      <c r="G7" s="45" t="s">
        <v>8</v>
      </c>
      <c r="I7"/>
      <c r="J7" s="6"/>
      <c r="K7" s="6"/>
      <c r="L7"/>
      <c r="M7" s="6"/>
      <c r="N7" s="6"/>
      <c r="O7"/>
      <c r="P7"/>
    </row>
    <row r="8" spans="1:16" x14ac:dyDescent="0.2">
      <c r="A8">
        <v>8</v>
      </c>
      <c r="B8">
        <v>987.76119356706704</v>
      </c>
      <c r="C8">
        <v>0</v>
      </c>
      <c r="D8" s="44" t="s">
        <v>40</v>
      </c>
      <c r="E8" t="s">
        <v>3</v>
      </c>
      <c r="F8" t="s">
        <v>4</v>
      </c>
      <c r="G8" t="s">
        <v>9</v>
      </c>
      <c r="H8" t="s">
        <v>5</v>
      </c>
      <c r="J8" s="6"/>
      <c r="K8" s="6"/>
      <c r="M8" s="6"/>
      <c r="N8" s="6"/>
    </row>
    <row r="9" spans="1:16" s="45" customFormat="1" x14ac:dyDescent="0.2">
      <c r="A9" s="45">
        <v>12</v>
      </c>
      <c r="B9" s="45">
        <v>1003.2015086034301</v>
      </c>
      <c r="C9" s="45">
        <v>15.44032</v>
      </c>
      <c r="D9" s="45" t="s">
        <v>41</v>
      </c>
      <c r="E9" s="45" t="s">
        <v>3</v>
      </c>
      <c r="F9" s="45" t="s">
        <v>4</v>
      </c>
      <c r="G9" s="45" t="s">
        <v>9</v>
      </c>
      <c r="I9"/>
      <c r="J9"/>
      <c r="K9"/>
      <c r="L9"/>
      <c r="M9"/>
      <c r="N9"/>
      <c r="O9"/>
      <c r="P9"/>
    </row>
    <row r="10" spans="1:16" x14ac:dyDescent="0.2">
      <c r="A10">
        <v>8</v>
      </c>
      <c r="B10">
        <v>978.44810398064203</v>
      </c>
      <c r="C10">
        <v>0</v>
      </c>
      <c r="D10" s="44" t="s">
        <v>40</v>
      </c>
      <c r="E10" t="s">
        <v>3</v>
      </c>
      <c r="F10" t="s">
        <v>10</v>
      </c>
      <c r="G10" t="s">
        <v>5</v>
      </c>
    </row>
    <row r="11" spans="1:16" s="45" customFormat="1" ht="17" thickBot="1" x14ac:dyDescent="0.25">
      <c r="A11" s="45">
        <v>11</v>
      </c>
      <c r="B11" s="45">
        <v>981.46293412458999</v>
      </c>
      <c r="C11" s="45">
        <v>3.0148299999999999</v>
      </c>
      <c r="D11" s="45" t="s">
        <v>41</v>
      </c>
      <c r="E11" s="45" t="s">
        <v>3</v>
      </c>
      <c r="F11" s="45" t="s">
        <v>10</v>
      </c>
      <c r="G11" s="45" t="s">
        <v>5</v>
      </c>
      <c r="I11" s="54" t="s">
        <v>64</v>
      </c>
      <c r="J11"/>
      <c r="K11"/>
    </row>
    <row r="12" spans="1:16" x14ac:dyDescent="0.2">
      <c r="A12">
        <v>8</v>
      </c>
      <c r="B12">
        <v>978.44810398064203</v>
      </c>
      <c r="C12">
        <v>0</v>
      </c>
      <c r="D12" s="44" t="s">
        <v>40</v>
      </c>
      <c r="E12" t="s">
        <v>3</v>
      </c>
      <c r="F12" t="s">
        <v>10</v>
      </c>
      <c r="G12" t="s">
        <v>7</v>
      </c>
      <c r="I12" s="46"/>
      <c r="J12" s="47" t="s">
        <v>43</v>
      </c>
      <c r="K12" s="48" t="s">
        <v>32</v>
      </c>
    </row>
    <row r="13" spans="1:16" s="45" customFormat="1" x14ac:dyDescent="0.2">
      <c r="A13" s="45">
        <v>10</v>
      </c>
      <c r="B13" s="45">
        <v>978.54652771127098</v>
      </c>
      <c r="C13" s="45">
        <v>9.8419999999999994E-2</v>
      </c>
      <c r="D13" s="45" t="s">
        <v>41</v>
      </c>
      <c r="E13" s="45" t="s">
        <v>3</v>
      </c>
      <c r="F13" s="45" t="s">
        <v>10</v>
      </c>
      <c r="G13" s="45" t="s">
        <v>7</v>
      </c>
      <c r="I13" s="49" t="s">
        <v>42</v>
      </c>
      <c r="J13" s="6" t="s">
        <v>47</v>
      </c>
      <c r="K13" s="50" t="s">
        <v>3</v>
      </c>
    </row>
    <row r="14" spans="1:16" x14ac:dyDescent="0.2">
      <c r="A14">
        <v>8</v>
      </c>
      <c r="B14">
        <v>978.44810398064203</v>
      </c>
      <c r="C14">
        <v>0</v>
      </c>
      <c r="D14" s="44" t="s">
        <v>40</v>
      </c>
      <c r="E14" t="s">
        <v>3</v>
      </c>
      <c r="F14" t="s">
        <v>10</v>
      </c>
      <c r="G14" t="s">
        <v>8</v>
      </c>
      <c r="I14" s="49" t="s">
        <v>44</v>
      </c>
      <c r="J14" s="6" t="s">
        <v>48</v>
      </c>
      <c r="K14" s="50"/>
    </row>
    <row r="15" spans="1:16" s="45" customFormat="1" x14ac:dyDescent="0.2">
      <c r="A15" s="45">
        <v>11</v>
      </c>
      <c r="B15" s="45">
        <v>981.78531511236895</v>
      </c>
      <c r="C15" s="45">
        <v>3.3372099999999998</v>
      </c>
      <c r="D15" s="45" t="s">
        <v>41</v>
      </c>
      <c r="E15" s="45" t="s">
        <v>3</v>
      </c>
      <c r="F15" s="45" t="s">
        <v>10</v>
      </c>
      <c r="G15" s="45" t="s">
        <v>8</v>
      </c>
      <c r="I15" s="49" t="s">
        <v>45</v>
      </c>
      <c r="J15" s="6" t="s">
        <v>47</v>
      </c>
      <c r="K15" s="50"/>
    </row>
    <row r="16" spans="1:16" ht="17" thickBot="1" x14ac:dyDescent="0.25">
      <c r="A16">
        <v>8</v>
      </c>
      <c r="B16">
        <v>978.44810398064203</v>
      </c>
      <c r="C16">
        <v>0</v>
      </c>
      <c r="D16" s="44" t="s">
        <v>40</v>
      </c>
      <c r="E16" t="s">
        <v>3</v>
      </c>
      <c r="F16" t="s">
        <v>10</v>
      </c>
      <c r="G16" t="s">
        <v>9</v>
      </c>
      <c r="I16" s="51" t="s">
        <v>46</v>
      </c>
      <c r="J16" s="52" t="s">
        <v>47</v>
      </c>
      <c r="K16" s="53"/>
    </row>
    <row r="17" spans="1:7" s="45" customFormat="1" x14ac:dyDescent="0.2">
      <c r="A17" s="45">
        <v>12</v>
      </c>
      <c r="B17" s="45">
        <v>994.48894299227197</v>
      </c>
      <c r="C17" s="45">
        <v>16.040839999999999</v>
      </c>
      <c r="D17" s="45" t="s">
        <v>41</v>
      </c>
      <c r="E17" s="45" t="s">
        <v>3</v>
      </c>
      <c r="F17" s="45" t="s">
        <v>10</v>
      </c>
      <c r="G17" s="45" t="s">
        <v>9</v>
      </c>
    </row>
    <row r="18" spans="1:7" x14ac:dyDescent="0.2">
      <c r="A18">
        <v>8</v>
      </c>
      <c r="B18">
        <v>800.14058176603498</v>
      </c>
      <c r="C18">
        <v>0</v>
      </c>
      <c r="D18" s="44" t="s">
        <v>40</v>
      </c>
      <c r="E18" t="s">
        <v>11</v>
      </c>
      <c r="F18" t="s">
        <v>4</v>
      </c>
      <c r="G18" t="s">
        <v>5</v>
      </c>
    </row>
    <row r="19" spans="1:7" s="45" customFormat="1" x14ac:dyDescent="0.2">
      <c r="A19" s="45">
        <v>11</v>
      </c>
      <c r="B19" s="45">
        <v>801.16512900096598</v>
      </c>
      <c r="C19" s="45">
        <v>1.0245500000000001</v>
      </c>
      <c r="D19" s="45" t="s">
        <v>41</v>
      </c>
      <c r="E19" s="45" t="s">
        <v>11</v>
      </c>
      <c r="F19" s="45" t="s">
        <v>4</v>
      </c>
      <c r="G19" s="45" t="s">
        <v>5</v>
      </c>
    </row>
    <row r="20" spans="1:7" x14ac:dyDescent="0.2">
      <c r="A20" s="4">
        <v>10</v>
      </c>
      <c r="B20" s="4">
        <v>798.07618441787997</v>
      </c>
      <c r="C20" s="56">
        <v>0</v>
      </c>
      <c r="D20" s="55" t="s">
        <v>41</v>
      </c>
      <c r="E20" s="4" t="s">
        <v>11</v>
      </c>
      <c r="F20" s="4" t="s">
        <v>4</v>
      </c>
      <c r="G20" s="4" t="s">
        <v>7</v>
      </c>
    </row>
    <row r="21" spans="1:7" s="45" customFormat="1" x14ac:dyDescent="0.2">
      <c r="A21" s="5">
        <v>8</v>
      </c>
      <c r="B21" s="5">
        <v>800.14058176603498</v>
      </c>
      <c r="C21" s="57">
        <v>2.0644</v>
      </c>
      <c r="D21" s="5" t="s">
        <v>40</v>
      </c>
      <c r="E21" s="5" t="s">
        <v>11</v>
      </c>
      <c r="F21" s="5" t="s">
        <v>4</v>
      </c>
      <c r="G21" s="5" t="s">
        <v>7</v>
      </c>
    </row>
    <row r="22" spans="1:7" x14ac:dyDescent="0.2">
      <c r="A22" s="92">
        <v>11</v>
      </c>
      <c r="B22" s="92">
        <v>792.34289166193798</v>
      </c>
      <c r="C22" s="92">
        <v>0</v>
      </c>
      <c r="D22" s="92" t="s">
        <v>41</v>
      </c>
      <c r="E22" s="92" t="s">
        <v>11</v>
      </c>
      <c r="F22" s="92" t="s">
        <v>4</v>
      </c>
      <c r="G22" s="92" t="s">
        <v>8</v>
      </c>
    </row>
    <row r="23" spans="1:7" s="45" customFormat="1" x14ac:dyDescent="0.2">
      <c r="A23" s="93">
        <v>8</v>
      </c>
      <c r="B23" s="93">
        <v>800.14058176603498</v>
      </c>
      <c r="C23" s="93">
        <v>7.7976900000000002</v>
      </c>
      <c r="D23" s="93" t="s">
        <v>40</v>
      </c>
      <c r="E23" s="93" t="s">
        <v>11</v>
      </c>
      <c r="F23" s="93" t="s">
        <v>4</v>
      </c>
      <c r="G23" s="93" t="s">
        <v>8</v>
      </c>
    </row>
    <row r="24" spans="1:7" x14ac:dyDescent="0.2">
      <c r="A24">
        <v>8</v>
      </c>
      <c r="B24">
        <v>800.14058176603498</v>
      </c>
      <c r="C24">
        <v>0</v>
      </c>
      <c r="D24" s="44" t="s">
        <v>40</v>
      </c>
      <c r="E24" t="s">
        <v>11</v>
      </c>
      <c r="F24" t="s">
        <v>4</v>
      </c>
      <c r="G24" t="s">
        <v>9</v>
      </c>
    </row>
    <row r="25" spans="1:7" s="45" customFormat="1" x14ac:dyDescent="0.2">
      <c r="A25" s="45">
        <v>12</v>
      </c>
      <c r="B25" s="45">
        <v>800.98047531289501</v>
      </c>
      <c r="C25" s="45">
        <v>0.83989000000000003</v>
      </c>
      <c r="D25" s="45" t="s">
        <v>41</v>
      </c>
      <c r="E25" s="45" t="s">
        <v>11</v>
      </c>
      <c r="F25" s="45" t="s">
        <v>4</v>
      </c>
      <c r="G25" s="45" t="s">
        <v>9</v>
      </c>
    </row>
    <row r="26" spans="1:7" x14ac:dyDescent="0.2">
      <c r="A26">
        <v>7</v>
      </c>
      <c r="B26">
        <v>312.95831858976698</v>
      </c>
      <c r="C26">
        <v>0</v>
      </c>
      <c r="D26" s="44" t="s">
        <v>40</v>
      </c>
      <c r="E26" t="s">
        <v>11</v>
      </c>
      <c r="F26" t="s">
        <v>10</v>
      </c>
      <c r="G26" t="s">
        <v>5</v>
      </c>
    </row>
    <row r="27" spans="1:7" s="45" customFormat="1" x14ac:dyDescent="0.2">
      <c r="A27" s="45">
        <v>10</v>
      </c>
      <c r="B27" s="45">
        <v>327.83483651849201</v>
      </c>
      <c r="C27" s="45">
        <v>14.876519999999999</v>
      </c>
      <c r="D27" s="45" t="s">
        <v>41</v>
      </c>
      <c r="E27" s="45" t="s">
        <v>11</v>
      </c>
      <c r="F27" s="45" t="s">
        <v>10</v>
      </c>
      <c r="G27" s="45" t="s">
        <v>5</v>
      </c>
    </row>
    <row r="28" spans="1:7" x14ac:dyDescent="0.2">
      <c r="A28">
        <v>7</v>
      </c>
      <c r="B28">
        <v>312.95831858976698</v>
      </c>
      <c r="C28">
        <v>0</v>
      </c>
      <c r="D28" s="44" t="s">
        <v>40</v>
      </c>
      <c r="E28" t="s">
        <v>11</v>
      </c>
      <c r="F28" t="s">
        <v>10</v>
      </c>
      <c r="G28" t="s">
        <v>7</v>
      </c>
    </row>
    <row r="29" spans="1:7" s="45" customFormat="1" x14ac:dyDescent="0.2">
      <c r="A29" s="45">
        <v>9</v>
      </c>
      <c r="B29" s="45">
        <v>324.05972629968397</v>
      </c>
      <c r="C29" s="45">
        <v>11.10141</v>
      </c>
      <c r="D29" s="45" t="s">
        <v>41</v>
      </c>
      <c r="E29" s="45" t="s">
        <v>11</v>
      </c>
      <c r="F29" s="45" t="s">
        <v>10</v>
      </c>
      <c r="G29" s="45" t="s">
        <v>7</v>
      </c>
    </row>
    <row r="30" spans="1:7" x14ac:dyDescent="0.2">
      <c r="A30" s="4">
        <v>10</v>
      </c>
      <c r="B30" s="4">
        <v>310.730311973288</v>
      </c>
      <c r="C30" s="56">
        <v>0</v>
      </c>
      <c r="D30" s="55" t="s">
        <v>41</v>
      </c>
      <c r="E30" s="4" t="s">
        <v>11</v>
      </c>
      <c r="F30" s="4" t="s">
        <v>10</v>
      </c>
      <c r="G30" s="4" t="s">
        <v>8</v>
      </c>
    </row>
    <row r="31" spans="1:7" s="45" customFormat="1" x14ac:dyDescent="0.2">
      <c r="A31" s="5">
        <v>7</v>
      </c>
      <c r="B31" s="5">
        <v>312.95831858976698</v>
      </c>
      <c r="C31" s="57">
        <v>2.2280099999999998</v>
      </c>
      <c r="D31" s="5" t="s">
        <v>40</v>
      </c>
      <c r="E31" s="5" t="s">
        <v>11</v>
      </c>
      <c r="F31" s="5" t="s">
        <v>10</v>
      </c>
      <c r="G31" s="5" t="s">
        <v>8</v>
      </c>
    </row>
    <row r="32" spans="1:7" x14ac:dyDescent="0.2">
      <c r="A32">
        <v>7</v>
      </c>
      <c r="B32">
        <v>312.95831858976698</v>
      </c>
      <c r="C32">
        <v>0</v>
      </c>
      <c r="D32" t="s">
        <v>40</v>
      </c>
      <c r="E32" t="s">
        <v>11</v>
      </c>
      <c r="F32" t="s">
        <v>10</v>
      </c>
      <c r="G32" t="s">
        <v>9</v>
      </c>
    </row>
    <row r="33" spans="1:7" s="45" customFormat="1" x14ac:dyDescent="0.2">
      <c r="A33">
        <v>11</v>
      </c>
      <c r="B33">
        <v>334.13615774214901</v>
      </c>
      <c r="C33">
        <v>21.17784</v>
      </c>
      <c r="D33" t="s">
        <v>41</v>
      </c>
      <c r="E33" t="s">
        <v>11</v>
      </c>
      <c r="F33" t="s">
        <v>10</v>
      </c>
      <c r="G33" t="s">
        <v>9</v>
      </c>
    </row>
    <row r="34" spans="1:7" x14ac:dyDescent="0.2">
      <c r="A34" s="92">
        <v>11</v>
      </c>
      <c r="B34" s="92">
        <v>1222.2301565796499</v>
      </c>
      <c r="C34" s="92">
        <v>0</v>
      </c>
      <c r="D34" s="92" t="s">
        <v>41</v>
      </c>
      <c r="E34" s="92" t="s">
        <v>12</v>
      </c>
      <c r="F34" s="92" t="s">
        <v>4</v>
      </c>
      <c r="G34" s="92" t="s">
        <v>5</v>
      </c>
    </row>
    <row r="35" spans="1:7" s="45" customFormat="1" x14ac:dyDescent="0.2">
      <c r="A35" s="93">
        <v>8</v>
      </c>
      <c r="B35" s="93">
        <v>1238.04595344469</v>
      </c>
      <c r="C35" s="93">
        <v>15.815799999999999</v>
      </c>
      <c r="D35" s="93" t="s">
        <v>40</v>
      </c>
      <c r="E35" s="93" t="s">
        <v>12</v>
      </c>
      <c r="F35" s="93" t="s">
        <v>4</v>
      </c>
      <c r="G35" s="93" t="s">
        <v>5</v>
      </c>
    </row>
    <row r="36" spans="1:7" x14ac:dyDescent="0.2">
      <c r="A36" s="92">
        <v>11</v>
      </c>
      <c r="B36" s="92">
        <v>1211.0200161218499</v>
      </c>
      <c r="C36" s="92">
        <v>0</v>
      </c>
      <c r="D36" s="92" t="s">
        <v>41</v>
      </c>
      <c r="E36" s="92" t="s">
        <v>12</v>
      </c>
      <c r="F36" s="92" t="s">
        <v>4</v>
      </c>
      <c r="G36" s="92" t="s">
        <v>7</v>
      </c>
    </row>
    <row r="37" spans="1:7" s="45" customFormat="1" x14ac:dyDescent="0.2">
      <c r="A37" s="93">
        <v>8</v>
      </c>
      <c r="B37" s="93">
        <v>1238.04595344469</v>
      </c>
      <c r="C37" s="93">
        <v>27.025939999999999</v>
      </c>
      <c r="D37" s="93" t="s">
        <v>40</v>
      </c>
      <c r="E37" s="93" t="s">
        <v>12</v>
      </c>
      <c r="F37" s="93" t="s">
        <v>4</v>
      </c>
      <c r="G37" s="93" t="s">
        <v>7</v>
      </c>
    </row>
    <row r="38" spans="1:7" x14ac:dyDescent="0.2">
      <c r="A38" s="92">
        <v>11</v>
      </c>
      <c r="B38" s="92">
        <v>1216.21478985304</v>
      </c>
      <c r="C38" s="92">
        <v>0</v>
      </c>
      <c r="D38" s="92" t="s">
        <v>41</v>
      </c>
      <c r="E38" s="92" t="s">
        <v>12</v>
      </c>
      <c r="F38" s="92" t="s">
        <v>4</v>
      </c>
      <c r="G38" s="92" t="s">
        <v>8</v>
      </c>
    </row>
    <row r="39" spans="1:7" s="45" customFormat="1" x14ac:dyDescent="0.2">
      <c r="A39" s="93">
        <v>8</v>
      </c>
      <c r="B39" s="93">
        <v>1238.04595344469</v>
      </c>
      <c r="C39" s="93">
        <v>21.831160000000001</v>
      </c>
      <c r="D39" s="93" t="s">
        <v>40</v>
      </c>
      <c r="E39" s="93" t="s">
        <v>12</v>
      </c>
      <c r="F39" s="93" t="s">
        <v>4</v>
      </c>
      <c r="G39" s="93" t="s">
        <v>8</v>
      </c>
    </row>
    <row r="40" spans="1:7" x14ac:dyDescent="0.2">
      <c r="A40" s="92">
        <v>12</v>
      </c>
      <c r="B40" s="92">
        <v>1230.1346857926601</v>
      </c>
      <c r="C40" s="92">
        <v>0</v>
      </c>
      <c r="D40" s="92" t="s">
        <v>41</v>
      </c>
      <c r="E40" s="92" t="s">
        <v>12</v>
      </c>
      <c r="F40" s="92" t="s">
        <v>4</v>
      </c>
      <c r="G40" s="92" t="s">
        <v>9</v>
      </c>
    </row>
    <row r="41" spans="1:7" s="45" customFormat="1" x14ac:dyDescent="0.2">
      <c r="A41" s="93">
        <v>8</v>
      </c>
      <c r="B41" s="93">
        <v>1238.04595344469</v>
      </c>
      <c r="C41" s="93">
        <v>7.91127</v>
      </c>
      <c r="D41" s="93" t="s">
        <v>40</v>
      </c>
      <c r="E41" s="93" t="s">
        <v>12</v>
      </c>
      <c r="F41" s="93" t="s">
        <v>4</v>
      </c>
      <c r="G41" s="93" t="s">
        <v>9</v>
      </c>
    </row>
    <row r="42" spans="1:7" x14ac:dyDescent="0.2">
      <c r="A42">
        <v>7</v>
      </c>
      <c r="B42">
        <v>474.64723270086802</v>
      </c>
      <c r="C42">
        <v>0</v>
      </c>
      <c r="D42" s="44" t="s">
        <v>40</v>
      </c>
      <c r="E42" t="s">
        <v>12</v>
      </c>
      <c r="F42" t="s">
        <v>10</v>
      </c>
      <c r="G42" t="s">
        <v>5</v>
      </c>
    </row>
    <row r="43" spans="1:7" s="45" customFormat="1" x14ac:dyDescent="0.2">
      <c r="A43" s="45">
        <v>10</v>
      </c>
      <c r="B43" s="45">
        <v>489.942922208423</v>
      </c>
      <c r="C43" s="45">
        <v>15.29569</v>
      </c>
      <c r="D43" s="45" t="s">
        <v>41</v>
      </c>
      <c r="E43" s="45" t="s">
        <v>12</v>
      </c>
      <c r="F43" s="45" t="s">
        <v>10</v>
      </c>
      <c r="G43" s="45" t="s">
        <v>5</v>
      </c>
    </row>
    <row r="44" spans="1:7" x14ac:dyDescent="0.2">
      <c r="A44">
        <v>7</v>
      </c>
      <c r="B44">
        <v>474.64723270086802</v>
      </c>
      <c r="C44">
        <v>0</v>
      </c>
      <c r="D44" s="44" t="s">
        <v>40</v>
      </c>
      <c r="E44" t="s">
        <v>12</v>
      </c>
      <c r="F44" t="s">
        <v>10</v>
      </c>
      <c r="G44" t="s">
        <v>7</v>
      </c>
    </row>
    <row r="45" spans="1:7" s="45" customFormat="1" x14ac:dyDescent="0.2">
      <c r="A45" s="45">
        <v>9</v>
      </c>
      <c r="B45" s="45">
        <v>492.36846697036998</v>
      </c>
      <c r="C45" s="45">
        <v>17.721229999999998</v>
      </c>
      <c r="D45" s="45" t="s">
        <v>41</v>
      </c>
      <c r="E45" s="45" t="s">
        <v>12</v>
      </c>
      <c r="F45" s="45" t="s">
        <v>10</v>
      </c>
      <c r="G45" s="45" t="s">
        <v>7</v>
      </c>
    </row>
    <row r="46" spans="1:7" x14ac:dyDescent="0.2">
      <c r="A46">
        <v>7</v>
      </c>
      <c r="B46">
        <v>474.64723270086802</v>
      </c>
      <c r="C46">
        <v>0</v>
      </c>
      <c r="D46" s="44" t="s">
        <v>40</v>
      </c>
      <c r="E46" t="s">
        <v>12</v>
      </c>
      <c r="F46" t="s">
        <v>10</v>
      </c>
      <c r="G46" t="s">
        <v>8</v>
      </c>
    </row>
    <row r="47" spans="1:7" s="45" customFormat="1" x14ac:dyDescent="0.2">
      <c r="A47" s="45">
        <v>10</v>
      </c>
      <c r="B47" s="45">
        <v>484.041336171051</v>
      </c>
      <c r="C47" s="45">
        <v>9.3940999999999999</v>
      </c>
      <c r="D47" s="45" t="s">
        <v>41</v>
      </c>
      <c r="E47" s="45" t="s">
        <v>12</v>
      </c>
      <c r="F47" s="45" t="s">
        <v>10</v>
      </c>
      <c r="G47" s="45" t="s">
        <v>8</v>
      </c>
    </row>
    <row r="48" spans="1:7" x14ac:dyDescent="0.2">
      <c r="A48">
        <v>7</v>
      </c>
      <c r="B48">
        <v>474.64723270086802</v>
      </c>
      <c r="C48">
        <v>0</v>
      </c>
      <c r="D48" s="44" t="s">
        <v>40</v>
      </c>
      <c r="E48" t="s">
        <v>12</v>
      </c>
      <c r="F48" t="s">
        <v>10</v>
      </c>
      <c r="G48" t="s">
        <v>9</v>
      </c>
    </row>
    <row r="49" spans="1:7" s="45" customFormat="1" x14ac:dyDescent="0.2">
      <c r="A49" s="45">
        <v>11</v>
      </c>
      <c r="B49" s="45">
        <v>499.82150635408902</v>
      </c>
      <c r="C49" s="45">
        <v>25.17427</v>
      </c>
      <c r="D49" s="45" t="s">
        <v>41</v>
      </c>
      <c r="E49" s="45" t="s">
        <v>12</v>
      </c>
      <c r="F49" s="45" t="s">
        <v>10</v>
      </c>
      <c r="G49" s="45" t="s">
        <v>9</v>
      </c>
    </row>
    <row r="50" spans="1:7" x14ac:dyDescent="0.2">
      <c r="A50" s="97">
        <v>10</v>
      </c>
      <c r="B50" s="97">
        <v>-452.19948622983702</v>
      </c>
      <c r="C50" s="97">
        <v>0</v>
      </c>
      <c r="D50" s="97" t="s">
        <v>41</v>
      </c>
      <c r="E50" s="97" t="s">
        <v>13</v>
      </c>
      <c r="F50" s="97" t="s">
        <v>4</v>
      </c>
      <c r="G50" s="97" t="s">
        <v>5</v>
      </c>
    </row>
    <row r="51" spans="1:7" s="45" customFormat="1" x14ac:dyDescent="0.2">
      <c r="A51" s="100">
        <v>7</v>
      </c>
      <c r="B51" s="100">
        <v>-431.77489630451402</v>
      </c>
      <c r="C51" s="100">
        <v>20.424589999999998</v>
      </c>
      <c r="D51" s="100" t="s">
        <v>40</v>
      </c>
      <c r="E51" s="100" t="s">
        <v>13</v>
      </c>
      <c r="F51" s="100" t="s">
        <v>4</v>
      </c>
      <c r="G51" s="100" t="s">
        <v>5</v>
      </c>
    </row>
    <row r="52" spans="1:7" x14ac:dyDescent="0.2">
      <c r="A52" s="97">
        <v>9</v>
      </c>
      <c r="B52" s="97">
        <v>-444.51806092154101</v>
      </c>
      <c r="C52" s="97">
        <v>0</v>
      </c>
      <c r="D52" s="97" t="s">
        <v>41</v>
      </c>
      <c r="E52" s="97" t="s">
        <v>13</v>
      </c>
      <c r="F52" s="97" t="s">
        <v>4</v>
      </c>
      <c r="G52" s="97" t="s">
        <v>7</v>
      </c>
    </row>
    <row r="53" spans="1:7" s="45" customFormat="1" x14ac:dyDescent="0.2">
      <c r="A53" s="100">
        <v>7</v>
      </c>
      <c r="B53" s="100">
        <v>-431.77489630451402</v>
      </c>
      <c r="C53" s="100">
        <v>12.74316</v>
      </c>
      <c r="D53" s="100" t="s">
        <v>40</v>
      </c>
      <c r="E53" s="100" t="s">
        <v>13</v>
      </c>
      <c r="F53" s="100" t="s">
        <v>4</v>
      </c>
      <c r="G53" s="100" t="s">
        <v>7</v>
      </c>
    </row>
    <row r="54" spans="1:7" x14ac:dyDescent="0.2">
      <c r="A54" s="4">
        <v>10</v>
      </c>
      <c r="B54" s="4">
        <v>-438.35695470056601</v>
      </c>
      <c r="C54" s="56">
        <v>0</v>
      </c>
      <c r="D54" s="4" t="s">
        <v>41</v>
      </c>
      <c r="E54" s="4" t="s">
        <v>13</v>
      </c>
      <c r="F54" s="4" t="s">
        <v>4</v>
      </c>
      <c r="G54" s="4" t="s">
        <v>8</v>
      </c>
    </row>
    <row r="55" spans="1:7" s="45" customFormat="1" x14ac:dyDescent="0.2">
      <c r="A55" s="5">
        <v>7</v>
      </c>
      <c r="B55" s="5">
        <v>-431.77489630451402</v>
      </c>
      <c r="C55" s="57">
        <v>6.5820600000000002</v>
      </c>
      <c r="D55" s="5" t="s">
        <v>40</v>
      </c>
      <c r="E55" s="5" t="s">
        <v>13</v>
      </c>
      <c r="F55" s="5" t="s">
        <v>4</v>
      </c>
      <c r="G55" s="5" t="s">
        <v>8</v>
      </c>
    </row>
    <row r="56" spans="1:7" x14ac:dyDescent="0.2">
      <c r="A56" s="4">
        <v>11</v>
      </c>
      <c r="B56" s="4">
        <v>-435.96612865057801</v>
      </c>
      <c r="C56" s="56">
        <v>0</v>
      </c>
      <c r="D56" s="4" t="s">
        <v>41</v>
      </c>
      <c r="E56" s="4" t="s">
        <v>13</v>
      </c>
      <c r="F56" s="4" t="s">
        <v>4</v>
      </c>
      <c r="G56" s="4" t="s">
        <v>9</v>
      </c>
    </row>
    <row r="57" spans="1:7" s="45" customFormat="1" x14ac:dyDescent="0.2">
      <c r="A57" s="5">
        <v>7</v>
      </c>
      <c r="B57" s="5">
        <v>-431.77489630451402</v>
      </c>
      <c r="C57" s="57">
        <v>4.19123</v>
      </c>
      <c r="D57" s="5" t="s">
        <v>40</v>
      </c>
      <c r="E57" s="5" t="s">
        <v>13</v>
      </c>
      <c r="F57" s="5" t="s">
        <v>4</v>
      </c>
      <c r="G57" s="5" t="s">
        <v>9</v>
      </c>
    </row>
    <row r="58" spans="1:7" x14ac:dyDescent="0.2">
      <c r="A58">
        <v>8</v>
      </c>
      <c r="B58">
        <v>-215.26735034631699</v>
      </c>
      <c r="C58">
        <v>0</v>
      </c>
      <c r="D58" s="44" t="s">
        <v>40</v>
      </c>
      <c r="E58" t="s">
        <v>13</v>
      </c>
      <c r="F58" t="s">
        <v>10</v>
      </c>
      <c r="G58" t="s">
        <v>5</v>
      </c>
    </row>
    <row r="59" spans="1:7" s="45" customFormat="1" x14ac:dyDescent="0.2">
      <c r="A59" s="45">
        <v>11</v>
      </c>
      <c r="B59" s="45">
        <v>-211.68343849419</v>
      </c>
      <c r="C59" s="45">
        <v>3.5839099999999999</v>
      </c>
      <c r="D59" s="45" t="s">
        <v>41</v>
      </c>
      <c r="E59" s="45" t="s">
        <v>13</v>
      </c>
      <c r="F59" s="45" t="s">
        <v>10</v>
      </c>
      <c r="G59" s="45" t="s">
        <v>5</v>
      </c>
    </row>
    <row r="60" spans="1:7" x14ac:dyDescent="0.2">
      <c r="A60">
        <v>8</v>
      </c>
      <c r="B60">
        <v>-215.26735034631699</v>
      </c>
      <c r="C60">
        <v>0</v>
      </c>
      <c r="D60" s="44" t="s">
        <v>40</v>
      </c>
      <c r="E60" t="s">
        <v>13</v>
      </c>
      <c r="F60" t="s">
        <v>10</v>
      </c>
      <c r="G60" t="s">
        <v>7</v>
      </c>
    </row>
    <row r="61" spans="1:7" s="45" customFormat="1" x14ac:dyDescent="0.2">
      <c r="A61" s="45">
        <v>10</v>
      </c>
      <c r="B61" s="45">
        <v>-206.83798963014499</v>
      </c>
      <c r="C61" s="45">
        <v>8.4293600000000009</v>
      </c>
      <c r="D61" s="45" t="s">
        <v>41</v>
      </c>
      <c r="E61" s="45" t="s">
        <v>13</v>
      </c>
      <c r="F61" s="45" t="s">
        <v>10</v>
      </c>
      <c r="G61" s="45" t="s">
        <v>7</v>
      </c>
    </row>
    <row r="62" spans="1:7" x14ac:dyDescent="0.2">
      <c r="A62">
        <v>8</v>
      </c>
      <c r="B62">
        <v>-215.26735034631699</v>
      </c>
      <c r="C62">
        <v>0</v>
      </c>
      <c r="D62" s="44" t="s">
        <v>40</v>
      </c>
      <c r="E62" t="s">
        <v>13</v>
      </c>
      <c r="F62" t="s">
        <v>10</v>
      </c>
      <c r="G62" t="s">
        <v>8</v>
      </c>
    </row>
    <row r="63" spans="1:7" s="45" customFormat="1" x14ac:dyDescent="0.2">
      <c r="A63" s="45">
        <v>11</v>
      </c>
      <c r="B63" s="45">
        <v>-209.77827842094001</v>
      </c>
      <c r="C63" s="45">
        <v>5.4890699999999999</v>
      </c>
      <c r="D63" s="45" t="s">
        <v>41</v>
      </c>
      <c r="E63" s="45" t="s">
        <v>13</v>
      </c>
      <c r="F63" s="45" t="s">
        <v>10</v>
      </c>
      <c r="G63" s="45" t="s">
        <v>8</v>
      </c>
    </row>
    <row r="64" spans="1:7" x14ac:dyDescent="0.2">
      <c r="A64">
        <v>8</v>
      </c>
      <c r="B64">
        <v>-215.26735034631699</v>
      </c>
      <c r="C64">
        <v>0</v>
      </c>
      <c r="D64" s="44" t="s">
        <v>40</v>
      </c>
      <c r="E64" t="s">
        <v>13</v>
      </c>
      <c r="F64" t="s">
        <v>10</v>
      </c>
      <c r="G64" t="s">
        <v>9</v>
      </c>
    </row>
    <row r="65" spans="1:7" s="45" customFormat="1" x14ac:dyDescent="0.2">
      <c r="A65" s="45">
        <v>12</v>
      </c>
      <c r="B65" s="45">
        <v>-192.643969023122</v>
      </c>
      <c r="C65" s="45">
        <v>22.623380000000001</v>
      </c>
      <c r="D65" s="45" t="s">
        <v>41</v>
      </c>
      <c r="E65" s="45" t="s">
        <v>13</v>
      </c>
      <c r="F65" s="45" t="s">
        <v>10</v>
      </c>
      <c r="G65" s="4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C1287-5697-EF4E-83C4-5EE525DE383D}">
  <dimension ref="A1:K137"/>
  <sheetViews>
    <sheetView tabSelected="1" topLeftCell="A14" workbookViewId="0">
      <selection activeCell="K33" sqref="K33"/>
    </sheetView>
  </sheetViews>
  <sheetFormatPr baseColWidth="10" defaultRowHeight="16" x14ac:dyDescent="0.2"/>
  <cols>
    <col min="3" max="3" width="12.1640625" bestFit="1" customWidth="1"/>
  </cols>
  <sheetData>
    <row r="1" spans="1:8" x14ac:dyDescent="0.2">
      <c r="A1" t="s">
        <v>244</v>
      </c>
      <c r="B1" t="s">
        <v>245</v>
      </c>
      <c r="C1" t="s">
        <v>246</v>
      </c>
      <c r="D1" t="s">
        <v>247</v>
      </c>
      <c r="E1" t="s">
        <v>248</v>
      </c>
      <c r="F1" t="s">
        <v>0</v>
      </c>
      <c r="G1" t="s">
        <v>1</v>
      </c>
      <c r="H1" t="s">
        <v>2</v>
      </c>
    </row>
    <row r="2" spans="1:8" x14ac:dyDescent="0.2">
      <c r="A2">
        <v>191.58953053955</v>
      </c>
      <c r="B2">
        <v>1</v>
      </c>
      <c r="C2" s="96">
        <v>1.4301390682461801E-43</v>
      </c>
      <c r="D2" t="s">
        <v>249</v>
      </c>
      <c r="E2" t="s">
        <v>250</v>
      </c>
      <c r="F2" t="s">
        <v>3</v>
      </c>
      <c r="G2" t="s">
        <v>4</v>
      </c>
      <c r="H2" t="s">
        <v>5</v>
      </c>
    </row>
    <row r="3" spans="1:8" x14ac:dyDescent="0.2">
      <c r="A3">
        <v>165.34660131456201</v>
      </c>
      <c r="B3">
        <v>1</v>
      </c>
      <c r="C3" s="96">
        <v>7.6841556884933504E-38</v>
      </c>
      <c r="D3" t="s">
        <v>249</v>
      </c>
      <c r="E3" t="s">
        <v>250</v>
      </c>
      <c r="F3" t="s">
        <v>3</v>
      </c>
      <c r="G3" t="s">
        <v>4</v>
      </c>
      <c r="H3" t="s">
        <v>7</v>
      </c>
    </row>
    <row r="4" spans="1:8" x14ac:dyDescent="0.2">
      <c r="A4">
        <v>29.7524152411156</v>
      </c>
      <c r="B4">
        <v>1</v>
      </c>
      <c r="C4" s="96">
        <v>4.9089433804905498E-8</v>
      </c>
      <c r="D4" t="s">
        <v>249</v>
      </c>
      <c r="E4" t="s">
        <v>250</v>
      </c>
      <c r="F4" t="s">
        <v>3</v>
      </c>
      <c r="G4" t="s">
        <v>4</v>
      </c>
      <c r="H4" t="s">
        <v>8</v>
      </c>
    </row>
    <row r="5" spans="1:8" x14ac:dyDescent="0.2">
      <c r="A5">
        <v>162.02027467728499</v>
      </c>
      <c r="B5">
        <v>1</v>
      </c>
      <c r="C5" s="96">
        <v>4.0950519359541199E-37</v>
      </c>
      <c r="D5" t="s">
        <v>249</v>
      </c>
      <c r="E5" t="s">
        <v>250</v>
      </c>
      <c r="F5" t="s">
        <v>3</v>
      </c>
      <c r="G5" t="s">
        <v>4</v>
      </c>
      <c r="H5" t="s">
        <v>9</v>
      </c>
    </row>
    <row r="6" spans="1:8" x14ac:dyDescent="0.2">
      <c r="A6">
        <v>8.8740256299219507</v>
      </c>
      <c r="B6">
        <v>1</v>
      </c>
      <c r="C6">
        <v>2.89256584148001E-3</v>
      </c>
      <c r="D6" t="s">
        <v>249</v>
      </c>
      <c r="E6" t="s">
        <v>250</v>
      </c>
      <c r="F6" t="s">
        <v>3</v>
      </c>
      <c r="G6" t="s">
        <v>10</v>
      </c>
      <c r="H6" t="s">
        <v>5</v>
      </c>
    </row>
    <row r="7" spans="1:8" x14ac:dyDescent="0.2">
      <c r="A7">
        <v>14.6224254999109</v>
      </c>
      <c r="B7">
        <v>1</v>
      </c>
      <c r="C7">
        <v>1.31342273871443E-4</v>
      </c>
      <c r="D7" t="s">
        <v>249</v>
      </c>
      <c r="E7" t="s">
        <v>250</v>
      </c>
      <c r="F7" t="s">
        <v>3</v>
      </c>
      <c r="G7" t="s">
        <v>10</v>
      </c>
      <c r="H7" t="s">
        <v>7</v>
      </c>
    </row>
    <row r="8" spans="1:8" x14ac:dyDescent="0.2">
      <c r="A8">
        <v>25.228802601723402</v>
      </c>
      <c r="B8">
        <v>1</v>
      </c>
      <c r="C8" s="96">
        <v>5.0916100385316105E-7</v>
      </c>
      <c r="D8" t="s">
        <v>249</v>
      </c>
      <c r="E8" t="s">
        <v>250</v>
      </c>
      <c r="F8" t="s">
        <v>3</v>
      </c>
      <c r="G8" t="s">
        <v>10</v>
      </c>
      <c r="H8" t="s">
        <v>8</v>
      </c>
    </row>
    <row r="9" spans="1:8" x14ac:dyDescent="0.2">
      <c r="A9">
        <v>0.27158327199971</v>
      </c>
      <c r="B9">
        <v>1</v>
      </c>
      <c r="C9">
        <v>0.60227167218934496</v>
      </c>
      <c r="D9" t="s">
        <v>249</v>
      </c>
      <c r="E9" t="s">
        <v>250</v>
      </c>
      <c r="F9" t="s">
        <v>3</v>
      </c>
      <c r="G9" t="s">
        <v>10</v>
      </c>
      <c r="H9" t="s">
        <v>9</v>
      </c>
    </row>
    <row r="10" spans="1:8" x14ac:dyDescent="0.2">
      <c r="A10">
        <v>128.73473175408901</v>
      </c>
      <c r="B10">
        <v>1</v>
      </c>
      <c r="C10" s="96">
        <v>7.7515749872334402E-30</v>
      </c>
      <c r="D10" t="s">
        <v>249</v>
      </c>
      <c r="E10" t="s">
        <v>250</v>
      </c>
      <c r="F10" t="s">
        <v>11</v>
      </c>
      <c r="G10" t="s">
        <v>4</v>
      </c>
      <c r="H10" t="s">
        <v>5</v>
      </c>
    </row>
    <row r="11" spans="1:8" x14ac:dyDescent="0.2">
      <c r="A11">
        <v>81.440773531589201</v>
      </c>
      <c r="B11">
        <v>1</v>
      </c>
      <c r="C11" s="96">
        <v>1.8059335498504301E-19</v>
      </c>
      <c r="D11" t="s">
        <v>249</v>
      </c>
      <c r="E11" t="s">
        <v>250</v>
      </c>
      <c r="F11" t="s">
        <v>11</v>
      </c>
      <c r="G11" t="s">
        <v>4</v>
      </c>
      <c r="H11" t="s">
        <v>7</v>
      </c>
    </row>
    <row r="12" spans="1:8" x14ac:dyDescent="0.2">
      <c r="A12">
        <v>1.1894101931344301</v>
      </c>
      <c r="B12">
        <v>1</v>
      </c>
      <c r="C12">
        <v>0.275448559601497</v>
      </c>
      <c r="D12" t="s">
        <v>249</v>
      </c>
      <c r="E12" t="s">
        <v>250</v>
      </c>
      <c r="F12" t="s">
        <v>11</v>
      </c>
      <c r="G12" t="s">
        <v>4</v>
      </c>
      <c r="H12" t="s">
        <v>8</v>
      </c>
    </row>
    <row r="13" spans="1:8" x14ac:dyDescent="0.2">
      <c r="A13">
        <v>106.00888805379699</v>
      </c>
      <c r="B13">
        <v>1</v>
      </c>
      <c r="C13" s="96">
        <v>7.3405227293797297E-25</v>
      </c>
      <c r="D13" t="s">
        <v>249</v>
      </c>
      <c r="E13" t="s">
        <v>250</v>
      </c>
      <c r="F13" t="s">
        <v>11</v>
      </c>
      <c r="G13" t="s">
        <v>4</v>
      </c>
      <c r="H13" t="s">
        <v>9</v>
      </c>
    </row>
    <row r="14" spans="1:8" x14ac:dyDescent="0.2">
      <c r="A14">
        <v>626.94934679985499</v>
      </c>
      <c r="B14">
        <v>1</v>
      </c>
      <c r="C14" s="96">
        <v>2.3031010347679001E-138</v>
      </c>
      <c r="D14" t="s">
        <v>249</v>
      </c>
      <c r="E14" t="s">
        <v>250</v>
      </c>
      <c r="F14" t="s">
        <v>12</v>
      </c>
      <c r="G14" t="s">
        <v>4</v>
      </c>
      <c r="H14" t="s">
        <v>5</v>
      </c>
    </row>
    <row r="15" spans="1:8" x14ac:dyDescent="0.2">
      <c r="A15">
        <v>44.979315179050303</v>
      </c>
      <c r="B15">
        <v>1</v>
      </c>
      <c r="C15" s="96">
        <v>1.9912676417461301E-11</v>
      </c>
      <c r="D15" t="s">
        <v>249</v>
      </c>
      <c r="E15" t="s">
        <v>250</v>
      </c>
      <c r="F15" t="s">
        <v>12</v>
      </c>
      <c r="G15" t="s">
        <v>4</v>
      </c>
      <c r="H15" t="s">
        <v>7</v>
      </c>
    </row>
    <row r="16" spans="1:8" x14ac:dyDescent="0.2">
      <c r="A16">
        <v>71.555931096599707</v>
      </c>
      <c r="B16">
        <v>1</v>
      </c>
      <c r="C16" s="96">
        <v>2.6950923841689601E-17</v>
      </c>
      <c r="D16" t="s">
        <v>249</v>
      </c>
      <c r="E16" t="s">
        <v>250</v>
      </c>
      <c r="F16" t="s">
        <v>12</v>
      </c>
      <c r="G16" t="s">
        <v>4</v>
      </c>
      <c r="H16" t="s">
        <v>8</v>
      </c>
    </row>
    <row r="17" spans="1:10" x14ac:dyDescent="0.2">
      <c r="A17">
        <v>466.97244824962598</v>
      </c>
      <c r="B17">
        <v>1</v>
      </c>
      <c r="C17" s="96">
        <v>1.46079946252814E-103</v>
      </c>
      <c r="D17" t="s">
        <v>249</v>
      </c>
      <c r="E17" t="s">
        <v>250</v>
      </c>
      <c r="F17" t="s">
        <v>12</v>
      </c>
      <c r="G17" t="s">
        <v>4</v>
      </c>
      <c r="H17" t="s">
        <v>9</v>
      </c>
    </row>
    <row r="18" spans="1:10" x14ac:dyDescent="0.2">
      <c r="A18">
        <v>43.355577626491197</v>
      </c>
      <c r="B18">
        <v>1</v>
      </c>
      <c r="C18" s="96">
        <v>4.5643333563643598E-11</v>
      </c>
      <c r="D18" t="s">
        <v>249</v>
      </c>
      <c r="E18" t="s">
        <v>250</v>
      </c>
      <c r="F18" t="s">
        <v>13</v>
      </c>
      <c r="G18" t="s">
        <v>10</v>
      </c>
      <c r="H18" t="s">
        <v>5</v>
      </c>
    </row>
    <row r="19" spans="1:10" x14ac:dyDescent="0.2">
      <c r="A19">
        <v>34.550933012006503</v>
      </c>
      <c r="B19">
        <v>1</v>
      </c>
      <c r="C19" s="96">
        <v>4.1524246376330504E-9</v>
      </c>
      <c r="D19" t="s">
        <v>249</v>
      </c>
      <c r="E19" t="s">
        <v>250</v>
      </c>
      <c r="F19" t="s">
        <v>13</v>
      </c>
      <c r="G19" t="s">
        <v>10</v>
      </c>
      <c r="H19" t="s">
        <v>7</v>
      </c>
    </row>
    <row r="20" spans="1:10" x14ac:dyDescent="0.2">
      <c r="A20">
        <v>57.466388844564797</v>
      </c>
      <c r="B20">
        <v>1</v>
      </c>
      <c r="C20" s="96">
        <v>3.4380449149797803E-14</v>
      </c>
      <c r="D20" t="s">
        <v>249</v>
      </c>
      <c r="E20" t="s">
        <v>250</v>
      </c>
      <c r="F20" t="s">
        <v>13</v>
      </c>
      <c r="G20" t="s">
        <v>10</v>
      </c>
      <c r="H20" t="s">
        <v>8</v>
      </c>
    </row>
    <row r="21" spans="1:10" x14ac:dyDescent="0.2">
      <c r="A21">
        <v>4.0416078405955798</v>
      </c>
      <c r="B21">
        <v>1</v>
      </c>
      <c r="C21">
        <v>4.4391509133324902E-2</v>
      </c>
      <c r="D21" t="s">
        <v>249</v>
      </c>
      <c r="E21" t="s">
        <v>250</v>
      </c>
      <c r="F21" t="s">
        <v>13</v>
      </c>
      <c r="G21" t="s">
        <v>10</v>
      </c>
      <c r="H21" t="s">
        <v>9</v>
      </c>
    </row>
    <row r="22" spans="1:10" x14ac:dyDescent="0.2">
      <c r="A22">
        <v>4.1372289200199202</v>
      </c>
      <c r="B22">
        <v>2</v>
      </c>
      <c r="C22">
        <v>0.126360738328476</v>
      </c>
      <c r="D22" t="s">
        <v>249</v>
      </c>
      <c r="E22" t="s">
        <v>7</v>
      </c>
      <c r="F22" t="s">
        <v>3</v>
      </c>
      <c r="G22" t="s">
        <v>4</v>
      </c>
      <c r="H22" t="s">
        <v>7</v>
      </c>
    </row>
    <row r="23" spans="1:10" x14ac:dyDescent="0.2">
      <c r="A23">
        <v>5.2771922002668799</v>
      </c>
      <c r="B23">
        <v>2</v>
      </c>
      <c r="C23">
        <v>7.1461523990321005E-2</v>
      </c>
      <c r="D23" t="s">
        <v>249</v>
      </c>
      <c r="E23" t="s">
        <v>7</v>
      </c>
      <c r="F23" t="s">
        <v>3</v>
      </c>
      <c r="G23" t="s">
        <v>10</v>
      </c>
      <c r="H23" t="s">
        <v>7</v>
      </c>
    </row>
    <row r="24" spans="1:10" x14ac:dyDescent="0.2">
      <c r="A24" s="99">
        <v>0.74137157371377505</v>
      </c>
      <c r="B24" s="99">
        <v>2</v>
      </c>
      <c r="C24" s="99">
        <v>0.69026079650210403</v>
      </c>
      <c r="D24" s="99" t="s">
        <v>249</v>
      </c>
      <c r="E24" s="99" t="s">
        <v>7</v>
      </c>
      <c r="F24" s="99" t="s">
        <v>11</v>
      </c>
      <c r="G24" s="99" t="s">
        <v>4</v>
      </c>
      <c r="H24" s="99" t="s">
        <v>7</v>
      </c>
      <c r="I24" s="99" t="s">
        <v>315</v>
      </c>
      <c r="J24" s="99"/>
    </row>
    <row r="25" spans="1:10" x14ac:dyDescent="0.2">
      <c r="A25">
        <v>3.0776445032438802</v>
      </c>
      <c r="B25">
        <v>2</v>
      </c>
      <c r="C25">
        <v>0.21463373716293199</v>
      </c>
      <c r="D25" t="s">
        <v>252</v>
      </c>
      <c r="E25" t="s">
        <v>7</v>
      </c>
      <c r="F25" t="s">
        <v>11</v>
      </c>
      <c r="G25" t="s">
        <v>10</v>
      </c>
      <c r="H25" t="s">
        <v>7</v>
      </c>
    </row>
    <row r="26" spans="1:10" s="98" customFormat="1" x14ac:dyDescent="0.2">
      <c r="A26" s="97">
        <v>13.618280176853199</v>
      </c>
      <c r="B26" s="97">
        <v>3</v>
      </c>
      <c r="C26" s="101">
        <v>3.4735887019868099E-3</v>
      </c>
      <c r="D26" s="97" t="s">
        <v>249</v>
      </c>
      <c r="E26" s="97" t="s">
        <v>7</v>
      </c>
      <c r="F26" s="97" t="s">
        <v>12</v>
      </c>
      <c r="G26" s="97" t="s">
        <v>4</v>
      </c>
      <c r="H26" s="97" t="s">
        <v>7</v>
      </c>
      <c r="I26" s="104" t="s">
        <v>314</v>
      </c>
      <c r="J26" s="104"/>
    </row>
    <row r="27" spans="1:10" x14ac:dyDescent="0.2">
      <c r="A27">
        <v>1.23498032166636</v>
      </c>
      <c r="B27">
        <v>2</v>
      </c>
      <c r="C27">
        <v>0.53929628736683299</v>
      </c>
      <c r="D27" t="s">
        <v>252</v>
      </c>
      <c r="E27" t="s">
        <v>7</v>
      </c>
      <c r="F27" t="s">
        <v>12</v>
      </c>
      <c r="G27" t="s">
        <v>10</v>
      </c>
      <c r="H27" t="s">
        <v>7</v>
      </c>
    </row>
    <row r="28" spans="1:10" x14ac:dyDescent="0.2">
      <c r="A28" s="97">
        <v>0.60334988516222698</v>
      </c>
      <c r="B28" s="97">
        <v>2</v>
      </c>
      <c r="C28" s="97">
        <v>0.73957843127691203</v>
      </c>
      <c r="D28" s="97" t="s">
        <v>252</v>
      </c>
      <c r="E28" s="97" t="s">
        <v>7</v>
      </c>
      <c r="F28" s="97" t="s">
        <v>13</v>
      </c>
      <c r="G28" s="97" t="s">
        <v>4</v>
      </c>
      <c r="H28" s="97" t="s">
        <v>7</v>
      </c>
      <c r="I28" s="104" t="s">
        <v>314</v>
      </c>
      <c r="J28" s="97"/>
    </row>
    <row r="29" spans="1:10" x14ac:dyDescent="0.2">
      <c r="A29">
        <v>1.7998637047485599</v>
      </c>
      <c r="B29">
        <v>2</v>
      </c>
      <c r="C29">
        <v>0.406597367441696</v>
      </c>
      <c r="D29" t="s">
        <v>249</v>
      </c>
      <c r="E29" t="s">
        <v>7</v>
      </c>
      <c r="F29" t="s">
        <v>13</v>
      </c>
      <c r="G29" t="s">
        <v>10</v>
      </c>
      <c r="H29" t="s">
        <v>7</v>
      </c>
    </row>
    <row r="30" spans="1:10" x14ac:dyDescent="0.2">
      <c r="A30">
        <v>5.0417724002541</v>
      </c>
      <c r="B30">
        <v>3</v>
      </c>
      <c r="C30">
        <v>0.16876379420927601</v>
      </c>
      <c r="D30" t="s">
        <v>249</v>
      </c>
      <c r="E30" t="s">
        <v>8</v>
      </c>
      <c r="F30" t="s">
        <v>3</v>
      </c>
      <c r="G30" t="s">
        <v>4</v>
      </c>
      <c r="H30" t="s">
        <v>8</v>
      </c>
    </row>
    <row r="31" spans="1:10" s="44" customFormat="1" x14ac:dyDescent="0.2">
      <c r="A31">
        <v>11.590659462303901</v>
      </c>
      <c r="B31">
        <v>3</v>
      </c>
      <c r="C31">
        <v>8.9253949430977593E-3</v>
      </c>
      <c r="D31" t="s">
        <v>249</v>
      </c>
      <c r="E31" t="s">
        <v>8</v>
      </c>
      <c r="F31" t="s">
        <v>3</v>
      </c>
      <c r="G31" t="s">
        <v>10</v>
      </c>
      <c r="H31" t="s">
        <v>8</v>
      </c>
    </row>
    <row r="32" spans="1:10" s="44" customFormat="1" x14ac:dyDescent="0.2">
      <c r="A32" s="97">
        <v>16.944098479524001</v>
      </c>
      <c r="B32" s="97">
        <v>3</v>
      </c>
      <c r="C32" s="102">
        <v>7.2569982771223502E-4</v>
      </c>
      <c r="D32" s="97" t="s">
        <v>249</v>
      </c>
      <c r="E32" s="97" t="s">
        <v>8</v>
      </c>
      <c r="F32" s="97" t="s">
        <v>11</v>
      </c>
      <c r="G32" s="97" t="s">
        <v>4</v>
      </c>
      <c r="H32" s="97" t="s">
        <v>8</v>
      </c>
      <c r="I32" s="104" t="s">
        <v>314</v>
      </c>
      <c r="J32" s="105"/>
    </row>
    <row r="33" spans="1:11" s="44" customFormat="1" x14ac:dyDescent="0.2">
      <c r="A33" s="99">
        <v>35.972039821557097</v>
      </c>
      <c r="B33" s="99">
        <v>3</v>
      </c>
      <c r="C33" s="102">
        <v>7.5910024552699206E-8</v>
      </c>
      <c r="D33" s="99" t="s">
        <v>252</v>
      </c>
      <c r="E33" s="99" t="s">
        <v>8</v>
      </c>
      <c r="F33" s="99" t="s">
        <v>11</v>
      </c>
      <c r="G33" s="99" t="s">
        <v>10</v>
      </c>
      <c r="H33" s="99" t="s">
        <v>8</v>
      </c>
      <c r="I33" s="99" t="s">
        <v>315</v>
      </c>
      <c r="J33" s="99"/>
      <c r="K33" s="44" t="s">
        <v>316</v>
      </c>
    </row>
    <row r="34" spans="1:11" s="98" customFormat="1" x14ac:dyDescent="0.2">
      <c r="A34" s="97">
        <v>8.1014926692760607</v>
      </c>
      <c r="B34" s="97">
        <v>3</v>
      </c>
      <c r="C34" s="101">
        <v>4.3960072286452399E-2</v>
      </c>
      <c r="D34" s="97" t="s">
        <v>249</v>
      </c>
      <c r="E34" s="97" t="s">
        <v>8</v>
      </c>
      <c r="F34" s="97" t="s">
        <v>12</v>
      </c>
      <c r="G34" s="97" t="s">
        <v>4</v>
      </c>
      <c r="H34" s="97" t="s">
        <v>8</v>
      </c>
      <c r="I34" s="104" t="s">
        <v>314</v>
      </c>
      <c r="J34" s="104"/>
    </row>
    <row r="35" spans="1:11" s="44" customFormat="1" x14ac:dyDescent="0.2">
      <c r="A35">
        <v>22.5489428174122</v>
      </c>
      <c r="B35">
        <v>3</v>
      </c>
      <c r="C35" s="96">
        <v>5.0139420325034099E-5</v>
      </c>
      <c r="D35" t="s">
        <v>252</v>
      </c>
      <c r="E35" t="s">
        <v>8</v>
      </c>
      <c r="F35" t="s">
        <v>12</v>
      </c>
      <c r="G35" t="s">
        <v>10</v>
      </c>
      <c r="H35" t="s">
        <v>8</v>
      </c>
    </row>
    <row r="36" spans="1:11" x14ac:dyDescent="0.2">
      <c r="A36" s="99">
        <v>2.8941483065276801</v>
      </c>
      <c r="B36" s="99">
        <v>3</v>
      </c>
      <c r="C36" s="99">
        <v>0.40823499285685</v>
      </c>
      <c r="D36" s="99" t="s">
        <v>252</v>
      </c>
      <c r="E36" s="99" t="s">
        <v>8</v>
      </c>
      <c r="F36" s="99" t="s">
        <v>13</v>
      </c>
      <c r="G36" s="99" t="s">
        <v>4</v>
      </c>
      <c r="H36" s="99" t="s">
        <v>8</v>
      </c>
      <c r="I36" s="99" t="s">
        <v>315</v>
      </c>
      <c r="J36" s="99"/>
    </row>
    <row r="37" spans="1:11" s="44" customFormat="1" x14ac:dyDescent="0.2">
      <c r="A37">
        <v>15.474320789891101</v>
      </c>
      <c r="B37">
        <v>3</v>
      </c>
      <c r="C37">
        <v>1.4530636519831299E-3</v>
      </c>
      <c r="D37" t="s">
        <v>249</v>
      </c>
      <c r="E37" t="s">
        <v>8</v>
      </c>
      <c r="F37" t="s">
        <v>13</v>
      </c>
      <c r="G37" t="s">
        <v>10</v>
      </c>
      <c r="H37" t="s">
        <v>8</v>
      </c>
    </row>
    <row r="38" spans="1:11" s="98" customFormat="1" x14ac:dyDescent="0.2">
      <c r="A38" s="97">
        <v>27.488711899029699</v>
      </c>
      <c r="B38" s="97">
        <v>3</v>
      </c>
      <c r="C38" s="102">
        <v>4.6498026943556003E-6</v>
      </c>
      <c r="D38" s="97" t="s">
        <v>249</v>
      </c>
      <c r="E38" s="97" t="s">
        <v>5</v>
      </c>
      <c r="F38" s="97" t="s">
        <v>3</v>
      </c>
      <c r="G38" s="97" t="s">
        <v>4</v>
      </c>
      <c r="H38" s="97" t="s">
        <v>5</v>
      </c>
      <c r="I38" s="103" t="s">
        <v>314</v>
      </c>
      <c r="J38" s="104"/>
    </row>
    <row r="39" spans="1:11" s="44" customFormat="1" x14ac:dyDescent="0.2">
      <c r="A39">
        <v>11.1978749798607</v>
      </c>
      <c r="B39">
        <v>3</v>
      </c>
      <c r="C39">
        <v>1.0702625557505299E-2</v>
      </c>
      <c r="D39" t="s">
        <v>249</v>
      </c>
      <c r="E39" t="s">
        <v>5</v>
      </c>
      <c r="F39" t="s">
        <v>3</v>
      </c>
      <c r="G39" t="s">
        <v>10</v>
      </c>
      <c r="H39" t="s">
        <v>5</v>
      </c>
    </row>
    <row r="40" spans="1:11" x14ac:dyDescent="0.2">
      <c r="A40">
        <v>6.0915039447393102</v>
      </c>
      <c r="B40">
        <v>3</v>
      </c>
      <c r="C40">
        <v>0.107242241520123</v>
      </c>
      <c r="D40" t="s">
        <v>249</v>
      </c>
      <c r="E40" t="s">
        <v>5</v>
      </c>
      <c r="F40" t="s">
        <v>11</v>
      </c>
      <c r="G40" t="s">
        <v>4</v>
      </c>
      <c r="H40" t="s">
        <v>5</v>
      </c>
    </row>
    <row r="41" spans="1:11" s="44" customFormat="1" x14ac:dyDescent="0.2">
      <c r="A41">
        <v>8.4354986018774802</v>
      </c>
      <c r="B41">
        <v>3</v>
      </c>
      <c r="C41">
        <v>3.7818612363756401E-2</v>
      </c>
      <c r="D41" t="s">
        <v>252</v>
      </c>
      <c r="E41" t="s">
        <v>5</v>
      </c>
      <c r="F41" t="s">
        <v>11</v>
      </c>
      <c r="G41" t="s">
        <v>10</v>
      </c>
      <c r="H41" t="s">
        <v>5</v>
      </c>
    </row>
    <row r="42" spans="1:11" x14ac:dyDescent="0.2">
      <c r="A42" s="97">
        <v>1.78273947658777</v>
      </c>
      <c r="B42" s="97">
        <v>3</v>
      </c>
      <c r="C42" s="97">
        <v>0.61869820311526103</v>
      </c>
      <c r="D42" s="97" t="s">
        <v>249</v>
      </c>
      <c r="E42" s="97" t="s">
        <v>5</v>
      </c>
      <c r="F42" s="97" t="s">
        <v>12</v>
      </c>
      <c r="G42" s="97" t="s">
        <v>4</v>
      </c>
      <c r="H42" s="97" t="s">
        <v>5</v>
      </c>
      <c r="I42" s="103" t="s">
        <v>314</v>
      </c>
      <c r="J42" s="97"/>
    </row>
    <row r="43" spans="1:11" s="44" customFormat="1" x14ac:dyDescent="0.2">
      <c r="A43">
        <v>13.479413541594001</v>
      </c>
      <c r="B43">
        <v>3</v>
      </c>
      <c r="C43">
        <v>3.70663291070303E-3</v>
      </c>
      <c r="D43" t="s">
        <v>252</v>
      </c>
      <c r="E43" t="s">
        <v>5</v>
      </c>
      <c r="F43" t="s">
        <v>12</v>
      </c>
      <c r="G43" t="s">
        <v>10</v>
      </c>
      <c r="H43" t="s">
        <v>5</v>
      </c>
    </row>
    <row r="44" spans="1:11" s="98" customFormat="1" x14ac:dyDescent="0.2">
      <c r="A44" s="97">
        <v>17.829165766905199</v>
      </c>
      <c r="B44" s="97">
        <v>3</v>
      </c>
      <c r="C44" s="101">
        <v>4.7701198339367899E-4</v>
      </c>
      <c r="D44" s="97" t="s">
        <v>252</v>
      </c>
      <c r="E44" s="97" t="s">
        <v>5</v>
      </c>
      <c r="F44" s="97" t="s">
        <v>13</v>
      </c>
      <c r="G44" s="97" t="s">
        <v>4</v>
      </c>
      <c r="H44" s="97" t="s">
        <v>5</v>
      </c>
      <c r="I44" s="103" t="s">
        <v>314</v>
      </c>
      <c r="J44" s="104"/>
    </row>
    <row r="45" spans="1:11" s="44" customFormat="1" x14ac:dyDescent="0.2">
      <c r="A45">
        <v>19.402345687276402</v>
      </c>
      <c r="B45">
        <v>3</v>
      </c>
      <c r="C45">
        <v>2.2571787659374999E-4</v>
      </c>
      <c r="D45" t="s">
        <v>249</v>
      </c>
      <c r="E45" t="s">
        <v>5</v>
      </c>
      <c r="F45" t="s">
        <v>13</v>
      </c>
      <c r="G45" t="s">
        <v>10</v>
      </c>
      <c r="H45" t="s">
        <v>5</v>
      </c>
    </row>
    <row r="46" spans="1:11" x14ac:dyDescent="0.2">
      <c r="A46">
        <v>1574.1074770783</v>
      </c>
      <c r="B46">
        <v>1</v>
      </c>
      <c r="C46">
        <v>0</v>
      </c>
      <c r="D46" t="s">
        <v>249</v>
      </c>
      <c r="E46" t="s">
        <v>251</v>
      </c>
      <c r="F46" t="s">
        <v>3</v>
      </c>
      <c r="G46" t="s">
        <v>4</v>
      </c>
      <c r="H46" t="s">
        <v>5</v>
      </c>
    </row>
    <row r="47" spans="1:11" x14ac:dyDescent="0.2">
      <c r="A47">
        <v>1566.4145632781799</v>
      </c>
      <c r="B47">
        <v>1</v>
      </c>
      <c r="C47">
        <v>0</v>
      </c>
      <c r="D47" t="s">
        <v>249</v>
      </c>
      <c r="E47" t="s">
        <v>251</v>
      </c>
      <c r="F47" t="s">
        <v>3</v>
      </c>
      <c r="G47" t="s">
        <v>4</v>
      </c>
      <c r="H47" t="s">
        <v>7</v>
      </c>
    </row>
    <row r="48" spans="1:11" x14ac:dyDescent="0.2">
      <c r="A48">
        <v>1563.5457961611401</v>
      </c>
      <c r="B48">
        <v>1</v>
      </c>
      <c r="C48">
        <v>0</v>
      </c>
      <c r="D48" t="s">
        <v>249</v>
      </c>
      <c r="E48" t="s">
        <v>251</v>
      </c>
      <c r="F48" t="s">
        <v>3</v>
      </c>
      <c r="G48" t="s">
        <v>4</v>
      </c>
      <c r="H48" t="s">
        <v>8</v>
      </c>
    </row>
    <row r="49" spans="1:8" x14ac:dyDescent="0.2">
      <c r="A49">
        <v>1573.6422800927501</v>
      </c>
      <c r="B49">
        <v>1</v>
      </c>
      <c r="C49">
        <v>0</v>
      </c>
      <c r="D49" t="s">
        <v>249</v>
      </c>
      <c r="E49" t="s">
        <v>251</v>
      </c>
      <c r="F49" t="s">
        <v>3</v>
      </c>
      <c r="G49" t="s">
        <v>4</v>
      </c>
      <c r="H49" t="s">
        <v>9</v>
      </c>
    </row>
    <row r="50" spans="1:8" x14ac:dyDescent="0.2">
      <c r="A50">
        <v>160.78273007882501</v>
      </c>
      <c r="B50">
        <v>1</v>
      </c>
      <c r="C50" s="96">
        <v>7.6319193379548197E-37</v>
      </c>
      <c r="D50" t="s">
        <v>249</v>
      </c>
      <c r="E50" t="s">
        <v>251</v>
      </c>
      <c r="F50" t="s">
        <v>3</v>
      </c>
      <c r="G50" t="s">
        <v>10</v>
      </c>
      <c r="H50" t="s">
        <v>5</v>
      </c>
    </row>
    <row r="51" spans="1:8" x14ac:dyDescent="0.2">
      <c r="A51">
        <v>183.85764165545399</v>
      </c>
      <c r="B51">
        <v>1</v>
      </c>
      <c r="C51" s="96">
        <v>6.9692937647008603E-42</v>
      </c>
      <c r="D51" t="s">
        <v>249</v>
      </c>
      <c r="E51" t="s">
        <v>251</v>
      </c>
      <c r="F51" t="s">
        <v>3</v>
      </c>
      <c r="G51" t="s">
        <v>10</v>
      </c>
      <c r="H51" t="s">
        <v>7</v>
      </c>
    </row>
    <row r="52" spans="1:8" x14ac:dyDescent="0.2">
      <c r="A52">
        <v>208.567261526393</v>
      </c>
      <c r="B52">
        <v>1</v>
      </c>
      <c r="C52" s="96">
        <v>2.8213288615643398E-47</v>
      </c>
      <c r="D52" t="s">
        <v>249</v>
      </c>
      <c r="E52" t="s">
        <v>251</v>
      </c>
      <c r="F52" t="s">
        <v>3</v>
      </c>
      <c r="G52" t="s">
        <v>10</v>
      </c>
      <c r="H52" t="s">
        <v>8</v>
      </c>
    </row>
    <row r="53" spans="1:8" x14ac:dyDescent="0.2">
      <c r="A53">
        <v>184.462077304053</v>
      </c>
      <c r="B53">
        <v>1</v>
      </c>
      <c r="C53" s="96">
        <v>5.1431841045009798E-42</v>
      </c>
      <c r="D53" t="s">
        <v>249</v>
      </c>
      <c r="E53" t="s">
        <v>251</v>
      </c>
      <c r="F53" t="s">
        <v>3</v>
      </c>
      <c r="G53" t="s">
        <v>10</v>
      </c>
      <c r="H53" t="s">
        <v>9</v>
      </c>
    </row>
    <row r="54" spans="1:8" x14ac:dyDescent="0.2">
      <c r="A54">
        <v>23.284401170534899</v>
      </c>
      <c r="B54">
        <v>1</v>
      </c>
      <c r="C54" s="96">
        <v>1.39728659441433E-6</v>
      </c>
      <c r="D54" t="s">
        <v>249</v>
      </c>
      <c r="E54" t="s">
        <v>251</v>
      </c>
      <c r="F54" t="s">
        <v>11</v>
      </c>
      <c r="G54" t="s">
        <v>4</v>
      </c>
      <c r="H54" t="s">
        <v>5</v>
      </c>
    </row>
    <row r="55" spans="1:8" x14ac:dyDescent="0.2">
      <c r="A55">
        <v>24.3318338034532</v>
      </c>
      <c r="B55">
        <v>1</v>
      </c>
      <c r="C55" s="96">
        <v>8.1087848839048403E-7</v>
      </c>
      <c r="D55" t="s">
        <v>249</v>
      </c>
      <c r="E55" t="s">
        <v>251</v>
      </c>
      <c r="F55" t="s">
        <v>11</v>
      </c>
      <c r="G55" t="s">
        <v>4</v>
      </c>
      <c r="H55" t="s">
        <v>7</v>
      </c>
    </row>
    <row r="56" spans="1:8" x14ac:dyDescent="0.2">
      <c r="A56">
        <v>24.3300592876096</v>
      </c>
      <c r="B56">
        <v>1</v>
      </c>
      <c r="C56" s="96">
        <v>8.1162581861714698E-7</v>
      </c>
      <c r="D56" t="s">
        <v>249</v>
      </c>
      <c r="E56" t="s">
        <v>251</v>
      </c>
      <c r="F56" t="s">
        <v>11</v>
      </c>
      <c r="G56" t="s">
        <v>4</v>
      </c>
      <c r="H56" t="s">
        <v>8</v>
      </c>
    </row>
    <row r="57" spans="1:8" x14ac:dyDescent="0.2">
      <c r="A57">
        <v>24.000652761621001</v>
      </c>
      <c r="B57">
        <v>1</v>
      </c>
      <c r="C57" s="96">
        <v>9.6303045731771293E-7</v>
      </c>
      <c r="D57" t="s">
        <v>249</v>
      </c>
      <c r="E57" t="s">
        <v>251</v>
      </c>
      <c r="F57" t="s">
        <v>11</v>
      </c>
      <c r="G57" t="s">
        <v>4</v>
      </c>
      <c r="H57" t="s">
        <v>9</v>
      </c>
    </row>
    <row r="58" spans="1:8" x14ac:dyDescent="0.2">
      <c r="A58">
        <v>7.2640603339174801</v>
      </c>
      <c r="B58">
        <v>1</v>
      </c>
      <c r="C58">
        <v>7.0348065437039198E-3</v>
      </c>
      <c r="D58" t="s">
        <v>252</v>
      </c>
      <c r="E58" t="s">
        <v>251</v>
      </c>
      <c r="F58" t="s">
        <v>11</v>
      </c>
      <c r="G58" t="s">
        <v>10</v>
      </c>
      <c r="H58" t="s">
        <v>5</v>
      </c>
    </row>
    <row r="59" spans="1:8" x14ac:dyDescent="0.2">
      <c r="A59">
        <v>10.2848249596884</v>
      </c>
      <c r="B59">
        <v>1</v>
      </c>
      <c r="C59">
        <v>1.34128743382983E-3</v>
      </c>
      <c r="D59" t="s">
        <v>252</v>
      </c>
      <c r="E59" t="s">
        <v>251</v>
      </c>
      <c r="F59" t="s">
        <v>11</v>
      </c>
      <c r="G59" t="s">
        <v>10</v>
      </c>
      <c r="H59" t="s">
        <v>7</v>
      </c>
    </row>
    <row r="60" spans="1:8" x14ac:dyDescent="0.2">
      <c r="A60">
        <v>9.2235729175828105</v>
      </c>
      <c r="B60">
        <v>1</v>
      </c>
      <c r="C60">
        <v>2.3891884445628501E-3</v>
      </c>
      <c r="D60" t="s">
        <v>252</v>
      </c>
      <c r="E60" t="s">
        <v>251</v>
      </c>
      <c r="F60" t="s">
        <v>11</v>
      </c>
      <c r="G60" t="s">
        <v>10</v>
      </c>
      <c r="H60" t="s">
        <v>8</v>
      </c>
    </row>
    <row r="61" spans="1:8" x14ac:dyDescent="0.2">
      <c r="A61">
        <v>9.5796986068622303</v>
      </c>
      <c r="B61">
        <v>1</v>
      </c>
      <c r="C61">
        <v>1.9674070056850501E-3</v>
      </c>
      <c r="D61" t="s">
        <v>252</v>
      </c>
      <c r="E61" t="s">
        <v>251</v>
      </c>
      <c r="F61" t="s">
        <v>11</v>
      </c>
      <c r="G61" t="s">
        <v>10</v>
      </c>
      <c r="H61" t="s">
        <v>9</v>
      </c>
    </row>
    <row r="62" spans="1:8" x14ac:dyDescent="0.2">
      <c r="A62">
        <v>836.39646846723895</v>
      </c>
      <c r="B62">
        <v>1</v>
      </c>
      <c r="C62" s="96">
        <v>6.5922063786487599E-184</v>
      </c>
      <c r="D62" t="s">
        <v>249</v>
      </c>
      <c r="E62" t="s">
        <v>251</v>
      </c>
      <c r="F62" t="s">
        <v>12</v>
      </c>
      <c r="G62" t="s">
        <v>4</v>
      </c>
      <c r="H62" t="s">
        <v>5</v>
      </c>
    </row>
    <row r="63" spans="1:8" x14ac:dyDescent="0.2">
      <c r="A63">
        <v>781.98425293725302</v>
      </c>
      <c r="B63">
        <v>1</v>
      </c>
      <c r="C63" s="96">
        <v>4.4572239371017699E-172</v>
      </c>
      <c r="D63" t="s">
        <v>249</v>
      </c>
      <c r="E63" t="s">
        <v>251</v>
      </c>
      <c r="F63" t="s">
        <v>12</v>
      </c>
      <c r="G63" t="s">
        <v>4</v>
      </c>
      <c r="H63" t="s">
        <v>7</v>
      </c>
    </row>
    <row r="64" spans="1:8" x14ac:dyDescent="0.2">
      <c r="A64">
        <v>828.31889660701495</v>
      </c>
      <c r="B64">
        <v>1</v>
      </c>
      <c r="C64" s="96">
        <v>3.75972011049009E-182</v>
      </c>
      <c r="D64" t="s">
        <v>249</v>
      </c>
      <c r="E64" t="s">
        <v>251</v>
      </c>
      <c r="F64" t="s">
        <v>12</v>
      </c>
      <c r="G64" t="s">
        <v>4</v>
      </c>
      <c r="H64" t="s">
        <v>8</v>
      </c>
    </row>
    <row r="65" spans="1:8" x14ac:dyDescent="0.2">
      <c r="A65">
        <v>839.10170416122696</v>
      </c>
      <c r="B65">
        <v>1</v>
      </c>
      <c r="C65" s="96">
        <v>1.70175402246487E-184</v>
      </c>
      <c r="D65" t="s">
        <v>249</v>
      </c>
      <c r="E65" t="s">
        <v>251</v>
      </c>
      <c r="F65" t="s">
        <v>12</v>
      </c>
      <c r="G65" t="s">
        <v>4</v>
      </c>
      <c r="H65" t="s">
        <v>9</v>
      </c>
    </row>
    <row r="66" spans="1:8" x14ac:dyDescent="0.2">
      <c r="A66">
        <v>1330.1564465960601</v>
      </c>
      <c r="B66">
        <v>1</v>
      </c>
      <c r="C66" s="96">
        <v>3.1612613376137499E-291</v>
      </c>
      <c r="D66" t="s">
        <v>252</v>
      </c>
      <c r="E66" t="s">
        <v>251</v>
      </c>
      <c r="F66" t="s">
        <v>12</v>
      </c>
      <c r="G66" t="s">
        <v>10</v>
      </c>
      <c r="H66" t="s">
        <v>5</v>
      </c>
    </row>
    <row r="67" spans="1:8" x14ac:dyDescent="0.2">
      <c r="A67">
        <v>1098.97590199038</v>
      </c>
      <c r="B67">
        <v>1</v>
      </c>
      <c r="C67" s="96">
        <v>5.5139992298651899E-241</v>
      </c>
      <c r="D67" t="s">
        <v>252</v>
      </c>
      <c r="E67" t="s">
        <v>251</v>
      </c>
      <c r="F67" t="s">
        <v>12</v>
      </c>
      <c r="G67" t="s">
        <v>10</v>
      </c>
      <c r="H67" t="s">
        <v>7</v>
      </c>
    </row>
    <row r="68" spans="1:8" x14ac:dyDescent="0.2">
      <c r="A68">
        <v>1285.1678547055201</v>
      </c>
      <c r="B68">
        <v>1</v>
      </c>
      <c r="C68" s="96">
        <v>1.89003154193189E-281</v>
      </c>
      <c r="D68" t="s">
        <v>252</v>
      </c>
      <c r="E68" t="s">
        <v>251</v>
      </c>
      <c r="F68" t="s">
        <v>12</v>
      </c>
      <c r="G68" t="s">
        <v>10</v>
      </c>
      <c r="H68" t="s">
        <v>8</v>
      </c>
    </row>
    <row r="69" spans="1:8" x14ac:dyDescent="0.2">
      <c r="A69">
        <v>1091.0351192450901</v>
      </c>
      <c r="B69">
        <v>1</v>
      </c>
      <c r="C69" s="96">
        <v>2.9333076958993202E-239</v>
      </c>
      <c r="D69" t="s">
        <v>252</v>
      </c>
      <c r="E69" t="s">
        <v>251</v>
      </c>
      <c r="F69" t="s">
        <v>12</v>
      </c>
      <c r="G69" t="s">
        <v>10</v>
      </c>
      <c r="H69" t="s">
        <v>9</v>
      </c>
    </row>
    <row r="70" spans="1:8" x14ac:dyDescent="0.2">
      <c r="A70">
        <v>1036.3878630133399</v>
      </c>
      <c r="B70">
        <v>1</v>
      </c>
      <c r="C70" s="96">
        <v>2.2130735770847701E-227</v>
      </c>
      <c r="D70" t="s">
        <v>252</v>
      </c>
      <c r="E70" t="s">
        <v>251</v>
      </c>
      <c r="F70" t="s">
        <v>13</v>
      </c>
      <c r="G70" t="s">
        <v>4</v>
      </c>
      <c r="H70" t="s">
        <v>5</v>
      </c>
    </row>
    <row r="71" spans="1:8" x14ac:dyDescent="0.2">
      <c r="A71">
        <v>941.14757474433895</v>
      </c>
      <c r="B71">
        <v>1</v>
      </c>
      <c r="C71" s="96">
        <v>1.11442739917519E-206</v>
      </c>
      <c r="D71" t="s">
        <v>252</v>
      </c>
      <c r="E71" t="s">
        <v>251</v>
      </c>
      <c r="F71" t="s">
        <v>13</v>
      </c>
      <c r="G71" t="s">
        <v>4</v>
      </c>
      <c r="H71" t="s">
        <v>7</v>
      </c>
    </row>
    <row r="72" spans="1:8" x14ac:dyDescent="0.2">
      <c r="A72">
        <v>949.56734494816999</v>
      </c>
      <c r="B72">
        <v>1</v>
      </c>
      <c r="C72" s="96">
        <v>1.6473730625626199E-208</v>
      </c>
      <c r="D72" t="s">
        <v>252</v>
      </c>
      <c r="E72" t="s">
        <v>251</v>
      </c>
      <c r="F72" t="s">
        <v>13</v>
      </c>
      <c r="G72" t="s">
        <v>4</v>
      </c>
      <c r="H72" t="s">
        <v>8</v>
      </c>
    </row>
    <row r="73" spans="1:8" x14ac:dyDescent="0.2">
      <c r="A73">
        <v>1053.51586072388</v>
      </c>
      <c r="B73">
        <v>1</v>
      </c>
      <c r="C73" s="96">
        <v>4.1893419212049003E-231</v>
      </c>
      <c r="D73" t="s">
        <v>252</v>
      </c>
      <c r="E73" t="s">
        <v>251</v>
      </c>
      <c r="F73" t="s">
        <v>13</v>
      </c>
      <c r="G73" t="s">
        <v>4</v>
      </c>
      <c r="H73" t="s">
        <v>9</v>
      </c>
    </row>
    <row r="74" spans="1:8" x14ac:dyDescent="0.2">
      <c r="A74">
        <v>840.86127074654701</v>
      </c>
      <c r="B74">
        <v>1</v>
      </c>
      <c r="C74" s="96">
        <v>7.0527413977452401E-185</v>
      </c>
      <c r="D74" t="s">
        <v>249</v>
      </c>
      <c r="E74" t="s">
        <v>251</v>
      </c>
      <c r="F74" t="s">
        <v>13</v>
      </c>
      <c r="G74" t="s">
        <v>10</v>
      </c>
      <c r="H74" t="s">
        <v>5</v>
      </c>
    </row>
    <row r="75" spans="1:8" x14ac:dyDescent="0.2">
      <c r="A75">
        <v>875.68446502699601</v>
      </c>
      <c r="B75">
        <v>1</v>
      </c>
      <c r="C75" s="96">
        <v>1.8958596061434301E-192</v>
      </c>
      <c r="D75" t="s">
        <v>249</v>
      </c>
      <c r="E75" t="s">
        <v>251</v>
      </c>
      <c r="F75" t="s">
        <v>13</v>
      </c>
      <c r="G75" t="s">
        <v>10</v>
      </c>
      <c r="H75" t="s">
        <v>7</v>
      </c>
    </row>
    <row r="76" spans="1:8" x14ac:dyDescent="0.2">
      <c r="A76">
        <v>976.12145731639998</v>
      </c>
      <c r="B76">
        <v>1</v>
      </c>
      <c r="C76" s="96">
        <v>2.7839604230958902E-214</v>
      </c>
      <c r="D76" t="s">
        <v>249</v>
      </c>
      <c r="E76" t="s">
        <v>251</v>
      </c>
      <c r="F76" t="s">
        <v>13</v>
      </c>
      <c r="G76" t="s">
        <v>10</v>
      </c>
      <c r="H76" t="s">
        <v>8</v>
      </c>
    </row>
    <row r="77" spans="1:8" x14ac:dyDescent="0.2">
      <c r="A77">
        <v>898.10579589091606</v>
      </c>
      <c r="B77">
        <v>1</v>
      </c>
      <c r="C77" s="96">
        <v>2.53278556939946E-197</v>
      </c>
      <c r="D77" t="s">
        <v>249</v>
      </c>
      <c r="E77" t="s">
        <v>251</v>
      </c>
      <c r="F77" t="s">
        <v>13</v>
      </c>
      <c r="G77" t="s">
        <v>10</v>
      </c>
      <c r="H77" t="s">
        <v>9</v>
      </c>
    </row>
    <row r="78" spans="1:8" x14ac:dyDescent="0.2">
      <c r="A78">
        <v>66.504987933781294</v>
      </c>
      <c r="B78">
        <v>1</v>
      </c>
      <c r="C78" s="96">
        <v>3.4900934361710001E-16</v>
      </c>
      <c r="D78" t="s">
        <v>249</v>
      </c>
      <c r="E78" t="s">
        <v>14</v>
      </c>
      <c r="F78" t="s">
        <v>3</v>
      </c>
      <c r="G78" t="s">
        <v>4</v>
      </c>
      <c r="H78" t="s">
        <v>5</v>
      </c>
    </row>
    <row r="79" spans="1:8" x14ac:dyDescent="0.2">
      <c r="A79">
        <v>67.772882243084197</v>
      </c>
      <c r="B79">
        <v>1</v>
      </c>
      <c r="C79" s="96">
        <v>1.83455351318415E-16</v>
      </c>
      <c r="D79" t="s">
        <v>249</v>
      </c>
      <c r="E79" t="s">
        <v>14</v>
      </c>
      <c r="F79" t="s">
        <v>3</v>
      </c>
      <c r="G79" t="s">
        <v>4</v>
      </c>
      <c r="H79" t="s">
        <v>7</v>
      </c>
    </row>
    <row r="80" spans="1:8" x14ac:dyDescent="0.2">
      <c r="A80">
        <v>67.423903561675502</v>
      </c>
      <c r="B80">
        <v>1</v>
      </c>
      <c r="C80" s="96">
        <v>2.1897786816690301E-16</v>
      </c>
      <c r="D80" t="s">
        <v>249</v>
      </c>
      <c r="E80" t="s">
        <v>14</v>
      </c>
      <c r="F80" t="s">
        <v>3</v>
      </c>
      <c r="G80" t="s">
        <v>4</v>
      </c>
      <c r="H80" t="s">
        <v>8</v>
      </c>
    </row>
    <row r="81" spans="1:8" x14ac:dyDescent="0.2">
      <c r="A81">
        <v>68.261211034044507</v>
      </c>
      <c r="B81">
        <v>1</v>
      </c>
      <c r="C81" s="96">
        <v>1.4321051718604499E-16</v>
      </c>
      <c r="D81" t="s">
        <v>249</v>
      </c>
      <c r="E81" t="s">
        <v>14</v>
      </c>
      <c r="F81" t="s">
        <v>3</v>
      </c>
      <c r="G81" t="s">
        <v>4</v>
      </c>
      <c r="H81" t="s">
        <v>9</v>
      </c>
    </row>
    <row r="82" spans="1:8" x14ac:dyDescent="0.2">
      <c r="A82">
        <v>17.7588613038332</v>
      </c>
      <c r="B82">
        <v>1</v>
      </c>
      <c r="C82" s="96">
        <v>2.5074683809991999E-5</v>
      </c>
      <c r="D82" t="s">
        <v>249</v>
      </c>
      <c r="E82" t="s">
        <v>14</v>
      </c>
      <c r="F82" t="s">
        <v>3</v>
      </c>
      <c r="G82" t="s">
        <v>10</v>
      </c>
      <c r="H82" t="s">
        <v>5</v>
      </c>
    </row>
    <row r="83" spans="1:8" x14ac:dyDescent="0.2">
      <c r="A83">
        <v>21.8836503616754</v>
      </c>
      <c r="B83">
        <v>1</v>
      </c>
      <c r="C83" s="96">
        <v>2.8969162473161101E-6</v>
      </c>
      <c r="D83" t="s">
        <v>249</v>
      </c>
      <c r="E83" t="s">
        <v>14</v>
      </c>
      <c r="F83" t="s">
        <v>3</v>
      </c>
      <c r="G83" t="s">
        <v>10</v>
      </c>
      <c r="H83" t="s">
        <v>7</v>
      </c>
    </row>
    <row r="84" spans="1:8" x14ac:dyDescent="0.2">
      <c r="A84">
        <v>23.164972362975501</v>
      </c>
      <c r="B84">
        <v>1</v>
      </c>
      <c r="C84" s="96">
        <v>1.4868102926491601E-6</v>
      </c>
      <c r="D84" t="s">
        <v>249</v>
      </c>
      <c r="E84" t="s">
        <v>14</v>
      </c>
      <c r="F84" t="s">
        <v>3</v>
      </c>
      <c r="G84" t="s">
        <v>10</v>
      </c>
      <c r="H84" t="s">
        <v>8</v>
      </c>
    </row>
    <row r="85" spans="1:8" x14ac:dyDescent="0.2">
      <c r="A85">
        <v>22.6398029659697</v>
      </c>
      <c r="B85">
        <v>1</v>
      </c>
      <c r="C85" s="96">
        <v>1.95394460475915E-6</v>
      </c>
      <c r="D85" t="s">
        <v>249</v>
      </c>
      <c r="E85" t="s">
        <v>14</v>
      </c>
      <c r="F85" t="s">
        <v>3</v>
      </c>
      <c r="G85" t="s">
        <v>10</v>
      </c>
      <c r="H85" t="s">
        <v>9</v>
      </c>
    </row>
    <row r="86" spans="1:8" x14ac:dyDescent="0.2">
      <c r="A86">
        <v>22.8830037027702</v>
      </c>
      <c r="B86">
        <v>1</v>
      </c>
      <c r="C86" s="96">
        <v>1.72167515233917E-6</v>
      </c>
      <c r="D86" t="s">
        <v>249</v>
      </c>
      <c r="E86" t="s">
        <v>14</v>
      </c>
      <c r="F86" t="s">
        <v>11</v>
      </c>
      <c r="G86" t="s">
        <v>4</v>
      </c>
      <c r="H86" t="s">
        <v>5</v>
      </c>
    </row>
    <row r="87" spans="1:8" x14ac:dyDescent="0.2">
      <c r="A87">
        <v>23.847099668903599</v>
      </c>
      <c r="B87">
        <v>1</v>
      </c>
      <c r="C87" s="96">
        <v>1.0429890763406999E-6</v>
      </c>
      <c r="D87" t="s">
        <v>249</v>
      </c>
      <c r="E87" t="s">
        <v>14</v>
      </c>
      <c r="F87" t="s">
        <v>11</v>
      </c>
      <c r="G87" t="s">
        <v>4</v>
      </c>
      <c r="H87" t="s">
        <v>7</v>
      </c>
    </row>
    <row r="88" spans="1:8" x14ac:dyDescent="0.2">
      <c r="A88">
        <v>23.7006308025157</v>
      </c>
      <c r="B88">
        <v>1</v>
      </c>
      <c r="C88" s="96">
        <v>1.1254564135199E-6</v>
      </c>
      <c r="D88" t="s">
        <v>249</v>
      </c>
      <c r="E88" t="s">
        <v>14</v>
      </c>
      <c r="F88" t="s">
        <v>11</v>
      </c>
      <c r="G88" t="s">
        <v>4</v>
      </c>
      <c r="H88" t="s">
        <v>8</v>
      </c>
    </row>
    <row r="89" spans="1:8" x14ac:dyDescent="0.2">
      <c r="A89">
        <v>23.248868305983599</v>
      </c>
      <c r="B89">
        <v>1</v>
      </c>
      <c r="C89" s="96">
        <v>1.4233417814482799E-6</v>
      </c>
      <c r="D89" t="s">
        <v>249</v>
      </c>
      <c r="E89" t="s">
        <v>14</v>
      </c>
      <c r="F89" t="s">
        <v>11</v>
      </c>
      <c r="G89" t="s">
        <v>4</v>
      </c>
      <c r="H89" t="s">
        <v>9</v>
      </c>
    </row>
    <row r="90" spans="1:8" x14ac:dyDescent="0.2">
      <c r="A90">
        <v>6.5188040624340298</v>
      </c>
      <c r="B90">
        <v>1</v>
      </c>
      <c r="C90">
        <v>1.0673975685367499E-2</v>
      </c>
      <c r="D90" t="s">
        <v>249</v>
      </c>
      <c r="E90" t="s">
        <v>14</v>
      </c>
      <c r="F90" t="s">
        <v>12</v>
      </c>
      <c r="G90" t="s">
        <v>4</v>
      </c>
      <c r="H90" t="s">
        <v>5</v>
      </c>
    </row>
    <row r="91" spans="1:8" x14ac:dyDescent="0.2">
      <c r="A91">
        <v>6.95183030841378</v>
      </c>
      <c r="B91">
        <v>1</v>
      </c>
      <c r="C91">
        <v>8.3733521236199308E-3</v>
      </c>
      <c r="D91" t="s">
        <v>249</v>
      </c>
      <c r="E91" t="s">
        <v>14</v>
      </c>
      <c r="F91" t="s">
        <v>12</v>
      </c>
      <c r="G91" t="s">
        <v>4</v>
      </c>
      <c r="H91" t="s">
        <v>7</v>
      </c>
    </row>
    <row r="92" spans="1:8" x14ac:dyDescent="0.2">
      <c r="A92">
        <v>5.3820493338755497</v>
      </c>
      <c r="B92">
        <v>1</v>
      </c>
      <c r="C92">
        <v>2.0344966060846001E-2</v>
      </c>
      <c r="D92" t="s">
        <v>249</v>
      </c>
      <c r="E92" t="s">
        <v>14</v>
      </c>
      <c r="F92" t="s">
        <v>12</v>
      </c>
      <c r="G92" t="s">
        <v>4</v>
      </c>
      <c r="H92" t="s">
        <v>8</v>
      </c>
    </row>
    <row r="93" spans="1:8" x14ac:dyDescent="0.2">
      <c r="A93">
        <v>6.6846066309583696</v>
      </c>
      <c r="B93">
        <v>1</v>
      </c>
      <c r="C93">
        <v>9.7248980442265608E-3</v>
      </c>
      <c r="D93" t="s">
        <v>249</v>
      </c>
      <c r="E93" t="s">
        <v>14</v>
      </c>
      <c r="F93" t="s">
        <v>12</v>
      </c>
      <c r="G93" t="s">
        <v>4</v>
      </c>
      <c r="H93" t="s">
        <v>9</v>
      </c>
    </row>
    <row r="94" spans="1:8" x14ac:dyDescent="0.2">
      <c r="A94">
        <v>38.0634363151377</v>
      </c>
      <c r="B94">
        <v>1</v>
      </c>
      <c r="C94" s="96">
        <v>6.8481490190243605E-10</v>
      </c>
      <c r="D94" t="s">
        <v>249</v>
      </c>
      <c r="E94" t="s">
        <v>14</v>
      </c>
      <c r="F94" t="s">
        <v>13</v>
      </c>
      <c r="G94" t="s">
        <v>10</v>
      </c>
      <c r="H94" t="s">
        <v>5</v>
      </c>
    </row>
    <row r="95" spans="1:8" x14ac:dyDescent="0.2">
      <c r="A95">
        <v>47.791530470777097</v>
      </c>
      <c r="B95">
        <v>1</v>
      </c>
      <c r="C95" s="96">
        <v>4.7403544941620701E-12</v>
      </c>
      <c r="D95" t="s">
        <v>249</v>
      </c>
      <c r="E95" t="s">
        <v>14</v>
      </c>
      <c r="F95" t="s">
        <v>13</v>
      </c>
      <c r="G95" t="s">
        <v>10</v>
      </c>
      <c r="H95" t="s">
        <v>7</v>
      </c>
    </row>
    <row r="96" spans="1:8" x14ac:dyDescent="0.2">
      <c r="A96">
        <v>54.272192449370301</v>
      </c>
      <c r="B96">
        <v>1</v>
      </c>
      <c r="C96" s="96">
        <v>1.74554588407026E-13</v>
      </c>
      <c r="D96" t="s">
        <v>249</v>
      </c>
      <c r="E96" t="s">
        <v>14</v>
      </c>
      <c r="F96" t="s">
        <v>13</v>
      </c>
      <c r="G96" t="s">
        <v>10</v>
      </c>
      <c r="H96" t="s">
        <v>8</v>
      </c>
    </row>
    <row r="97" spans="1:10" x14ac:dyDescent="0.2">
      <c r="A97">
        <v>49.185206512594803</v>
      </c>
      <c r="B97">
        <v>1</v>
      </c>
      <c r="C97" s="96">
        <v>2.32900527250289E-12</v>
      </c>
      <c r="D97" t="s">
        <v>249</v>
      </c>
      <c r="E97" t="s">
        <v>14</v>
      </c>
      <c r="F97" t="s">
        <v>13</v>
      </c>
      <c r="G97" t="s">
        <v>10</v>
      </c>
      <c r="H97" t="s">
        <v>9</v>
      </c>
    </row>
    <row r="98" spans="1:10" x14ac:dyDescent="0.2">
      <c r="A98">
        <v>6.9520492227362798</v>
      </c>
      <c r="B98">
        <v>4</v>
      </c>
      <c r="C98">
        <v>0.13844400620696501</v>
      </c>
      <c r="D98" t="s">
        <v>249</v>
      </c>
      <c r="E98" t="s">
        <v>9</v>
      </c>
      <c r="F98" t="s">
        <v>3</v>
      </c>
      <c r="G98" t="s">
        <v>4</v>
      </c>
      <c r="H98" t="s">
        <v>9</v>
      </c>
    </row>
    <row r="99" spans="1:10" x14ac:dyDescent="0.2">
      <c r="A99">
        <v>3.2533636199093099</v>
      </c>
      <c r="B99">
        <v>4</v>
      </c>
      <c r="C99">
        <v>0.51635517349472004</v>
      </c>
      <c r="D99" t="s">
        <v>249</v>
      </c>
      <c r="E99" t="s">
        <v>9</v>
      </c>
      <c r="F99" t="s">
        <v>3</v>
      </c>
      <c r="G99" t="s">
        <v>10</v>
      </c>
      <c r="H99" t="s">
        <v>9</v>
      </c>
    </row>
    <row r="100" spans="1:10" s="44" customFormat="1" x14ac:dyDescent="0.2">
      <c r="A100">
        <v>16.271107550504698</v>
      </c>
      <c r="B100">
        <v>4</v>
      </c>
      <c r="C100">
        <v>2.6761396124912302E-3</v>
      </c>
      <c r="D100" t="s">
        <v>249</v>
      </c>
      <c r="E100" t="s">
        <v>9</v>
      </c>
      <c r="F100" t="s">
        <v>11</v>
      </c>
      <c r="G100" t="s">
        <v>4</v>
      </c>
      <c r="H100" t="s">
        <v>9</v>
      </c>
    </row>
    <row r="101" spans="1:10" x14ac:dyDescent="0.2">
      <c r="A101">
        <v>7.3312002225713098</v>
      </c>
      <c r="B101">
        <v>4</v>
      </c>
      <c r="C101">
        <v>0.119387157308242</v>
      </c>
      <c r="D101" t="s">
        <v>252</v>
      </c>
      <c r="E101" t="s">
        <v>9</v>
      </c>
      <c r="F101" t="s">
        <v>11</v>
      </c>
      <c r="G101" t="s">
        <v>10</v>
      </c>
      <c r="H101" t="s">
        <v>9</v>
      </c>
    </row>
    <row r="102" spans="1:10" x14ac:dyDescent="0.2">
      <c r="A102" s="97">
        <v>2.6028170917065601</v>
      </c>
      <c r="B102" s="97">
        <v>4</v>
      </c>
      <c r="C102" s="97">
        <v>0.62632416958747295</v>
      </c>
      <c r="D102" s="97" t="s">
        <v>249</v>
      </c>
      <c r="E102" s="97" t="s">
        <v>9</v>
      </c>
      <c r="F102" s="97" t="s">
        <v>12</v>
      </c>
      <c r="G102" s="97" t="s">
        <v>4</v>
      </c>
      <c r="H102" s="97" t="s">
        <v>9</v>
      </c>
      <c r="I102" s="104" t="s">
        <v>314</v>
      </c>
      <c r="J102" s="97"/>
    </row>
    <row r="103" spans="1:10" x14ac:dyDescent="0.2">
      <c r="A103">
        <v>9.5342442629847106</v>
      </c>
      <c r="B103">
        <v>4</v>
      </c>
      <c r="C103">
        <v>4.9048339858977399E-2</v>
      </c>
      <c r="D103" t="s">
        <v>252</v>
      </c>
      <c r="E103" t="s">
        <v>9</v>
      </c>
      <c r="F103" t="s">
        <v>12</v>
      </c>
      <c r="G103" t="s">
        <v>10</v>
      </c>
      <c r="H103" t="s">
        <v>9</v>
      </c>
    </row>
    <row r="104" spans="1:10" s="44" customFormat="1" x14ac:dyDescent="0.2">
      <c r="A104" s="99">
        <v>10.117759446015601</v>
      </c>
      <c r="B104" s="99">
        <v>4</v>
      </c>
      <c r="C104" s="101">
        <v>3.8490077267993403E-2</v>
      </c>
      <c r="D104" s="99" t="s">
        <v>252</v>
      </c>
      <c r="E104" s="99" t="s">
        <v>9</v>
      </c>
      <c r="F104" s="99" t="s">
        <v>13</v>
      </c>
      <c r="G104" s="99" t="s">
        <v>4</v>
      </c>
      <c r="H104" s="99" t="s">
        <v>9</v>
      </c>
      <c r="I104" s="99" t="s">
        <v>315</v>
      </c>
      <c r="J104" s="99"/>
    </row>
    <row r="105" spans="1:10" x14ac:dyDescent="0.2">
      <c r="A105">
        <v>2.0478924864757899</v>
      </c>
      <c r="B105">
        <v>4</v>
      </c>
      <c r="C105">
        <v>0.72695038366558595</v>
      </c>
      <c r="D105" t="s">
        <v>249</v>
      </c>
      <c r="E105" t="s">
        <v>9</v>
      </c>
      <c r="F105" t="s">
        <v>13</v>
      </c>
      <c r="G105" t="s">
        <v>10</v>
      </c>
      <c r="H105" t="s">
        <v>9</v>
      </c>
    </row>
    <row r="106" spans="1:10" x14ac:dyDescent="0.2">
      <c r="A106">
        <v>204.68585395157001</v>
      </c>
      <c r="B106">
        <v>1</v>
      </c>
      <c r="C106" s="96">
        <v>1.9830389729603599E-46</v>
      </c>
      <c r="D106" t="s">
        <v>249</v>
      </c>
      <c r="E106" t="s">
        <v>6</v>
      </c>
      <c r="F106" t="s">
        <v>3</v>
      </c>
      <c r="G106" t="s">
        <v>4</v>
      </c>
      <c r="H106" t="s">
        <v>5</v>
      </c>
    </row>
    <row r="107" spans="1:10" x14ac:dyDescent="0.2">
      <c r="A107">
        <v>202.20942594063499</v>
      </c>
      <c r="B107">
        <v>1</v>
      </c>
      <c r="C107" s="96">
        <v>6.8817454999099197E-46</v>
      </c>
      <c r="D107" t="s">
        <v>249</v>
      </c>
      <c r="E107" t="s">
        <v>6</v>
      </c>
      <c r="F107" t="s">
        <v>3</v>
      </c>
      <c r="G107" t="s">
        <v>4</v>
      </c>
      <c r="H107" t="s">
        <v>7</v>
      </c>
    </row>
    <row r="108" spans="1:10" x14ac:dyDescent="0.2">
      <c r="A108">
        <v>198.17850041278399</v>
      </c>
      <c r="B108">
        <v>1</v>
      </c>
      <c r="C108" s="96">
        <v>5.21594209453367E-45</v>
      </c>
      <c r="D108" t="s">
        <v>249</v>
      </c>
      <c r="E108" t="s">
        <v>6</v>
      </c>
      <c r="F108" t="s">
        <v>3</v>
      </c>
      <c r="G108" t="s">
        <v>4</v>
      </c>
      <c r="H108" t="s">
        <v>8</v>
      </c>
    </row>
    <row r="109" spans="1:10" x14ac:dyDescent="0.2">
      <c r="A109">
        <v>199.94675701123199</v>
      </c>
      <c r="B109">
        <v>1</v>
      </c>
      <c r="C109" s="96">
        <v>2.1451156781821001E-45</v>
      </c>
      <c r="D109" t="s">
        <v>249</v>
      </c>
      <c r="E109" t="s">
        <v>6</v>
      </c>
      <c r="F109" t="s">
        <v>3</v>
      </c>
      <c r="G109" t="s">
        <v>4</v>
      </c>
      <c r="H109" t="s">
        <v>9</v>
      </c>
    </row>
    <row r="110" spans="1:10" x14ac:dyDescent="0.2">
      <c r="A110">
        <v>1.3985511173207601</v>
      </c>
      <c r="B110">
        <v>1</v>
      </c>
      <c r="C110">
        <v>0.23696631149047101</v>
      </c>
      <c r="D110" t="s">
        <v>249</v>
      </c>
      <c r="E110" t="s">
        <v>6</v>
      </c>
      <c r="F110" t="s">
        <v>3</v>
      </c>
      <c r="G110" t="s">
        <v>10</v>
      </c>
      <c r="H110" t="s">
        <v>5</v>
      </c>
    </row>
    <row r="111" spans="1:10" x14ac:dyDescent="0.2">
      <c r="A111">
        <v>3.0471829793244498</v>
      </c>
      <c r="B111">
        <v>1</v>
      </c>
      <c r="C111">
        <v>8.0877313631019201E-2</v>
      </c>
      <c r="D111" t="s">
        <v>249</v>
      </c>
      <c r="E111" t="s">
        <v>6</v>
      </c>
      <c r="F111" t="s">
        <v>3</v>
      </c>
      <c r="G111" t="s">
        <v>10</v>
      </c>
      <c r="H111" t="s">
        <v>7</v>
      </c>
    </row>
    <row r="112" spans="1:10" x14ac:dyDescent="0.2">
      <c r="A112">
        <v>5.2846763302263096</v>
      </c>
      <c r="B112">
        <v>1</v>
      </c>
      <c r="C112">
        <v>2.1513890785808201E-2</v>
      </c>
      <c r="D112" t="s">
        <v>249</v>
      </c>
      <c r="E112" t="s">
        <v>6</v>
      </c>
      <c r="F112" t="s">
        <v>3</v>
      </c>
      <c r="G112" t="s">
        <v>10</v>
      </c>
      <c r="H112" t="s">
        <v>8</v>
      </c>
    </row>
    <row r="113" spans="1:8" x14ac:dyDescent="0.2">
      <c r="A113">
        <v>2.3055666773359098</v>
      </c>
      <c r="B113">
        <v>1</v>
      </c>
      <c r="C113">
        <v>0.128911259021844</v>
      </c>
      <c r="D113" t="s">
        <v>249</v>
      </c>
      <c r="E113" t="s">
        <v>6</v>
      </c>
      <c r="F113" t="s">
        <v>3</v>
      </c>
      <c r="G113" t="s">
        <v>10</v>
      </c>
      <c r="H113" t="s">
        <v>9</v>
      </c>
    </row>
    <row r="114" spans="1:8" x14ac:dyDescent="0.2">
      <c r="A114">
        <v>2.19511651615053E-2</v>
      </c>
      <c r="B114">
        <v>1</v>
      </c>
      <c r="C114">
        <v>0.88221708581373903</v>
      </c>
      <c r="D114" t="s">
        <v>249</v>
      </c>
      <c r="E114" t="s">
        <v>6</v>
      </c>
      <c r="F114" t="s">
        <v>11</v>
      </c>
      <c r="G114" t="s">
        <v>4</v>
      </c>
      <c r="H114" t="s">
        <v>5</v>
      </c>
    </row>
    <row r="115" spans="1:8" x14ac:dyDescent="0.2">
      <c r="A115">
        <v>2.2294241249641001E-3</v>
      </c>
      <c r="B115">
        <v>1</v>
      </c>
      <c r="C115">
        <v>0.96234045552319702</v>
      </c>
      <c r="D115" t="s">
        <v>249</v>
      </c>
      <c r="E115" t="s">
        <v>6</v>
      </c>
      <c r="F115" t="s">
        <v>11</v>
      </c>
      <c r="G115" t="s">
        <v>4</v>
      </c>
      <c r="H115" t="s">
        <v>7</v>
      </c>
    </row>
    <row r="116" spans="1:8" x14ac:dyDescent="0.2">
      <c r="A116">
        <v>0.26647034325803698</v>
      </c>
      <c r="B116">
        <v>1</v>
      </c>
      <c r="C116">
        <v>0.60570938424785603</v>
      </c>
      <c r="D116" t="s">
        <v>249</v>
      </c>
      <c r="E116" t="s">
        <v>6</v>
      </c>
      <c r="F116" t="s">
        <v>11</v>
      </c>
      <c r="G116" t="s">
        <v>4</v>
      </c>
      <c r="H116" t="s">
        <v>8</v>
      </c>
    </row>
    <row r="117" spans="1:8" x14ac:dyDescent="0.2">
      <c r="A117">
        <v>0.38226139236087198</v>
      </c>
      <c r="B117">
        <v>1</v>
      </c>
      <c r="C117">
        <v>0.53639545542559697</v>
      </c>
      <c r="D117" t="s">
        <v>249</v>
      </c>
      <c r="E117" t="s">
        <v>6</v>
      </c>
      <c r="F117" t="s">
        <v>11</v>
      </c>
      <c r="G117" t="s">
        <v>4</v>
      </c>
      <c r="H117" t="s">
        <v>9</v>
      </c>
    </row>
    <row r="118" spans="1:8" x14ac:dyDescent="0.2">
      <c r="A118">
        <v>94.524379871487696</v>
      </c>
      <c r="B118">
        <v>1</v>
      </c>
      <c r="C118" s="96">
        <v>2.4209228003871802E-22</v>
      </c>
      <c r="D118" t="s">
        <v>252</v>
      </c>
      <c r="E118" t="s">
        <v>6</v>
      </c>
      <c r="F118" t="s">
        <v>11</v>
      </c>
      <c r="G118" t="s">
        <v>10</v>
      </c>
      <c r="H118" t="s">
        <v>5</v>
      </c>
    </row>
    <row r="119" spans="1:8" x14ac:dyDescent="0.2">
      <c r="A119">
        <v>540.88574205061502</v>
      </c>
      <c r="B119">
        <v>1</v>
      </c>
      <c r="C119" s="96">
        <v>1.20987773375073E-119</v>
      </c>
      <c r="D119" t="s">
        <v>252</v>
      </c>
      <c r="E119" t="s">
        <v>6</v>
      </c>
      <c r="F119" t="s">
        <v>11</v>
      </c>
      <c r="G119" t="s">
        <v>10</v>
      </c>
      <c r="H119" t="s">
        <v>7</v>
      </c>
    </row>
    <row r="120" spans="1:8" x14ac:dyDescent="0.2">
      <c r="A120">
        <v>218.50950615359</v>
      </c>
      <c r="B120">
        <v>1</v>
      </c>
      <c r="C120" s="96">
        <v>1.9120675094643899E-49</v>
      </c>
      <c r="D120" t="s">
        <v>252</v>
      </c>
      <c r="E120" t="s">
        <v>6</v>
      </c>
      <c r="F120" t="s">
        <v>11</v>
      </c>
      <c r="G120" t="s">
        <v>10</v>
      </c>
      <c r="H120" t="s">
        <v>8</v>
      </c>
    </row>
    <row r="121" spans="1:8" x14ac:dyDescent="0.2">
      <c r="A121">
        <v>158.99928873038499</v>
      </c>
      <c r="B121">
        <v>1</v>
      </c>
      <c r="C121" s="96">
        <v>1.8719569498258401E-36</v>
      </c>
      <c r="D121" t="s">
        <v>252</v>
      </c>
      <c r="E121" t="s">
        <v>6</v>
      </c>
      <c r="F121" t="s">
        <v>11</v>
      </c>
      <c r="G121" t="s">
        <v>10</v>
      </c>
      <c r="H121" t="s">
        <v>9</v>
      </c>
    </row>
    <row r="122" spans="1:8" x14ac:dyDescent="0.2">
      <c r="A122">
        <v>372.89713471270699</v>
      </c>
      <c r="B122">
        <v>1</v>
      </c>
      <c r="C122" s="96">
        <v>4.3792993619739998E-83</v>
      </c>
      <c r="D122" t="s">
        <v>249</v>
      </c>
      <c r="E122" t="s">
        <v>6</v>
      </c>
      <c r="F122" t="s">
        <v>12</v>
      </c>
      <c r="G122" t="s">
        <v>4</v>
      </c>
      <c r="H122" t="s">
        <v>5</v>
      </c>
    </row>
    <row r="123" spans="1:8" x14ac:dyDescent="0.2">
      <c r="A123">
        <v>373.65803151025102</v>
      </c>
      <c r="B123">
        <v>1</v>
      </c>
      <c r="C123" s="96">
        <v>2.99045792599007E-83</v>
      </c>
      <c r="D123" t="s">
        <v>249</v>
      </c>
      <c r="E123" t="s">
        <v>6</v>
      </c>
      <c r="F123" t="s">
        <v>12</v>
      </c>
      <c r="G123" t="s">
        <v>4</v>
      </c>
      <c r="H123" t="s">
        <v>7</v>
      </c>
    </row>
    <row r="124" spans="1:8" x14ac:dyDescent="0.2">
      <c r="A124">
        <v>377.44740880601501</v>
      </c>
      <c r="B124">
        <v>1</v>
      </c>
      <c r="C124" s="96">
        <v>4.4740962709868497E-84</v>
      </c>
      <c r="D124" t="s">
        <v>249</v>
      </c>
      <c r="E124" t="s">
        <v>6</v>
      </c>
      <c r="F124" t="s">
        <v>12</v>
      </c>
      <c r="G124" t="s">
        <v>4</v>
      </c>
      <c r="H124" t="s">
        <v>8</v>
      </c>
    </row>
    <row r="125" spans="1:8" x14ac:dyDescent="0.2">
      <c r="A125">
        <v>373.55635191508799</v>
      </c>
      <c r="B125">
        <v>1</v>
      </c>
      <c r="C125" s="96">
        <v>3.1468491584487001E-83</v>
      </c>
      <c r="D125" t="s">
        <v>249</v>
      </c>
      <c r="E125" t="s">
        <v>6</v>
      </c>
      <c r="F125" t="s">
        <v>12</v>
      </c>
      <c r="G125" t="s">
        <v>4</v>
      </c>
      <c r="H125" t="s">
        <v>9</v>
      </c>
    </row>
    <row r="126" spans="1:8" x14ac:dyDescent="0.2">
      <c r="A126">
        <v>1779.7260137594801</v>
      </c>
      <c r="B126">
        <v>1</v>
      </c>
      <c r="C126">
        <v>0</v>
      </c>
      <c r="D126" t="s">
        <v>252</v>
      </c>
      <c r="E126" t="s">
        <v>6</v>
      </c>
      <c r="F126" t="s">
        <v>12</v>
      </c>
      <c r="G126" t="s">
        <v>10</v>
      </c>
      <c r="H126" t="s">
        <v>5</v>
      </c>
    </row>
    <row r="127" spans="1:8" x14ac:dyDescent="0.2">
      <c r="A127">
        <v>1771.7258348507801</v>
      </c>
      <c r="B127">
        <v>1</v>
      </c>
      <c r="C127">
        <v>0</v>
      </c>
      <c r="D127" t="s">
        <v>252</v>
      </c>
      <c r="E127" t="s">
        <v>6</v>
      </c>
      <c r="F127" t="s">
        <v>12</v>
      </c>
      <c r="G127" t="s">
        <v>10</v>
      </c>
      <c r="H127" t="s">
        <v>7</v>
      </c>
    </row>
    <row r="128" spans="1:8" x14ac:dyDescent="0.2">
      <c r="A128">
        <v>1778.71117653128</v>
      </c>
      <c r="B128">
        <v>1</v>
      </c>
      <c r="C128">
        <v>0</v>
      </c>
      <c r="D128" t="s">
        <v>252</v>
      </c>
      <c r="E128" t="s">
        <v>6</v>
      </c>
      <c r="F128" t="s">
        <v>12</v>
      </c>
      <c r="G128" t="s">
        <v>10</v>
      </c>
      <c r="H128" t="s">
        <v>8</v>
      </c>
    </row>
    <row r="129" spans="1:8" x14ac:dyDescent="0.2">
      <c r="A129">
        <v>1777.5240659696401</v>
      </c>
      <c r="B129">
        <v>1</v>
      </c>
      <c r="C129">
        <v>0</v>
      </c>
      <c r="D129" t="s">
        <v>252</v>
      </c>
      <c r="E129" t="s">
        <v>6</v>
      </c>
      <c r="F129" t="s">
        <v>12</v>
      </c>
      <c r="G129" t="s">
        <v>10</v>
      </c>
      <c r="H129" t="s">
        <v>9</v>
      </c>
    </row>
    <row r="130" spans="1:8" x14ac:dyDescent="0.2">
      <c r="A130">
        <v>510.04564252182303</v>
      </c>
      <c r="B130">
        <v>1</v>
      </c>
      <c r="C130" s="96">
        <v>6.1984650932245597E-113</v>
      </c>
      <c r="D130" t="s">
        <v>252</v>
      </c>
      <c r="E130" t="s">
        <v>6</v>
      </c>
      <c r="F130" t="s">
        <v>13</v>
      </c>
      <c r="G130" t="s">
        <v>4</v>
      </c>
      <c r="H130" t="s">
        <v>5</v>
      </c>
    </row>
    <row r="131" spans="1:8" x14ac:dyDescent="0.2">
      <c r="A131">
        <v>503.086046466428</v>
      </c>
      <c r="B131">
        <v>1</v>
      </c>
      <c r="C131" s="96">
        <v>2.02541005453363E-111</v>
      </c>
      <c r="D131" t="s">
        <v>252</v>
      </c>
      <c r="E131" t="s">
        <v>6</v>
      </c>
      <c r="F131" t="s">
        <v>13</v>
      </c>
      <c r="G131" t="s">
        <v>4</v>
      </c>
      <c r="H131" t="s">
        <v>7</v>
      </c>
    </row>
    <row r="132" spans="1:8" x14ac:dyDescent="0.2">
      <c r="A132">
        <v>493.05741821089401</v>
      </c>
      <c r="B132">
        <v>1</v>
      </c>
      <c r="C132" s="96">
        <v>3.0800439980529902E-109</v>
      </c>
      <c r="D132" t="s">
        <v>252</v>
      </c>
      <c r="E132" t="s">
        <v>6</v>
      </c>
      <c r="F132" t="s">
        <v>13</v>
      </c>
      <c r="G132" t="s">
        <v>4</v>
      </c>
      <c r="H132" t="s">
        <v>8</v>
      </c>
    </row>
    <row r="133" spans="1:8" x14ac:dyDescent="0.2">
      <c r="A133">
        <v>506.334783661362</v>
      </c>
      <c r="B133">
        <v>1</v>
      </c>
      <c r="C133" s="96">
        <v>3.9780146875797601E-112</v>
      </c>
      <c r="D133" t="s">
        <v>252</v>
      </c>
      <c r="E133" t="s">
        <v>6</v>
      </c>
      <c r="F133" t="s">
        <v>13</v>
      </c>
      <c r="G133" t="s">
        <v>4</v>
      </c>
      <c r="H133" t="s">
        <v>9</v>
      </c>
    </row>
    <row r="134" spans="1:8" x14ac:dyDescent="0.2">
      <c r="A134">
        <v>70.288602902665403</v>
      </c>
      <c r="B134">
        <v>1</v>
      </c>
      <c r="C134" s="96">
        <v>5.1232837862335003E-17</v>
      </c>
      <c r="D134" t="s">
        <v>249</v>
      </c>
      <c r="E134" t="s">
        <v>6</v>
      </c>
      <c r="F134" t="s">
        <v>13</v>
      </c>
      <c r="G134" t="s">
        <v>10</v>
      </c>
      <c r="H134" t="s">
        <v>5</v>
      </c>
    </row>
    <row r="135" spans="1:8" x14ac:dyDescent="0.2">
      <c r="A135">
        <v>59.518890828428098</v>
      </c>
      <c r="B135">
        <v>1</v>
      </c>
      <c r="C135" s="96">
        <v>1.2112581353884599E-14</v>
      </c>
      <c r="D135" t="s">
        <v>249</v>
      </c>
      <c r="E135" t="s">
        <v>6</v>
      </c>
      <c r="F135" t="s">
        <v>13</v>
      </c>
      <c r="G135" t="s">
        <v>10</v>
      </c>
      <c r="H135" t="s">
        <v>7</v>
      </c>
    </row>
    <row r="136" spans="1:8" x14ac:dyDescent="0.2">
      <c r="A136">
        <v>83.855351350885002</v>
      </c>
      <c r="B136">
        <v>1</v>
      </c>
      <c r="C136" s="96">
        <v>5.3233303187281703E-20</v>
      </c>
      <c r="D136" t="s">
        <v>249</v>
      </c>
      <c r="E136" t="s">
        <v>6</v>
      </c>
      <c r="F136" t="s">
        <v>13</v>
      </c>
      <c r="G136" t="s">
        <v>10</v>
      </c>
      <c r="H136" t="s">
        <v>8</v>
      </c>
    </row>
    <row r="137" spans="1:8" x14ac:dyDescent="0.2">
      <c r="A137">
        <v>65.811624618184695</v>
      </c>
      <c r="B137">
        <v>1</v>
      </c>
      <c r="C137" s="96">
        <v>4.9614735258530897E-16</v>
      </c>
      <c r="D137" t="s">
        <v>249</v>
      </c>
      <c r="E137" t="s">
        <v>6</v>
      </c>
      <c r="F137" t="s">
        <v>13</v>
      </c>
      <c r="G137" t="s">
        <v>10</v>
      </c>
      <c r="H137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DDA2A-C061-9A47-B5B3-65912C573033}">
  <dimension ref="A1:M62"/>
  <sheetViews>
    <sheetView topLeftCell="A28" workbookViewId="0">
      <selection activeCell="K47" sqref="K47"/>
    </sheetView>
  </sheetViews>
  <sheetFormatPr baseColWidth="10" defaultRowHeight="16" x14ac:dyDescent="0.2"/>
  <cols>
    <col min="3" max="3" width="11.1640625" bestFit="1" customWidth="1"/>
    <col min="4" max="4" width="14.33203125" bestFit="1" customWidth="1"/>
  </cols>
  <sheetData>
    <row r="1" spans="1:13" x14ac:dyDescent="0.2">
      <c r="A1" s="82"/>
      <c r="B1" s="83">
        <v>2.5000000000000001E-2</v>
      </c>
      <c r="C1" s="83">
        <v>0.97499999999999998</v>
      </c>
      <c r="D1" s="82" t="s">
        <v>0</v>
      </c>
      <c r="E1" s="82" t="s">
        <v>100</v>
      </c>
      <c r="F1" s="82" t="s">
        <v>253</v>
      </c>
      <c r="I1" s="120">
        <v>2.5000000000000001E-2</v>
      </c>
      <c r="J1" s="120">
        <v>0.97499999999999998</v>
      </c>
      <c r="K1" t="s">
        <v>0</v>
      </c>
      <c r="L1" t="s">
        <v>100</v>
      </c>
      <c r="M1" t="s">
        <v>253</v>
      </c>
    </row>
    <row r="2" spans="1:13" x14ac:dyDescent="0.2">
      <c r="A2" s="82" t="s">
        <v>254</v>
      </c>
      <c r="B2" s="82" t="s">
        <v>105</v>
      </c>
      <c r="C2" s="82" t="s">
        <v>105</v>
      </c>
      <c r="D2" s="82" t="s">
        <v>254</v>
      </c>
      <c r="E2" s="82" t="s">
        <v>13</v>
      </c>
      <c r="F2" s="82" t="s">
        <v>255</v>
      </c>
      <c r="H2" t="s">
        <v>254</v>
      </c>
      <c r="I2" t="s">
        <v>105</v>
      </c>
      <c r="J2" t="s">
        <v>105</v>
      </c>
      <c r="K2" t="s">
        <v>254</v>
      </c>
      <c r="L2" t="s">
        <v>13</v>
      </c>
      <c r="M2" t="s">
        <v>255</v>
      </c>
    </row>
    <row r="3" spans="1:13" x14ac:dyDescent="0.2">
      <c r="A3" s="82" t="s">
        <v>259</v>
      </c>
      <c r="B3" s="82" t="s">
        <v>105</v>
      </c>
      <c r="C3" s="82" t="s">
        <v>105</v>
      </c>
      <c r="D3" s="82" t="s">
        <v>254</v>
      </c>
      <c r="E3" s="82" t="s">
        <v>12</v>
      </c>
      <c r="F3" s="82" t="s">
        <v>255</v>
      </c>
      <c r="H3" t="s">
        <v>259</v>
      </c>
      <c r="I3" t="s">
        <v>105</v>
      </c>
      <c r="J3" t="s">
        <v>105</v>
      </c>
      <c r="K3" t="s">
        <v>254</v>
      </c>
      <c r="L3" t="s">
        <v>12</v>
      </c>
      <c r="M3" t="s">
        <v>255</v>
      </c>
    </row>
    <row r="4" spans="1:13" x14ac:dyDescent="0.2">
      <c r="A4" s="82" t="s">
        <v>266</v>
      </c>
      <c r="B4" s="82" t="s">
        <v>105</v>
      </c>
      <c r="C4" s="82" t="s">
        <v>105</v>
      </c>
      <c r="D4" s="82" t="s">
        <v>254</v>
      </c>
      <c r="E4" s="82" t="s">
        <v>11</v>
      </c>
      <c r="F4" s="82" t="s">
        <v>255</v>
      </c>
      <c r="H4" t="s">
        <v>266</v>
      </c>
      <c r="I4" t="s">
        <v>105</v>
      </c>
      <c r="J4" t="s">
        <v>105</v>
      </c>
      <c r="K4" t="s">
        <v>254</v>
      </c>
      <c r="L4" t="s">
        <v>11</v>
      </c>
      <c r="M4" t="s">
        <v>255</v>
      </c>
    </row>
    <row r="5" spans="1:13" x14ac:dyDescent="0.2">
      <c r="A5" s="82" t="s">
        <v>274</v>
      </c>
      <c r="B5" s="82" t="s">
        <v>105</v>
      </c>
      <c r="C5" s="82" t="s">
        <v>105</v>
      </c>
      <c r="D5" s="82" t="s">
        <v>254</v>
      </c>
      <c r="E5" s="82" t="s">
        <v>3</v>
      </c>
      <c r="F5" s="82" t="s">
        <v>255</v>
      </c>
      <c r="H5" t="s">
        <v>274</v>
      </c>
      <c r="I5" t="s">
        <v>105</v>
      </c>
      <c r="J5" t="s">
        <v>105</v>
      </c>
      <c r="K5" t="s">
        <v>254</v>
      </c>
      <c r="L5" t="s">
        <v>3</v>
      </c>
      <c r="M5" t="s">
        <v>255</v>
      </c>
    </row>
    <row r="6" spans="1:13" x14ac:dyDescent="0.2">
      <c r="A6" s="82" t="s">
        <v>282</v>
      </c>
      <c r="B6" s="82" t="s">
        <v>105</v>
      </c>
      <c r="C6" s="82" t="s">
        <v>105</v>
      </c>
      <c r="D6" s="82" t="s">
        <v>254</v>
      </c>
      <c r="E6" s="82" t="s">
        <v>13</v>
      </c>
      <c r="F6" s="82" t="s">
        <v>283</v>
      </c>
      <c r="H6" t="s">
        <v>282</v>
      </c>
      <c r="I6" t="s">
        <v>105</v>
      </c>
      <c r="J6" t="s">
        <v>105</v>
      </c>
      <c r="K6" t="s">
        <v>254</v>
      </c>
      <c r="L6" t="s">
        <v>13</v>
      </c>
      <c r="M6" t="s">
        <v>283</v>
      </c>
    </row>
    <row r="7" spans="1:13" x14ac:dyDescent="0.2">
      <c r="A7" s="82" t="s">
        <v>291</v>
      </c>
      <c r="B7" s="82" t="s">
        <v>105</v>
      </c>
      <c r="C7" s="82" t="s">
        <v>105</v>
      </c>
      <c r="D7" s="82" t="s">
        <v>254</v>
      </c>
      <c r="E7" s="82" t="s">
        <v>12</v>
      </c>
      <c r="F7" s="82" t="s">
        <v>283</v>
      </c>
      <c r="H7" t="s">
        <v>291</v>
      </c>
      <c r="I7" t="s">
        <v>105</v>
      </c>
      <c r="J7" t="s">
        <v>105</v>
      </c>
      <c r="K7" t="s">
        <v>254</v>
      </c>
      <c r="L7" t="s">
        <v>12</v>
      </c>
      <c r="M7" t="s">
        <v>283</v>
      </c>
    </row>
    <row r="8" spans="1:13" x14ac:dyDescent="0.2">
      <c r="A8" s="82" t="s">
        <v>298</v>
      </c>
      <c r="B8" s="82" t="s">
        <v>105</v>
      </c>
      <c r="C8" s="82" t="s">
        <v>105</v>
      </c>
      <c r="D8" s="82" t="s">
        <v>254</v>
      </c>
      <c r="E8" s="82" t="s">
        <v>11</v>
      </c>
      <c r="F8" s="82" t="s">
        <v>283</v>
      </c>
      <c r="H8" t="s">
        <v>298</v>
      </c>
      <c r="I8" t="s">
        <v>105</v>
      </c>
      <c r="J8" t="s">
        <v>105</v>
      </c>
      <c r="K8" t="s">
        <v>254</v>
      </c>
      <c r="L8" t="s">
        <v>11</v>
      </c>
      <c r="M8" t="s">
        <v>283</v>
      </c>
    </row>
    <row r="9" spans="1:13" x14ac:dyDescent="0.2">
      <c r="A9" s="82" t="s">
        <v>305</v>
      </c>
      <c r="B9" s="82" t="s">
        <v>105</v>
      </c>
      <c r="C9" s="82" t="s">
        <v>105</v>
      </c>
      <c r="D9" s="82" t="s">
        <v>254</v>
      </c>
      <c r="E9" s="82" t="s">
        <v>3</v>
      </c>
      <c r="F9" s="82" t="s">
        <v>283</v>
      </c>
      <c r="H9" t="s">
        <v>305</v>
      </c>
      <c r="I9" t="s">
        <v>105</v>
      </c>
      <c r="J9" t="s">
        <v>105</v>
      </c>
      <c r="K9" t="s">
        <v>254</v>
      </c>
      <c r="L9" t="s">
        <v>3</v>
      </c>
      <c r="M9" t="s">
        <v>283</v>
      </c>
    </row>
    <row r="10" spans="1:13" x14ac:dyDescent="0.2">
      <c r="A10" s="82" t="s">
        <v>256</v>
      </c>
      <c r="B10" s="82" t="s">
        <v>105</v>
      </c>
      <c r="C10" s="82" t="s">
        <v>105</v>
      </c>
      <c r="D10" s="82" t="s">
        <v>256</v>
      </c>
      <c r="E10" s="82" t="s">
        <v>13</v>
      </c>
      <c r="F10" s="82" t="s">
        <v>255</v>
      </c>
      <c r="H10" t="s">
        <v>256</v>
      </c>
      <c r="I10" t="s">
        <v>105</v>
      </c>
      <c r="J10" t="s">
        <v>105</v>
      </c>
      <c r="K10" t="s">
        <v>256</v>
      </c>
      <c r="L10" t="s">
        <v>13</v>
      </c>
      <c r="M10" t="s">
        <v>255</v>
      </c>
    </row>
    <row r="11" spans="1:13" x14ac:dyDescent="0.2">
      <c r="A11" s="82" t="s">
        <v>260</v>
      </c>
      <c r="B11" s="82" t="s">
        <v>105</v>
      </c>
      <c r="C11" s="82" t="s">
        <v>105</v>
      </c>
      <c r="D11" s="82" t="s">
        <v>256</v>
      </c>
      <c r="E11" s="82" t="s">
        <v>12</v>
      </c>
      <c r="F11" s="82" t="s">
        <v>255</v>
      </c>
      <c r="H11" t="s">
        <v>260</v>
      </c>
      <c r="I11" t="s">
        <v>105</v>
      </c>
      <c r="J11" t="s">
        <v>105</v>
      </c>
      <c r="K11" t="s">
        <v>256</v>
      </c>
      <c r="L11" t="s">
        <v>12</v>
      </c>
      <c r="M11" t="s">
        <v>255</v>
      </c>
    </row>
    <row r="12" spans="1:13" x14ac:dyDescent="0.2">
      <c r="A12" s="82" t="s">
        <v>267</v>
      </c>
      <c r="B12" s="82" t="s">
        <v>105</v>
      </c>
      <c r="C12" s="82" t="s">
        <v>105</v>
      </c>
      <c r="D12" s="82" t="s">
        <v>256</v>
      </c>
      <c r="E12" s="82" t="s">
        <v>11</v>
      </c>
      <c r="F12" s="82" t="s">
        <v>255</v>
      </c>
      <c r="H12" t="s">
        <v>267</v>
      </c>
      <c r="I12" t="s">
        <v>105</v>
      </c>
      <c r="J12" t="s">
        <v>105</v>
      </c>
      <c r="K12" t="s">
        <v>256</v>
      </c>
      <c r="L12" t="s">
        <v>11</v>
      </c>
      <c r="M12" t="s">
        <v>255</v>
      </c>
    </row>
    <row r="13" spans="1:13" x14ac:dyDescent="0.2">
      <c r="A13" s="82" t="s">
        <v>275</v>
      </c>
      <c r="B13" s="82" t="s">
        <v>105</v>
      </c>
      <c r="C13" s="82" t="s">
        <v>105</v>
      </c>
      <c r="D13" s="82" t="s">
        <v>256</v>
      </c>
      <c r="E13" s="82" t="s">
        <v>3</v>
      </c>
      <c r="F13" s="82" t="s">
        <v>255</v>
      </c>
      <c r="H13" t="s">
        <v>275</v>
      </c>
      <c r="I13" t="s">
        <v>105</v>
      </c>
      <c r="J13" t="s">
        <v>105</v>
      </c>
      <c r="K13" t="s">
        <v>256</v>
      </c>
      <c r="L13" t="s">
        <v>3</v>
      </c>
      <c r="M13" t="s">
        <v>255</v>
      </c>
    </row>
    <row r="14" spans="1:13" x14ac:dyDescent="0.2">
      <c r="A14" s="82" t="s">
        <v>284</v>
      </c>
      <c r="B14" s="82" t="s">
        <v>105</v>
      </c>
      <c r="C14" s="82" t="s">
        <v>105</v>
      </c>
      <c r="D14" s="82" t="s">
        <v>256</v>
      </c>
      <c r="E14" s="82" t="s">
        <v>13</v>
      </c>
      <c r="F14" s="82" t="s">
        <v>283</v>
      </c>
      <c r="H14" t="s">
        <v>284</v>
      </c>
      <c r="I14" t="s">
        <v>105</v>
      </c>
      <c r="J14" t="s">
        <v>105</v>
      </c>
      <c r="K14" t="s">
        <v>256</v>
      </c>
      <c r="L14" t="s">
        <v>13</v>
      </c>
      <c r="M14" t="s">
        <v>283</v>
      </c>
    </row>
    <row r="15" spans="1:13" x14ac:dyDescent="0.2">
      <c r="A15" s="82" t="s">
        <v>292</v>
      </c>
      <c r="B15" s="82" t="s">
        <v>105</v>
      </c>
      <c r="C15" s="82" t="s">
        <v>105</v>
      </c>
      <c r="D15" s="82" t="s">
        <v>256</v>
      </c>
      <c r="E15" s="82" t="s">
        <v>12</v>
      </c>
      <c r="F15" s="82" t="s">
        <v>283</v>
      </c>
      <c r="H15" t="s">
        <v>292</v>
      </c>
      <c r="I15" t="s">
        <v>105</v>
      </c>
      <c r="J15" t="s">
        <v>105</v>
      </c>
      <c r="K15" t="s">
        <v>256</v>
      </c>
      <c r="L15" t="s">
        <v>12</v>
      </c>
      <c r="M15" t="s">
        <v>283</v>
      </c>
    </row>
    <row r="16" spans="1:13" x14ac:dyDescent="0.2">
      <c r="A16" s="82" t="s">
        <v>299</v>
      </c>
      <c r="B16" s="82" t="s">
        <v>105</v>
      </c>
      <c r="C16" s="82" t="s">
        <v>105</v>
      </c>
      <c r="D16" s="82" t="s">
        <v>256</v>
      </c>
      <c r="E16" s="82" t="s">
        <v>11</v>
      </c>
      <c r="F16" s="82" t="s">
        <v>283</v>
      </c>
      <c r="H16" t="s">
        <v>299</v>
      </c>
      <c r="I16" t="s">
        <v>105</v>
      </c>
      <c r="J16" t="s">
        <v>105</v>
      </c>
      <c r="K16" t="s">
        <v>256</v>
      </c>
      <c r="L16" t="s">
        <v>11</v>
      </c>
      <c r="M16" t="s">
        <v>283</v>
      </c>
    </row>
    <row r="17" spans="1:13" x14ac:dyDescent="0.2">
      <c r="A17" s="82" t="s">
        <v>306</v>
      </c>
      <c r="B17" s="82" t="s">
        <v>105</v>
      </c>
      <c r="C17" s="82" t="s">
        <v>105</v>
      </c>
      <c r="D17" s="82" t="s">
        <v>256</v>
      </c>
      <c r="E17" s="82" t="s">
        <v>3</v>
      </c>
      <c r="F17" s="82" t="s">
        <v>283</v>
      </c>
      <c r="H17" t="s">
        <v>306</v>
      </c>
      <c r="I17" t="s">
        <v>105</v>
      </c>
      <c r="J17" t="s">
        <v>105</v>
      </c>
      <c r="K17" t="s">
        <v>256</v>
      </c>
      <c r="L17" t="s">
        <v>3</v>
      </c>
      <c r="M17" t="s">
        <v>283</v>
      </c>
    </row>
    <row r="18" spans="1:13" x14ac:dyDescent="0.2">
      <c r="A18" s="82" t="s">
        <v>257</v>
      </c>
      <c r="B18" s="82" t="s">
        <v>105</v>
      </c>
      <c r="C18" s="82" t="s">
        <v>105</v>
      </c>
      <c r="D18" s="82" t="s">
        <v>257</v>
      </c>
      <c r="E18" s="82" t="s">
        <v>13</v>
      </c>
      <c r="F18" s="82" t="s">
        <v>255</v>
      </c>
      <c r="H18" t="s">
        <v>257</v>
      </c>
      <c r="I18" t="s">
        <v>105</v>
      </c>
      <c r="J18" t="s">
        <v>105</v>
      </c>
      <c r="K18" t="s">
        <v>257</v>
      </c>
      <c r="L18" t="s">
        <v>13</v>
      </c>
      <c r="M18" t="s">
        <v>255</v>
      </c>
    </row>
    <row r="19" spans="1:13" x14ac:dyDescent="0.2">
      <c r="A19" s="82" t="s">
        <v>261</v>
      </c>
      <c r="B19" s="82" t="s">
        <v>105</v>
      </c>
      <c r="C19" s="82" t="s">
        <v>105</v>
      </c>
      <c r="D19" s="82" t="s">
        <v>257</v>
      </c>
      <c r="E19" s="82" t="s">
        <v>12</v>
      </c>
      <c r="F19" s="82" t="s">
        <v>255</v>
      </c>
      <c r="H19" t="s">
        <v>261</v>
      </c>
      <c r="I19" t="s">
        <v>105</v>
      </c>
      <c r="J19" t="s">
        <v>105</v>
      </c>
      <c r="K19" t="s">
        <v>257</v>
      </c>
      <c r="L19" t="s">
        <v>12</v>
      </c>
      <c r="M19" t="s">
        <v>255</v>
      </c>
    </row>
    <row r="20" spans="1:13" x14ac:dyDescent="0.2">
      <c r="A20" s="82" t="s">
        <v>268</v>
      </c>
      <c r="B20" s="82" t="s">
        <v>105</v>
      </c>
      <c r="C20" s="82" t="s">
        <v>105</v>
      </c>
      <c r="D20" s="82" t="s">
        <v>257</v>
      </c>
      <c r="E20" s="82" t="s">
        <v>11</v>
      </c>
      <c r="F20" s="82" t="s">
        <v>255</v>
      </c>
      <c r="H20" t="s">
        <v>268</v>
      </c>
      <c r="I20" t="s">
        <v>105</v>
      </c>
      <c r="J20" t="s">
        <v>105</v>
      </c>
      <c r="K20" t="s">
        <v>257</v>
      </c>
      <c r="L20" t="s">
        <v>11</v>
      </c>
      <c r="M20" t="s">
        <v>255</v>
      </c>
    </row>
    <row r="21" spans="1:13" x14ac:dyDescent="0.2">
      <c r="A21" s="82" t="s">
        <v>276</v>
      </c>
      <c r="B21" s="82" t="s">
        <v>105</v>
      </c>
      <c r="C21" s="82" t="s">
        <v>105</v>
      </c>
      <c r="D21" s="82" t="s">
        <v>257</v>
      </c>
      <c r="E21" s="82" t="s">
        <v>3</v>
      </c>
      <c r="F21" s="82" t="s">
        <v>255</v>
      </c>
      <c r="H21" t="s">
        <v>276</v>
      </c>
      <c r="I21" t="s">
        <v>105</v>
      </c>
      <c r="J21" t="s">
        <v>105</v>
      </c>
      <c r="K21" t="s">
        <v>257</v>
      </c>
      <c r="L21" t="s">
        <v>3</v>
      </c>
      <c r="M21" t="s">
        <v>255</v>
      </c>
    </row>
    <row r="22" spans="1:13" x14ac:dyDescent="0.2">
      <c r="A22" s="82" t="s">
        <v>285</v>
      </c>
      <c r="B22" s="82" t="s">
        <v>105</v>
      </c>
      <c r="C22" s="82" t="s">
        <v>105</v>
      </c>
      <c r="D22" s="82" t="s">
        <v>257</v>
      </c>
      <c r="E22" s="82" t="s">
        <v>13</v>
      </c>
      <c r="F22" s="82" t="s">
        <v>283</v>
      </c>
      <c r="H22" t="s">
        <v>285</v>
      </c>
      <c r="I22" t="s">
        <v>105</v>
      </c>
      <c r="J22" t="s">
        <v>105</v>
      </c>
      <c r="K22" t="s">
        <v>257</v>
      </c>
      <c r="L22" t="s">
        <v>13</v>
      </c>
      <c r="M22" t="s">
        <v>283</v>
      </c>
    </row>
    <row r="23" spans="1:13" x14ac:dyDescent="0.2">
      <c r="A23" s="82" t="s">
        <v>293</v>
      </c>
      <c r="B23" s="82" t="s">
        <v>105</v>
      </c>
      <c r="C23" s="82" t="s">
        <v>105</v>
      </c>
      <c r="D23" s="82" t="s">
        <v>257</v>
      </c>
      <c r="E23" s="82" t="s">
        <v>12</v>
      </c>
      <c r="F23" s="82" t="s">
        <v>283</v>
      </c>
      <c r="H23" t="s">
        <v>293</v>
      </c>
      <c r="I23" t="s">
        <v>105</v>
      </c>
      <c r="J23" t="s">
        <v>105</v>
      </c>
      <c r="K23" t="s">
        <v>257</v>
      </c>
      <c r="L23" t="s">
        <v>12</v>
      </c>
      <c r="M23" t="s">
        <v>283</v>
      </c>
    </row>
    <row r="24" spans="1:13" x14ac:dyDescent="0.2">
      <c r="A24" s="82" t="s">
        <v>300</v>
      </c>
      <c r="B24" s="82" t="s">
        <v>105</v>
      </c>
      <c r="C24" s="82" t="s">
        <v>105</v>
      </c>
      <c r="D24" s="82" t="s">
        <v>257</v>
      </c>
      <c r="E24" s="82" t="s">
        <v>11</v>
      </c>
      <c r="F24" s="82" t="s">
        <v>283</v>
      </c>
      <c r="H24" t="s">
        <v>300</v>
      </c>
      <c r="I24" t="s">
        <v>105</v>
      </c>
      <c r="J24" t="s">
        <v>105</v>
      </c>
      <c r="K24" t="s">
        <v>257</v>
      </c>
      <c r="L24" t="s">
        <v>11</v>
      </c>
      <c r="M24" t="s">
        <v>283</v>
      </c>
    </row>
    <row r="25" spans="1:13" x14ac:dyDescent="0.2">
      <c r="A25" s="82" t="s">
        <v>307</v>
      </c>
      <c r="B25" s="82" t="s">
        <v>105</v>
      </c>
      <c r="C25" s="82" t="s">
        <v>105</v>
      </c>
      <c r="D25" s="82" t="s">
        <v>257</v>
      </c>
      <c r="E25" s="82" t="s">
        <v>3</v>
      </c>
      <c r="F25" s="82" t="s">
        <v>283</v>
      </c>
      <c r="H25" t="s">
        <v>307</v>
      </c>
      <c r="I25" t="s">
        <v>105</v>
      </c>
      <c r="J25" t="s">
        <v>105</v>
      </c>
      <c r="K25" t="s">
        <v>257</v>
      </c>
      <c r="L25" t="s">
        <v>3</v>
      </c>
      <c r="M25" t="s">
        <v>283</v>
      </c>
    </row>
    <row r="26" spans="1:13" x14ac:dyDescent="0.2">
      <c r="A26" s="82" t="s">
        <v>258</v>
      </c>
      <c r="B26" s="82" t="s">
        <v>105</v>
      </c>
      <c r="C26" s="82" t="s">
        <v>105</v>
      </c>
      <c r="D26" s="82" t="s">
        <v>258</v>
      </c>
      <c r="E26" s="82" t="s">
        <v>13</v>
      </c>
      <c r="F26" s="82" t="s">
        <v>255</v>
      </c>
      <c r="H26" t="s">
        <v>258</v>
      </c>
      <c r="I26" t="s">
        <v>105</v>
      </c>
      <c r="J26" t="s">
        <v>105</v>
      </c>
      <c r="K26" t="s">
        <v>258</v>
      </c>
      <c r="L26" t="s">
        <v>13</v>
      </c>
      <c r="M26" t="s">
        <v>255</v>
      </c>
    </row>
    <row r="27" spans="1:13" x14ac:dyDescent="0.2">
      <c r="A27" s="82" t="s">
        <v>262</v>
      </c>
      <c r="B27" s="82" t="s">
        <v>105</v>
      </c>
      <c r="C27" s="82" t="s">
        <v>105</v>
      </c>
      <c r="D27" s="82" t="s">
        <v>258</v>
      </c>
      <c r="E27" s="82" t="s">
        <v>12</v>
      </c>
      <c r="F27" s="82" t="s">
        <v>255</v>
      </c>
      <c r="H27" t="s">
        <v>262</v>
      </c>
      <c r="I27" t="s">
        <v>105</v>
      </c>
      <c r="J27" t="s">
        <v>105</v>
      </c>
      <c r="K27" t="s">
        <v>258</v>
      </c>
      <c r="L27" t="s">
        <v>12</v>
      </c>
      <c r="M27" t="s">
        <v>255</v>
      </c>
    </row>
    <row r="28" spans="1:13" x14ac:dyDescent="0.2">
      <c r="A28" s="82" t="s">
        <v>269</v>
      </c>
      <c r="B28" s="82" t="s">
        <v>105</v>
      </c>
      <c r="C28" s="82" t="s">
        <v>105</v>
      </c>
      <c r="D28" s="82" t="s">
        <v>258</v>
      </c>
      <c r="E28" s="82" t="s">
        <v>11</v>
      </c>
      <c r="F28" s="82" t="s">
        <v>255</v>
      </c>
      <c r="H28" t="s">
        <v>269</v>
      </c>
      <c r="I28" t="s">
        <v>105</v>
      </c>
      <c r="J28" t="s">
        <v>105</v>
      </c>
      <c r="K28" t="s">
        <v>258</v>
      </c>
      <c r="L28" t="s">
        <v>11</v>
      </c>
      <c r="M28" t="s">
        <v>255</v>
      </c>
    </row>
    <row r="29" spans="1:13" x14ac:dyDescent="0.2">
      <c r="A29" s="82" t="s">
        <v>277</v>
      </c>
      <c r="B29" s="82" t="s">
        <v>105</v>
      </c>
      <c r="C29" s="82" t="s">
        <v>105</v>
      </c>
      <c r="D29" s="82" t="s">
        <v>258</v>
      </c>
      <c r="E29" s="82" t="s">
        <v>3</v>
      </c>
      <c r="F29" s="82" t="s">
        <v>255</v>
      </c>
      <c r="H29" t="s">
        <v>277</v>
      </c>
      <c r="I29" t="s">
        <v>105</v>
      </c>
      <c r="J29" t="s">
        <v>105</v>
      </c>
      <c r="K29" t="s">
        <v>258</v>
      </c>
      <c r="L29" t="s">
        <v>3</v>
      </c>
      <c r="M29" t="s">
        <v>255</v>
      </c>
    </row>
    <row r="30" spans="1:13" x14ac:dyDescent="0.2">
      <c r="A30" s="82" t="s">
        <v>286</v>
      </c>
      <c r="B30" s="82" t="s">
        <v>105</v>
      </c>
      <c r="C30" s="82" t="s">
        <v>105</v>
      </c>
      <c r="D30" s="82" t="s">
        <v>258</v>
      </c>
      <c r="E30" s="82" t="s">
        <v>13</v>
      </c>
      <c r="F30" s="82" t="s">
        <v>283</v>
      </c>
      <c r="H30" t="s">
        <v>286</v>
      </c>
      <c r="I30" t="s">
        <v>105</v>
      </c>
      <c r="J30" t="s">
        <v>105</v>
      </c>
      <c r="K30" t="s">
        <v>258</v>
      </c>
      <c r="L30" t="s">
        <v>13</v>
      </c>
      <c r="M30" t="s">
        <v>283</v>
      </c>
    </row>
    <row r="31" spans="1:13" x14ac:dyDescent="0.2">
      <c r="A31" s="82" t="s">
        <v>294</v>
      </c>
      <c r="B31" s="82" t="s">
        <v>105</v>
      </c>
      <c r="C31" s="82" t="s">
        <v>105</v>
      </c>
      <c r="D31" s="82" t="s">
        <v>258</v>
      </c>
      <c r="E31" s="82" t="s">
        <v>12</v>
      </c>
      <c r="F31" s="82" t="s">
        <v>283</v>
      </c>
      <c r="H31" t="s">
        <v>294</v>
      </c>
      <c r="I31" t="s">
        <v>105</v>
      </c>
      <c r="J31" t="s">
        <v>105</v>
      </c>
      <c r="K31" t="s">
        <v>258</v>
      </c>
      <c r="L31" t="s">
        <v>12</v>
      </c>
      <c r="M31" t="s">
        <v>283</v>
      </c>
    </row>
    <row r="32" spans="1:13" x14ac:dyDescent="0.2">
      <c r="A32" s="82" t="s">
        <v>301</v>
      </c>
      <c r="B32" s="82" t="s">
        <v>105</v>
      </c>
      <c r="C32" s="82" t="s">
        <v>105</v>
      </c>
      <c r="D32" s="82" t="s">
        <v>258</v>
      </c>
      <c r="E32" s="82" t="s">
        <v>11</v>
      </c>
      <c r="F32" s="82" t="s">
        <v>283</v>
      </c>
      <c r="H32" t="s">
        <v>301</v>
      </c>
      <c r="I32" t="s">
        <v>105</v>
      </c>
      <c r="J32" t="s">
        <v>105</v>
      </c>
      <c r="K32" t="s">
        <v>258</v>
      </c>
      <c r="L32" t="s">
        <v>11</v>
      </c>
      <c r="M32" t="s">
        <v>283</v>
      </c>
    </row>
    <row r="33" spans="1:13" x14ac:dyDescent="0.2">
      <c r="A33" s="82" t="s">
        <v>308</v>
      </c>
      <c r="B33" s="82" t="s">
        <v>105</v>
      </c>
      <c r="C33" s="82" t="s">
        <v>105</v>
      </c>
      <c r="D33" s="82" t="s">
        <v>258</v>
      </c>
      <c r="E33" s="82" t="s">
        <v>3</v>
      </c>
      <c r="F33" s="82" t="s">
        <v>283</v>
      </c>
      <c r="H33" t="s">
        <v>308</v>
      </c>
      <c r="I33" t="s">
        <v>105</v>
      </c>
      <c r="J33" t="s">
        <v>105</v>
      </c>
      <c r="K33" t="s">
        <v>258</v>
      </c>
      <c r="L33" t="s">
        <v>3</v>
      </c>
      <c r="M33" t="s">
        <v>283</v>
      </c>
    </row>
    <row r="34" spans="1:13" x14ac:dyDescent="0.2">
      <c r="A34" s="82" t="s">
        <v>250</v>
      </c>
      <c r="B34" s="82">
        <v>-1.3357558</v>
      </c>
      <c r="C34" s="82">
        <v>-1.0364308</v>
      </c>
      <c r="D34" s="82" t="s">
        <v>250</v>
      </c>
      <c r="E34" s="82" t="s">
        <v>13</v>
      </c>
      <c r="F34" s="82" t="s">
        <v>255</v>
      </c>
      <c r="H34" t="s">
        <v>250</v>
      </c>
      <c r="I34">
        <v>-1.3357558038836701</v>
      </c>
      <c r="J34">
        <v>-1.0364307670105699</v>
      </c>
      <c r="K34" t="s">
        <v>250</v>
      </c>
      <c r="L34" t="s">
        <v>13</v>
      </c>
      <c r="M34" t="s">
        <v>255</v>
      </c>
    </row>
    <row r="35" spans="1:13" x14ac:dyDescent="0.2">
      <c r="A35" s="82" t="s">
        <v>263</v>
      </c>
      <c r="B35" s="82">
        <v>-2.9869271999999998</v>
      </c>
      <c r="C35" s="82">
        <v>-2.6133418000000002</v>
      </c>
      <c r="D35" s="82" t="s">
        <v>250</v>
      </c>
      <c r="E35" s="82" t="s">
        <v>12</v>
      </c>
      <c r="F35" s="82" t="s">
        <v>255</v>
      </c>
      <c r="H35" t="s">
        <v>263</v>
      </c>
      <c r="I35">
        <v>-2.96073702070488</v>
      </c>
      <c r="J35">
        <v>-2.6135281409585498</v>
      </c>
      <c r="K35" t="s">
        <v>250</v>
      </c>
      <c r="L35" t="s">
        <v>12</v>
      </c>
      <c r="M35" t="s">
        <v>255</v>
      </c>
    </row>
    <row r="36" spans="1:13" x14ac:dyDescent="0.2">
      <c r="A36" s="82" t="s">
        <v>270</v>
      </c>
      <c r="B36" s="82">
        <v>1.21771333</v>
      </c>
      <c r="C36" s="82">
        <v>1.7359074000000001</v>
      </c>
      <c r="D36" s="82" t="s">
        <v>250</v>
      </c>
      <c r="E36" s="82" t="s">
        <v>11</v>
      </c>
      <c r="F36" s="82" t="s">
        <v>255</v>
      </c>
      <c r="H36" t="s">
        <v>270</v>
      </c>
      <c r="I36">
        <v>1.16928289182115</v>
      </c>
      <c r="J36">
        <v>1.6154879068075001</v>
      </c>
      <c r="K36" t="s">
        <v>250</v>
      </c>
      <c r="L36" t="s">
        <v>11</v>
      </c>
      <c r="M36" t="s">
        <v>255</v>
      </c>
    </row>
    <row r="37" spans="1:13" x14ac:dyDescent="0.2">
      <c r="A37" s="82" t="s">
        <v>278</v>
      </c>
      <c r="B37" s="82">
        <v>-3.6232761999999998</v>
      </c>
      <c r="C37" s="82">
        <v>-0.80167739999999998</v>
      </c>
      <c r="D37" s="82" t="s">
        <v>250</v>
      </c>
      <c r="E37" s="82" t="s">
        <v>3</v>
      </c>
      <c r="F37" s="82" t="s">
        <v>255</v>
      </c>
      <c r="H37" t="s">
        <v>278</v>
      </c>
      <c r="I37">
        <v>-3.62577661288308</v>
      </c>
      <c r="J37">
        <v>-0.81449802105350599</v>
      </c>
      <c r="K37" t="s">
        <v>250</v>
      </c>
      <c r="L37" t="s">
        <v>3</v>
      </c>
      <c r="M37" t="s">
        <v>255</v>
      </c>
    </row>
    <row r="38" spans="1:13" x14ac:dyDescent="0.2">
      <c r="A38" s="82" t="s">
        <v>287</v>
      </c>
      <c r="B38" s="82">
        <v>-1.4417483</v>
      </c>
      <c r="C38" s="82">
        <v>-0.82074970000000003</v>
      </c>
      <c r="D38" s="82" t="s">
        <v>250</v>
      </c>
      <c r="E38" s="82" t="s">
        <v>13</v>
      </c>
      <c r="F38" s="82" t="s">
        <v>283</v>
      </c>
      <c r="H38" t="s">
        <v>287</v>
      </c>
      <c r="I38">
        <v>-1.44174828054052</v>
      </c>
      <c r="J38">
        <v>-0.82074973852327104</v>
      </c>
      <c r="K38" t="s">
        <v>250</v>
      </c>
      <c r="L38" t="s">
        <v>13</v>
      </c>
      <c r="M38" t="s">
        <v>283</v>
      </c>
    </row>
    <row r="39" spans="1:13" x14ac:dyDescent="0.2">
      <c r="A39" s="82" t="s">
        <v>295</v>
      </c>
      <c r="B39" s="82">
        <v>-3.3982440999999999</v>
      </c>
      <c r="C39" s="82">
        <v>-2.7488798999999999</v>
      </c>
      <c r="D39" s="82" t="s">
        <v>250</v>
      </c>
      <c r="E39" s="82" t="s">
        <v>12</v>
      </c>
      <c r="F39" s="82" t="s">
        <v>283</v>
      </c>
      <c r="H39" t="s">
        <v>295</v>
      </c>
      <c r="I39">
        <v>-3.59166410420938</v>
      </c>
      <c r="J39">
        <v>-3.1279089047961399</v>
      </c>
      <c r="K39" t="s">
        <v>250</v>
      </c>
      <c r="L39" t="s">
        <v>12</v>
      </c>
      <c r="M39" t="s">
        <v>283</v>
      </c>
    </row>
    <row r="40" spans="1:13" x14ac:dyDescent="0.2">
      <c r="A40" s="82" t="s">
        <v>302</v>
      </c>
      <c r="B40" s="82">
        <v>2.2954870000000001</v>
      </c>
      <c r="C40" s="82">
        <v>2.8823128200000001</v>
      </c>
      <c r="D40" s="82" t="s">
        <v>250</v>
      </c>
      <c r="E40" s="82" t="s">
        <v>11</v>
      </c>
      <c r="F40" s="82" t="s">
        <v>283</v>
      </c>
      <c r="H40" t="s">
        <v>302</v>
      </c>
      <c r="I40">
        <v>2.2125062597450702</v>
      </c>
      <c r="J40">
        <v>2.6742305528514101</v>
      </c>
      <c r="K40" t="s">
        <v>250</v>
      </c>
      <c r="L40" t="s">
        <v>11</v>
      </c>
      <c r="M40" t="s">
        <v>283</v>
      </c>
    </row>
    <row r="41" spans="1:13" x14ac:dyDescent="0.2">
      <c r="A41" s="82" t="s">
        <v>309</v>
      </c>
      <c r="B41" s="82">
        <v>-1.7002231000000001</v>
      </c>
      <c r="C41" s="82">
        <v>-0.3236713</v>
      </c>
      <c r="D41" s="82" t="s">
        <v>250</v>
      </c>
      <c r="E41" s="82" t="s">
        <v>3</v>
      </c>
      <c r="F41" s="82" t="s">
        <v>283</v>
      </c>
      <c r="H41" t="s">
        <v>309</v>
      </c>
      <c r="I41">
        <v>-1.71375268050929</v>
      </c>
      <c r="J41">
        <v>-0.36850740319014402</v>
      </c>
      <c r="K41" t="s">
        <v>250</v>
      </c>
      <c r="L41" t="s">
        <v>3</v>
      </c>
      <c r="M41" t="s">
        <v>283</v>
      </c>
    </row>
    <row r="42" spans="1:13" s="67" customFormat="1" x14ac:dyDescent="0.2">
      <c r="A42" s="84" t="s">
        <v>251</v>
      </c>
      <c r="B42" s="87">
        <v>0.21103701</v>
      </c>
      <c r="C42" s="87">
        <v>1.3479377800000001</v>
      </c>
      <c r="D42" s="84" t="s">
        <v>251</v>
      </c>
      <c r="E42" s="84" t="s">
        <v>13</v>
      </c>
      <c r="F42" s="84" t="s">
        <v>255</v>
      </c>
      <c r="H42" s="84" t="s">
        <v>251</v>
      </c>
      <c r="I42" s="87">
        <v>0.21103700922160401</v>
      </c>
      <c r="J42" s="87">
        <v>1.34793777784324</v>
      </c>
      <c r="K42" s="84" t="s">
        <v>251</v>
      </c>
      <c r="L42" s="84" t="s">
        <v>13</v>
      </c>
      <c r="M42" s="84" t="s">
        <v>255</v>
      </c>
    </row>
    <row r="43" spans="1:13" x14ac:dyDescent="0.2">
      <c r="A43" s="90" t="s">
        <v>264</v>
      </c>
      <c r="B43" s="91">
        <v>0.56456189999999995</v>
      </c>
      <c r="C43" s="91">
        <v>1.0116967699999999</v>
      </c>
      <c r="D43" s="90" t="s">
        <v>251</v>
      </c>
      <c r="E43" s="90" t="s">
        <v>12</v>
      </c>
      <c r="F43" s="90" t="s">
        <v>255</v>
      </c>
      <c r="H43" s="90" t="s">
        <v>264</v>
      </c>
      <c r="I43" s="91">
        <v>0.51846929269512598</v>
      </c>
      <c r="J43" s="91">
        <v>1.0618026609759501</v>
      </c>
      <c r="K43" s="90" t="s">
        <v>251</v>
      </c>
      <c r="L43" s="90" t="s">
        <v>12</v>
      </c>
      <c r="M43" s="90" t="s">
        <v>255</v>
      </c>
    </row>
    <row r="44" spans="1:13" x14ac:dyDescent="0.2">
      <c r="A44" s="90" t="s">
        <v>271</v>
      </c>
      <c r="B44" s="91">
        <v>7.6748609999999995E-2</v>
      </c>
      <c r="C44" s="91">
        <v>0.18015424999999999</v>
      </c>
      <c r="D44" s="90" t="s">
        <v>251</v>
      </c>
      <c r="E44" s="90" t="s">
        <v>11</v>
      </c>
      <c r="F44" s="90" t="s">
        <v>255</v>
      </c>
      <c r="H44" s="90" t="s">
        <v>271</v>
      </c>
      <c r="I44" s="91">
        <v>7.9881873201754994E-2</v>
      </c>
      <c r="J44" s="91">
        <v>0.17084944804411201</v>
      </c>
      <c r="K44" s="90" t="s">
        <v>251</v>
      </c>
      <c r="L44" s="90" t="s">
        <v>11</v>
      </c>
      <c r="M44" s="90" t="s">
        <v>255</v>
      </c>
    </row>
    <row r="45" spans="1:13" x14ac:dyDescent="0.2">
      <c r="A45" s="90" t="s">
        <v>279</v>
      </c>
      <c r="B45" s="91">
        <v>0.99604479000000001</v>
      </c>
      <c r="C45" s="91">
        <v>1.0971818</v>
      </c>
      <c r="D45" s="90" t="s">
        <v>251</v>
      </c>
      <c r="E45" s="90" t="s">
        <v>3</v>
      </c>
      <c r="F45" s="90" t="s">
        <v>255</v>
      </c>
      <c r="H45" s="90" t="s">
        <v>279</v>
      </c>
      <c r="I45" s="91">
        <v>0.99707967375953899</v>
      </c>
      <c r="J45" s="91">
        <v>1.09818925067803</v>
      </c>
      <c r="K45" s="90" t="s">
        <v>251</v>
      </c>
      <c r="L45" s="90" t="s">
        <v>3</v>
      </c>
      <c r="M45" s="90" t="s">
        <v>255</v>
      </c>
    </row>
    <row r="46" spans="1:13" s="67" customFormat="1" x14ac:dyDescent="0.2">
      <c r="A46" s="90" t="s">
        <v>288</v>
      </c>
      <c r="B46" s="91">
        <v>0.98790803000000005</v>
      </c>
      <c r="C46" s="91">
        <v>1.1274872499999999</v>
      </c>
      <c r="D46" s="90" t="s">
        <v>251</v>
      </c>
      <c r="E46" s="90" t="s">
        <v>13</v>
      </c>
      <c r="F46" s="90" t="s">
        <v>283</v>
      </c>
      <c r="H46" s="90" t="s">
        <v>288</v>
      </c>
      <c r="I46" s="91">
        <v>0.98790802737882299</v>
      </c>
      <c r="J46" s="91">
        <v>1.12748725125005</v>
      </c>
      <c r="K46" s="90" t="s">
        <v>251</v>
      </c>
      <c r="L46" s="90" t="s">
        <v>13</v>
      </c>
      <c r="M46" s="90" t="s">
        <v>283</v>
      </c>
    </row>
    <row r="47" spans="1:13" x14ac:dyDescent="0.2">
      <c r="A47" s="85" t="s">
        <v>296</v>
      </c>
      <c r="B47" s="88">
        <v>0.84446138999999998</v>
      </c>
      <c r="C47" s="88">
        <v>0.90886022</v>
      </c>
      <c r="D47" s="85" t="s">
        <v>251</v>
      </c>
      <c r="E47" s="85" t="s">
        <v>12</v>
      </c>
      <c r="F47" s="85" t="s">
        <v>283</v>
      </c>
      <c r="H47" s="85" t="s">
        <v>296</v>
      </c>
      <c r="I47" s="88">
        <v>0.74957830081928001</v>
      </c>
      <c r="J47" s="88">
        <v>0.99042405249357701</v>
      </c>
      <c r="K47" s="85" t="s">
        <v>251</v>
      </c>
      <c r="L47" s="85" t="s">
        <v>12</v>
      </c>
      <c r="M47" s="85" t="s">
        <v>283</v>
      </c>
    </row>
    <row r="48" spans="1:13" x14ac:dyDescent="0.2">
      <c r="A48" s="86" t="s">
        <v>303</v>
      </c>
      <c r="B48" s="89">
        <v>-0.1063404</v>
      </c>
      <c r="C48" s="89">
        <v>-3.1456400000000002E-2</v>
      </c>
      <c r="D48" s="86" t="s">
        <v>251</v>
      </c>
      <c r="E48" s="86" t="s">
        <v>11</v>
      </c>
      <c r="F48" s="86" t="s">
        <v>283</v>
      </c>
      <c r="H48" s="86" t="s">
        <v>303</v>
      </c>
      <c r="I48" s="89">
        <v>-8.5662308887729896E-2</v>
      </c>
      <c r="J48" s="89">
        <v>-1.7851809156287101E-2</v>
      </c>
      <c r="K48" s="86" t="s">
        <v>251</v>
      </c>
      <c r="L48" s="86" t="s">
        <v>11</v>
      </c>
      <c r="M48" s="86" t="s">
        <v>283</v>
      </c>
    </row>
    <row r="49" spans="1:13" x14ac:dyDescent="0.2">
      <c r="A49" s="90" t="s">
        <v>310</v>
      </c>
      <c r="B49" s="91">
        <v>1.0085571</v>
      </c>
      <c r="C49" s="91">
        <v>1.3463003099999999</v>
      </c>
      <c r="D49" s="90" t="s">
        <v>251</v>
      </c>
      <c r="E49" s="90" t="s">
        <v>3</v>
      </c>
      <c r="F49" s="90" t="s">
        <v>283</v>
      </c>
      <c r="H49" s="90" t="s">
        <v>310</v>
      </c>
      <c r="I49" s="91">
        <v>1.00776586196759</v>
      </c>
      <c r="J49" s="91">
        <v>1.34105229295027</v>
      </c>
      <c r="K49" s="90" t="s">
        <v>251</v>
      </c>
      <c r="L49" s="90" t="s">
        <v>3</v>
      </c>
      <c r="M49" s="90" t="s">
        <v>283</v>
      </c>
    </row>
    <row r="50" spans="1:13" x14ac:dyDescent="0.2">
      <c r="A50" s="67" t="s">
        <v>14</v>
      </c>
      <c r="B50" s="67">
        <v>1.7261500000000001E-3</v>
      </c>
      <c r="C50" s="67">
        <v>5.2352700000000002E-3</v>
      </c>
      <c r="D50" s="67" t="s">
        <v>14</v>
      </c>
      <c r="E50" s="67" t="s">
        <v>12</v>
      </c>
      <c r="F50" s="67" t="s">
        <v>255</v>
      </c>
      <c r="H50" s="67" t="s">
        <v>14</v>
      </c>
      <c r="I50" s="67">
        <v>1.48716189865161E-3</v>
      </c>
      <c r="J50" s="67">
        <v>4.8683177264321502E-3</v>
      </c>
      <c r="K50" s="67" t="s">
        <v>14</v>
      </c>
      <c r="L50" s="67" t="s">
        <v>12</v>
      </c>
      <c r="M50" s="67" t="s">
        <v>255</v>
      </c>
    </row>
    <row r="51" spans="1:13" x14ac:dyDescent="0.2">
      <c r="A51" s="67" t="s">
        <v>273</v>
      </c>
      <c r="B51" s="67">
        <v>-8.6604999999999998E-3</v>
      </c>
      <c r="C51" s="67">
        <v>-3.8170000000000001E-3</v>
      </c>
      <c r="D51" s="67" t="s">
        <v>14</v>
      </c>
      <c r="E51" s="67" t="s">
        <v>11</v>
      </c>
      <c r="F51" s="67" t="s">
        <v>255</v>
      </c>
      <c r="H51" s="67" t="s">
        <v>273</v>
      </c>
      <c r="I51" s="67">
        <v>-8.0810849363194808E-3</v>
      </c>
      <c r="J51" s="67">
        <v>-3.7398973214060401E-3</v>
      </c>
      <c r="K51" s="67" t="s">
        <v>14</v>
      </c>
      <c r="L51" s="67" t="s">
        <v>11</v>
      </c>
      <c r="M51" s="67" t="s">
        <v>255</v>
      </c>
    </row>
    <row r="52" spans="1:13" x14ac:dyDescent="0.2">
      <c r="A52" s="67" t="s">
        <v>281</v>
      </c>
      <c r="B52" s="67">
        <v>-1.2258099999999999E-2</v>
      </c>
      <c r="C52" s="67">
        <v>-7.5855999999999996E-3</v>
      </c>
      <c r="D52" s="67" t="s">
        <v>14</v>
      </c>
      <c r="E52" s="67" t="s">
        <v>3</v>
      </c>
      <c r="F52" s="67" t="s">
        <v>255</v>
      </c>
      <c r="H52" s="67" t="s">
        <v>281</v>
      </c>
      <c r="I52" s="67">
        <v>-1.23476438162997E-2</v>
      </c>
      <c r="J52" s="67">
        <v>-7.6757398125847798E-3</v>
      </c>
      <c r="K52" s="67" t="s">
        <v>14</v>
      </c>
      <c r="L52" s="67" t="s">
        <v>3</v>
      </c>
      <c r="M52" s="67" t="s">
        <v>255</v>
      </c>
    </row>
    <row r="53" spans="1:13" x14ac:dyDescent="0.2">
      <c r="A53" s="67" t="s">
        <v>290</v>
      </c>
      <c r="B53" s="67">
        <v>-1.08056E-2</v>
      </c>
      <c r="C53" s="67">
        <v>-5.5744999999999996E-3</v>
      </c>
      <c r="D53" s="67" t="s">
        <v>14</v>
      </c>
      <c r="E53" s="67" t="s">
        <v>13</v>
      </c>
      <c r="F53" s="67" t="s">
        <v>283</v>
      </c>
      <c r="H53" s="67" t="s">
        <v>290</v>
      </c>
      <c r="I53" s="67">
        <v>-1.08055859619935E-2</v>
      </c>
      <c r="J53" s="67">
        <v>-5.5744737588718403E-3</v>
      </c>
      <c r="K53" s="67" t="s">
        <v>14</v>
      </c>
      <c r="L53" s="67" t="s">
        <v>13</v>
      </c>
      <c r="M53" s="67" t="s">
        <v>283</v>
      </c>
    </row>
    <row r="54" spans="1:13" x14ac:dyDescent="0.2">
      <c r="A54" s="67" t="s">
        <v>312</v>
      </c>
      <c r="B54" s="67">
        <v>-2.0003099999999999E-2</v>
      </c>
      <c r="C54" s="67">
        <v>-7.9590000000000008E-3</v>
      </c>
      <c r="D54" s="67" t="s">
        <v>14</v>
      </c>
      <c r="E54" s="67" t="s">
        <v>3</v>
      </c>
      <c r="F54" s="67" t="s">
        <v>283</v>
      </c>
      <c r="H54" s="67" t="s">
        <v>312</v>
      </c>
      <c r="I54" s="67">
        <v>-1.97906344316785E-2</v>
      </c>
      <c r="J54" s="67">
        <v>-7.8791007748558097E-3</v>
      </c>
      <c r="K54" s="67" t="s">
        <v>14</v>
      </c>
      <c r="L54" s="67" t="s">
        <v>3</v>
      </c>
      <c r="M54" s="67" t="s">
        <v>283</v>
      </c>
    </row>
    <row r="55" spans="1:13" x14ac:dyDescent="0.2">
      <c r="A55" s="82" t="s">
        <v>6</v>
      </c>
      <c r="B55" s="82">
        <v>3.6160480000000002E-2</v>
      </c>
      <c r="C55" s="82">
        <v>4.3047490000000001E-2</v>
      </c>
      <c r="D55" s="82" t="s">
        <v>6</v>
      </c>
      <c r="E55" s="82" t="s">
        <v>13</v>
      </c>
      <c r="F55" s="82" t="s">
        <v>255</v>
      </c>
      <c r="H55" t="s">
        <v>6</v>
      </c>
      <c r="I55">
        <v>3.6160476905096002E-2</v>
      </c>
      <c r="J55">
        <v>4.3047485372117097E-2</v>
      </c>
      <c r="K55" t="s">
        <v>6</v>
      </c>
      <c r="L55" t="s">
        <v>13</v>
      </c>
      <c r="M55" t="s">
        <v>255</v>
      </c>
    </row>
    <row r="56" spans="1:13" x14ac:dyDescent="0.2">
      <c r="A56" s="82" t="s">
        <v>265</v>
      </c>
      <c r="B56" s="82">
        <v>4.7071080000000001E-2</v>
      </c>
      <c r="C56" s="82">
        <v>5.8857649999999997E-2</v>
      </c>
      <c r="D56" s="82" t="s">
        <v>6</v>
      </c>
      <c r="E56" s="82" t="s">
        <v>12</v>
      </c>
      <c r="F56" s="82" t="s">
        <v>255</v>
      </c>
      <c r="H56" t="s">
        <v>265</v>
      </c>
      <c r="I56">
        <v>4.8142807063955802E-2</v>
      </c>
      <c r="J56">
        <v>5.9447028286306401E-2</v>
      </c>
      <c r="K56" t="s">
        <v>6</v>
      </c>
      <c r="L56" t="s">
        <v>12</v>
      </c>
      <c r="M56" t="s">
        <v>255</v>
      </c>
    </row>
    <row r="57" spans="1:13" x14ac:dyDescent="0.2">
      <c r="A57" s="82" t="s">
        <v>272</v>
      </c>
      <c r="B57" s="82">
        <v>-1.9362999999999998E-2</v>
      </c>
      <c r="C57" s="82">
        <v>9.1034700000000007E-3</v>
      </c>
      <c r="D57" s="82" t="s">
        <v>6</v>
      </c>
      <c r="E57" s="82" t="s">
        <v>11</v>
      </c>
      <c r="F57" s="82" t="s">
        <v>255</v>
      </c>
      <c r="H57" t="s">
        <v>272</v>
      </c>
      <c r="I57">
        <v>-1.8804181148226799E-2</v>
      </c>
      <c r="J57">
        <v>1.06061827579938E-2</v>
      </c>
      <c r="K57" t="s">
        <v>6</v>
      </c>
      <c r="L57" t="s">
        <v>11</v>
      </c>
      <c r="M57" t="s">
        <v>255</v>
      </c>
    </row>
    <row r="58" spans="1:13" x14ac:dyDescent="0.2">
      <c r="A58" s="82" t="s">
        <v>280</v>
      </c>
      <c r="B58" s="82">
        <v>5.9346110000000001E-2</v>
      </c>
      <c r="C58" s="82">
        <v>7.8142909999999996E-2</v>
      </c>
      <c r="D58" s="82" t="s">
        <v>6</v>
      </c>
      <c r="E58" s="82" t="s">
        <v>3</v>
      </c>
      <c r="F58" s="82" t="s">
        <v>255</v>
      </c>
      <c r="H58" t="s">
        <v>280</v>
      </c>
      <c r="I58">
        <v>5.9749077094033702E-2</v>
      </c>
      <c r="J58">
        <v>7.8539418302521799E-2</v>
      </c>
      <c r="K58" t="s">
        <v>6</v>
      </c>
      <c r="L58" t="s">
        <v>3</v>
      </c>
      <c r="M58" t="s">
        <v>255</v>
      </c>
    </row>
    <row r="59" spans="1:13" x14ac:dyDescent="0.2">
      <c r="A59" s="82" t="s">
        <v>289</v>
      </c>
      <c r="B59" s="82">
        <v>1.340626E-2</v>
      </c>
      <c r="C59" s="82">
        <v>6.4784690000000006E-2</v>
      </c>
      <c r="D59" s="82" t="s">
        <v>6</v>
      </c>
      <c r="E59" s="82" t="s">
        <v>13</v>
      </c>
      <c r="F59" s="82" t="s">
        <v>283</v>
      </c>
      <c r="H59" t="s">
        <v>289</v>
      </c>
      <c r="I59">
        <v>1.3406262273036399E-2</v>
      </c>
      <c r="J59">
        <v>6.4784689038778598E-2</v>
      </c>
      <c r="K59" t="s">
        <v>6</v>
      </c>
      <c r="L59" t="s">
        <v>13</v>
      </c>
      <c r="M59" t="s">
        <v>283</v>
      </c>
    </row>
    <row r="60" spans="1:13" x14ac:dyDescent="0.2">
      <c r="A60" s="82" t="s">
        <v>297</v>
      </c>
      <c r="B60" s="82">
        <v>6.0607660000000001E-2</v>
      </c>
      <c r="C60" s="82">
        <v>8.6181149999999998E-2</v>
      </c>
      <c r="D60" s="82" t="s">
        <v>6</v>
      </c>
      <c r="E60" s="82" t="s">
        <v>12</v>
      </c>
      <c r="F60" s="82" t="s">
        <v>283</v>
      </c>
      <c r="H60" t="s">
        <v>297</v>
      </c>
      <c r="I60">
        <v>7.85824353126547E-2</v>
      </c>
      <c r="J60">
        <v>8.6269855368865805E-2</v>
      </c>
      <c r="K60" t="s">
        <v>6</v>
      </c>
      <c r="L60" t="s">
        <v>12</v>
      </c>
      <c r="M60" t="s">
        <v>283</v>
      </c>
    </row>
    <row r="61" spans="1:13" x14ac:dyDescent="0.2">
      <c r="A61" s="82" t="s">
        <v>304</v>
      </c>
      <c r="B61" s="82">
        <v>-4.9615800000000002E-2</v>
      </c>
      <c r="C61" s="82">
        <v>-4.1512899999999998E-2</v>
      </c>
      <c r="D61" s="82" t="s">
        <v>6</v>
      </c>
      <c r="E61" s="82" t="s">
        <v>11</v>
      </c>
      <c r="F61" s="82" t="s">
        <v>283</v>
      </c>
      <c r="H61" t="s">
        <v>304</v>
      </c>
      <c r="I61">
        <v>-4.9224441074405302E-2</v>
      </c>
      <c r="J61">
        <v>-4.1563420927148299E-2</v>
      </c>
      <c r="K61" t="s">
        <v>6</v>
      </c>
      <c r="L61" t="s">
        <v>11</v>
      </c>
      <c r="M61" t="s">
        <v>283</v>
      </c>
    </row>
    <row r="62" spans="1:13" x14ac:dyDescent="0.2">
      <c r="A62" s="82" t="s">
        <v>311</v>
      </c>
      <c r="B62" s="82">
        <v>-5.5445800000000003E-2</v>
      </c>
      <c r="C62" s="82">
        <v>6.6907069999999999E-2</v>
      </c>
      <c r="D62" s="82" t="s">
        <v>6</v>
      </c>
      <c r="E62" s="82" t="s">
        <v>3</v>
      </c>
      <c r="F62" s="82" t="s">
        <v>283</v>
      </c>
      <c r="H62" t="s">
        <v>311</v>
      </c>
      <c r="I62">
        <v>-5.2749961507746398E-2</v>
      </c>
      <c r="J62">
        <v>6.5532512641717403E-2</v>
      </c>
      <c r="K62" t="s">
        <v>6</v>
      </c>
      <c r="L62" t="s">
        <v>3</v>
      </c>
      <c r="M62" t="s">
        <v>283</v>
      </c>
    </row>
  </sheetData>
  <sortState xmlns:xlrd2="http://schemas.microsoft.com/office/spreadsheetml/2017/richdata2" ref="A2:F62">
    <sortCondition ref="D1:D6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BEEAF-56E5-8347-860E-C228CBA812A8}">
  <dimension ref="A1:K35"/>
  <sheetViews>
    <sheetView workbookViewId="0">
      <selection activeCell="B5" sqref="B5:B7"/>
    </sheetView>
  </sheetViews>
  <sheetFormatPr baseColWidth="10" defaultRowHeight="16" x14ac:dyDescent="0.2"/>
  <cols>
    <col min="2" max="2" width="11.83203125" customWidth="1"/>
    <col min="4" max="4" width="25.1640625" bestFit="1" customWidth="1"/>
    <col min="5" max="5" width="12.6640625" bestFit="1" customWidth="1"/>
    <col min="6" max="6" width="11" bestFit="1" customWidth="1"/>
    <col min="7" max="7" width="10.6640625" customWidth="1"/>
    <col min="9" max="9" width="12" bestFit="1" customWidth="1"/>
    <col min="10" max="10" width="13.83203125" bestFit="1" customWidth="1"/>
  </cols>
  <sheetData>
    <row r="1" spans="1:11" s="9" customFormat="1" ht="47" customHeight="1" thickBot="1" x14ac:dyDescent="0.25">
      <c r="A1" s="40" t="s">
        <v>54</v>
      </c>
      <c r="B1" s="41" t="s">
        <v>55</v>
      </c>
      <c r="C1" s="41" t="s">
        <v>53</v>
      </c>
      <c r="D1" s="41" t="s">
        <v>57</v>
      </c>
      <c r="E1" s="41" t="s">
        <v>52</v>
      </c>
      <c r="F1" s="41" t="s">
        <v>36</v>
      </c>
      <c r="G1" s="42" t="s">
        <v>56</v>
      </c>
      <c r="H1" s="43"/>
    </row>
    <row r="2" spans="1:11" s="4" customFormat="1" x14ac:dyDescent="0.2">
      <c r="A2" s="133" t="s">
        <v>58</v>
      </c>
      <c r="B2" s="137" t="s">
        <v>3</v>
      </c>
      <c r="C2" s="130" t="s">
        <v>10</v>
      </c>
      <c r="D2" s="32" t="s">
        <v>50</v>
      </c>
      <c r="E2" s="10">
        <v>524.45594168543005</v>
      </c>
      <c r="F2" s="16">
        <v>1</v>
      </c>
      <c r="G2" s="29" t="s">
        <v>61</v>
      </c>
      <c r="H2" s="20">
        <v>4.5404682568363502E-116</v>
      </c>
      <c r="I2" s="8" t="s">
        <v>51</v>
      </c>
    </row>
    <row r="3" spans="1:11" s="4" customFormat="1" x14ac:dyDescent="0.2">
      <c r="A3" s="134"/>
      <c r="B3" s="135"/>
      <c r="C3" s="131"/>
      <c r="D3" s="33" t="s">
        <v>49</v>
      </c>
      <c r="E3" s="11">
        <v>26.515618264341501</v>
      </c>
      <c r="F3" s="17">
        <v>2</v>
      </c>
      <c r="G3" s="24" t="s">
        <v>61</v>
      </c>
      <c r="H3" s="21">
        <v>1.74665307089102E-6</v>
      </c>
      <c r="I3"/>
      <c r="J3" s="7" t="s">
        <v>43</v>
      </c>
      <c r="K3" s="7" t="s">
        <v>32</v>
      </c>
    </row>
    <row r="4" spans="1:11" s="4" customFormat="1" ht="17" thickBot="1" x14ac:dyDescent="0.25">
      <c r="A4" s="134"/>
      <c r="B4" s="135"/>
      <c r="C4" s="131"/>
      <c r="D4" s="35" t="s">
        <v>62</v>
      </c>
      <c r="E4" s="14">
        <v>1.7741380674221101</v>
      </c>
      <c r="F4" s="18">
        <v>2</v>
      </c>
      <c r="G4" s="26">
        <v>0.41186113652671802</v>
      </c>
      <c r="H4" s="22">
        <v>0.41186113652671802</v>
      </c>
      <c r="I4" t="s">
        <v>42</v>
      </c>
      <c r="J4" s="6" t="s">
        <v>47</v>
      </c>
      <c r="K4" s="6" t="s">
        <v>3</v>
      </c>
    </row>
    <row r="5" spans="1:11" s="4" customFormat="1" x14ac:dyDescent="0.2">
      <c r="A5" s="134" t="s">
        <v>8</v>
      </c>
      <c r="B5" s="135" t="s">
        <v>11</v>
      </c>
      <c r="C5" s="131" t="s">
        <v>63</v>
      </c>
      <c r="D5" s="36" t="s">
        <v>50</v>
      </c>
      <c r="E5" s="15">
        <v>0.35252027638081102</v>
      </c>
      <c r="F5" s="19">
        <v>1</v>
      </c>
      <c r="G5" s="25">
        <v>0.55268991831347603</v>
      </c>
      <c r="H5" s="23">
        <v>0.55268991831347603</v>
      </c>
      <c r="I5" t="s">
        <v>44</v>
      </c>
      <c r="J5" s="6" t="s">
        <v>48</v>
      </c>
      <c r="K5" s="6"/>
    </row>
    <row r="6" spans="1:11" s="4" customFormat="1" x14ac:dyDescent="0.2">
      <c r="A6" s="134"/>
      <c r="B6" s="135"/>
      <c r="C6" s="131"/>
      <c r="D6" s="33" t="s">
        <v>6</v>
      </c>
      <c r="E6" s="11">
        <v>97.234826974528801</v>
      </c>
      <c r="F6" s="17">
        <v>1</v>
      </c>
      <c r="G6" s="24" t="s">
        <v>61</v>
      </c>
      <c r="H6" s="21">
        <v>6.1574045637317301E-23</v>
      </c>
      <c r="I6" t="s">
        <v>45</v>
      </c>
      <c r="J6" s="6" t="s">
        <v>47</v>
      </c>
      <c r="K6" s="6"/>
    </row>
    <row r="7" spans="1:11" s="4" customFormat="1" ht="17" thickBot="1" x14ac:dyDescent="0.25">
      <c r="A7" s="134"/>
      <c r="B7" s="135"/>
      <c r="C7" s="131"/>
      <c r="D7" s="35" t="s">
        <v>62</v>
      </c>
      <c r="E7" s="14">
        <v>39.111342981543203</v>
      </c>
      <c r="F7" s="18">
        <v>3</v>
      </c>
      <c r="G7" s="28" t="s">
        <v>61</v>
      </c>
      <c r="H7" s="22">
        <v>1.6439086917710601E-8</v>
      </c>
      <c r="I7" t="s">
        <v>46</v>
      </c>
      <c r="J7" s="6" t="s">
        <v>47</v>
      </c>
      <c r="K7" s="6"/>
    </row>
    <row r="8" spans="1:11" s="4" customFormat="1" x14ac:dyDescent="0.2">
      <c r="A8" s="134" t="s">
        <v>59</v>
      </c>
      <c r="B8" s="135" t="s">
        <v>12</v>
      </c>
      <c r="C8" s="131"/>
      <c r="D8" s="36" t="s">
        <v>50</v>
      </c>
      <c r="E8" s="15">
        <v>2872.4103877487</v>
      </c>
      <c r="F8" s="19">
        <v>1</v>
      </c>
      <c r="G8" s="25" t="s">
        <v>61</v>
      </c>
      <c r="H8" s="23">
        <v>0</v>
      </c>
    </row>
    <row r="9" spans="1:11" s="4" customFormat="1" x14ac:dyDescent="0.2">
      <c r="A9" s="134"/>
      <c r="B9" s="135"/>
      <c r="C9" s="131"/>
      <c r="D9" s="33" t="s">
        <v>6</v>
      </c>
      <c r="E9" s="11">
        <v>1374.8223866486101</v>
      </c>
      <c r="F9" s="17">
        <v>1</v>
      </c>
      <c r="G9" s="24" t="s">
        <v>61</v>
      </c>
      <c r="H9" s="21">
        <v>6.21746552161211E-301</v>
      </c>
    </row>
    <row r="10" spans="1:11" s="4" customFormat="1" ht="17" thickBot="1" x14ac:dyDescent="0.25">
      <c r="A10" s="134"/>
      <c r="B10" s="135"/>
      <c r="C10" s="131"/>
      <c r="D10" s="35" t="s">
        <v>62</v>
      </c>
      <c r="E10" s="14">
        <v>10.4742668653591</v>
      </c>
      <c r="F10" s="18">
        <v>3</v>
      </c>
      <c r="G10" s="28">
        <v>1.4936479738363199E-2</v>
      </c>
      <c r="H10" s="22">
        <v>1.4936479738363199E-2</v>
      </c>
    </row>
    <row r="11" spans="1:11" s="4" customFormat="1" x14ac:dyDescent="0.2">
      <c r="A11" s="134" t="s">
        <v>58</v>
      </c>
      <c r="B11" s="135"/>
      <c r="C11" s="131"/>
      <c r="D11" s="36" t="s">
        <v>50</v>
      </c>
      <c r="E11" s="15">
        <v>2770.5576305362902</v>
      </c>
      <c r="F11" s="19">
        <v>1</v>
      </c>
      <c r="G11" s="25" t="s">
        <v>61</v>
      </c>
      <c r="H11" s="23">
        <v>0</v>
      </c>
    </row>
    <row r="12" spans="1:11" s="4" customFormat="1" x14ac:dyDescent="0.2">
      <c r="A12" s="134"/>
      <c r="B12" s="135"/>
      <c r="C12" s="131"/>
      <c r="D12" s="33" t="s">
        <v>6</v>
      </c>
      <c r="E12" s="11">
        <v>1370.95951269636</v>
      </c>
      <c r="F12" s="17">
        <v>1</v>
      </c>
      <c r="G12" s="24" t="s">
        <v>61</v>
      </c>
      <c r="H12" s="21">
        <v>4.29571937488022E-300</v>
      </c>
    </row>
    <row r="13" spans="1:11" s="4" customFormat="1" ht="17" thickBot="1" x14ac:dyDescent="0.25">
      <c r="A13" s="134"/>
      <c r="B13" s="135"/>
      <c r="C13" s="131"/>
      <c r="D13" s="35" t="s">
        <v>62</v>
      </c>
      <c r="E13" s="14">
        <v>21.121519856631899</v>
      </c>
      <c r="F13" s="18">
        <v>4</v>
      </c>
      <c r="G13" s="28">
        <v>2.9957572644237501E-4</v>
      </c>
      <c r="H13" s="22">
        <v>2.9957572644237501E-4</v>
      </c>
    </row>
    <row r="14" spans="1:11" s="4" customFormat="1" x14ac:dyDescent="0.2">
      <c r="A14" s="134" t="s">
        <v>8</v>
      </c>
      <c r="B14" s="135"/>
      <c r="C14" s="131"/>
      <c r="D14" s="36" t="s">
        <v>50</v>
      </c>
      <c r="E14" s="15">
        <v>2805.1164650886499</v>
      </c>
      <c r="F14" s="19">
        <v>1</v>
      </c>
      <c r="G14" s="25" t="s">
        <v>61</v>
      </c>
      <c r="H14" s="23">
        <v>0</v>
      </c>
    </row>
    <row r="15" spans="1:11" s="4" customFormat="1" x14ac:dyDescent="0.2">
      <c r="A15" s="134"/>
      <c r="B15" s="135"/>
      <c r="C15" s="131"/>
      <c r="D15" s="33" t="s">
        <v>6</v>
      </c>
      <c r="E15" s="11">
        <v>1357.2600880606101</v>
      </c>
      <c r="F15" s="17">
        <v>1</v>
      </c>
      <c r="G15" s="24" t="s">
        <v>61</v>
      </c>
      <c r="H15" s="21">
        <v>4.0738567585327699E-297</v>
      </c>
    </row>
    <row r="16" spans="1:11" s="4" customFormat="1" ht="17" thickBot="1" x14ac:dyDescent="0.25">
      <c r="A16" s="134"/>
      <c r="B16" s="135"/>
      <c r="C16" s="131"/>
      <c r="D16" s="35" t="s">
        <v>62</v>
      </c>
      <c r="E16" s="14">
        <v>1.9840534192986099</v>
      </c>
      <c r="F16" s="18">
        <v>3</v>
      </c>
      <c r="G16" s="26">
        <v>0.57572306563768605</v>
      </c>
      <c r="H16" s="22">
        <v>0.57572306563768605</v>
      </c>
    </row>
    <row r="17" spans="1:8" s="4" customFormat="1" x14ac:dyDescent="0.2">
      <c r="A17" s="134" t="s">
        <v>60</v>
      </c>
      <c r="B17" s="135"/>
      <c r="C17" s="131"/>
      <c r="D17" s="36" t="s">
        <v>50</v>
      </c>
      <c r="E17" s="15">
        <v>2810.8728930510702</v>
      </c>
      <c r="F17" s="19">
        <v>1</v>
      </c>
      <c r="G17" s="25" t="s">
        <v>61</v>
      </c>
      <c r="H17" s="23">
        <v>0</v>
      </c>
    </row>
    <row r="18" spans="1:8" s="4" customFormat="1" x14ac:dyDescent="0.2">
      <c r="A18" s="134"/>
      <c r="B18" s="135"/>
      <c r="C18" s="131"/>
      <c r="D18" s="33" t="s">
        <v>6</v>
      </c>
      <c r="E18" s="11">
        <v>1349.7624537464999</v>
      </c>
      <c r="F18" s="17">
        <v>1</v>
      </c>
      <c r="G18" s="24" t="s">
        <v>61</v>
      </c>
      <c r="H18" s="21">
        <v>1.7349919187394899E-295</v>
      </c>
    </row>
    <row r="19" spans="1:8" s="4" customFormat="1" ht="17" thickBot="1" x14ac:dyDescent="0.25">
      <c r="A19" s="134"/>
      <c r="B19" s="135"/>
      <c r="C19" s="131"/>
      <c r="D19" s="35" t="s">
        <v>62</v>
      </c>
      <c r="E19" s="14">
        <v>1.01647501460154</v>
      </c>
      <c r="F19" s="18">
        <v>4</v>
      </c>
      <c r="G19" s="26">
        <v>0.90728763440189597</v>
      </c>
      <c r="H19" s="22">
        <v>0.90728763440189597</v>
      </c>
    </row>
    <row r="20" spans="1:8" s="4" customFormat="1" x14ac:dyDescent="0.2">
      <c r="A20" s="134" t="s">
        <v>59</v>
      </c>
      <c r="B20" s="135" t="s">
        <v>13</v>
      </c>
      <c r="C20" s="131"/>
      <c r="D20" s="36" t="s">
        <v>50</v>
      </c>
      <c r="E20" s="10">
        <v>993.37931948195501</v>
      </c>
      <c r="F20" s="16">
        <v>1</v>
      </c>
      <c r="G20" s="29" t="s">
        <v>61</v>
      </c>
      <c r="H20" s="20">
        <v>4.9359183411887004E-218</v>
      </c>
    </row>
    <row r="21" spans="1:8" s="4" customFormat="1" x14ac:dyDescent="0.2">
      <c r="A21" s="134"/>
      <c r="B21" s="135"/>
      <c r="C21" s="131"/>
      <c r="D21" s="33" t="s">
        <v>6</v>
      </c>
      <c r="E21" s="11">
        <v>186.01256926129099</v>
      </c>
      <c r="F21" s="17">
        <v>1</v>
      </c>
      <c r="G21" s="24" t="s">
        <v>61</v>
      </c>
      <c r="H21" s="21">
        <v>2.3591118761285099E-42</v>
      </c>
    </row>
    <row r="22" spans="1:8" s="4" customFormat="1" x14ac:dyDescent="0.2">
      <c r="A22" s="134"/>
      <c r="B22" s="135"/>
      <c r="C22" s="131"/>
      <c r="D22" s="33" t="s">
        <v>62</v>
      </c>
      <c r="E22" s="38">
        <v>13.7759024151218</v>
      </c>
      <c r="F22" s="39">
        <v>3</v>
      </c>
      <c r="G22" s="30">
        <v>3.2266145360817502E-3</v>
      </c>
      <c r="H22" s="27">
        <v>3.2266145360817502E-3</v>
      </c>
    </row>
    <row r="23" spans="1:8" s="4" customFormat="1" ht="17" thickBot="1" x14ac:dyDescent="0.25">
      <c r="A23" s="134"/>
      <c r="B23" s="135"/>
      <c r="C23" s="131"/>
      <c r="D23" s="37" t="s">
        <v>14</v>
      </c>
      <c r="E23" s="14">
        <v>16.923663354455002</v>
      </c>
      <c r="F23" s="18">
        <v>1</v>
      </c>
      <c r="G23" s="26" t="s">
        <v>61</v>
      </c>
      <c r="H23" s="22">
        <v>3.8913451800605003E-5</v>
      </c>
    </row>
    <row r="24" spans="1:8" s="4" customFormat="1" x14ac:dyDescent="0.2">
      <c r="A24" s="134" t="s">
        <v>58</v>
      </c>
      <c r="B24" s="135"/>
      <c r="C24" s="131"/>
      <c r="D24" s="32" t="s">
        <v>50</v>
      </c>
      <c r="E24" s="31">
        <v>892.90135785107202</v>
      </c>
      <c r="F24" s="19">
        <v>1</v>
      </c>
      <c r="G24" s="25" t="s">
        <v>61</v>
      </c>
      <c r="H24" s="23">
        <v>3.4275751780307598E-196</v>
      </c>
    </row>
    <row r="25" spans="1:8" s="4" customFormat="1" x14ac:dyDescent="0.2">
      <c r="A25" s="134"/>
      <c r="B25" s="135"/>
      <c r="C25" s="131"/>
      <c r="D25" s="33" t="s">
        <v>6</v>
      </c>
      <c r="E25" s="12">
        <v>180.805075919366</v>
      </c>
      <c r="F25" s="17">
        <v>1</v>
      </c>
      <c r="G25" s="24" t="s">
        <v>61</v>
      </c>
      <c r="H25" s="21">
        <v>3.2332679917935E-41</v>
      </c>
    </row>
    <row r="26" spans="1:8" s="4" customFormat="1" x14ac:dyDescent="0.2">
      <c r="A26" s="134"/>
      <c r="B26" s="135"/>
      <c r="C26" s="131"/>
      <c r="D26" s="34" t="s">
        <v>62</v>
      </c>
      <c r="E26" s="12">
        <v>0.364611395997813</v>
      </c>
      <c r="F26" s="17">
        <v>2</v>
      </c>
      <c r="G26" s="24">
        <v>0.83334654910066597</v>
      </c>
      <c r="H26" s="21">
        <v>0.83334654910066597</v>
      </c>
    </row>
    <row r="27" spans="1:8" s="4" customFormat="1" ht="17" thickBot="1" x14ac:dyDescent="0.25">
      <c r="A27" s="134"/>
      <c r="B27" s="135"/>
      <c r="C27" s="131"/>
      <c r="D27" s="35" t="s">
        <v>14</v>
      </c>
      <c r="E27" s="13">
        <v>19.955690515711701</v>
      </c>
      <c r="F27" s="18">
        <v>1</v>
      </c>
      <c r="G27" s="26" t="s">
        <v>61</v>
      </c>
      <c r="H27" s="22">
        <v>7.9257714665042108E-6</v>
      </c>
    </row>
    <row r="28" spans="1:8" s="4" customFormat="1" x14ac:dyDescent="0.2">
      <c r="A28" s="134" t="s">
        <v>8</v>
      </c>
      <c r="B28" s="135"/>
      <c r="C28" s="131"/>
      <c r="D28" s="32" t="s">
        <v>50</v>
      </c>
      <c r="E28" s="31">
        <v>894.15646796556996</v>
      </c>
      <c r="F28" s="19">
        <v>1</v>
      </c>
      <c r="G28" s="25" t="s">
        <v>61</v>
      </c>
      <c r="H28" s="23">
        <v>1.8286852000422501E-196</v>
      </c>
    </row>
    <row r="29" spans="1:8" s="4" customFormat="1" x14ac:dyDescent="0.2">
      <c r="A29" s="134"/>
      <c r="B29" s="135"/>
      <c r="C29" s="131"/>
      <c r="D29" s="33" t="s">
        <v>6</v>
      </c>
      <c r="E29" s="12">
        <v>177.94975124336401</v>
      </c>
      <c r="F29" s="17">
        <v>1</v>
      </c>
      <c r="G29" s="24" t="s">
        <v>61</v>
      </c>
      <c r="H29" s="21">
        <v>1.3585845941920599E-40</v>
      </c>
    </row>
    <row r="30" spans="1:8" s="4" customFormat="1" x14ac:dyDescent="0.2">
      <c r="A30" s="134"/>
      <c r="B30" s="135"/>
      <c r="C30" s="131"/>
      <c r="D30" s="33" t="s">
        <v>62</v>
      </c>
      <c r="E30" s="12">
        <v>1.71666784231765</v>
      </c>
      <c r="F30" s="17">
        <v>3</v>
      </c>
      <c r="G30" s="24">
        <v>0.63323453282499498</v>
      </c>
      <c r="H30" s="21">
        <v>0.63323453282499498</v>
      </c>
    </row>
    <row r="31" spans="1:8" s="4" customFormat="1" ht="17" thickBot="1" x14ac:dyDescent="0.25">
      <c r="A31" s="134"/>
      <c r="B31" s="135"/>
      <c r="C31" s="131"/>
      <c r="D31" s="35" t="s">
        <v>14</v>
      </c>
      <c r="E31" s="13">
        <v>19.972166163846499</v>
      </c>
      <c r="F31" s="18">
        <v>1</v>
      </c>
      <c r="G31" s="26" t="s">
        <v>61</v>
      </c>
      <c r="H31" s="22">
        <v>7.8577698908667496E-6</v>
      </c>
    </row>
    <row r="32" spans="1:8" s="4" customFormat="1" x14ac:dyDescent="0.2">
      <c r="A32" s="134" t="s">
        <v>60</v>
      </c>
      <c r="B32" s="135"/>
      <c r="C32" s="131"/>
      <c r="D32" s="32" t="s">
        <v>50</v>
      </c>
      <c r="E32" s="31">
        <v>1013.62879138711</v>
      </c>
      <c r="F32" s="19">
        <v>1</v>
      </c>
      <c r="G32" s="25" t="s">
        <v>61</v>
      </c>
      <c r="H32" s="23">
        <v>1.9582935350914199E-222</v>
      </c>
    </row>
    <row r="33" spans="1:8" s="4" customFormat="1" x14ac:dyDescent="0.2">
      <c r="A33" s="134"/>
      <c r="B33" s="135"/>
      <c r="C33" s="131"/>
      <c r="D33" s="33" t="s">
        <v>6</v>
      </c>
      <c r="E33" s="12">
        <v>186.039159002134</v>
      </c>
      <c r="F33" s="17">
        <v>1</v>
      </c>
      <c r="G33" s="24" t="s">
        <v>61</v>
      </c>
      <c r="H33" s="21">
        <v>2.3277907335654199E-42</v>
      </c>
    </row>
    <row r="34" spans="1:8" s="4" customFormat="1" x14ac:dyDescent="0.2">
      <c r="A34" s="134"/>
      <c r="B34" s="135"/>
      <c r="C34" s="131"/>
      <c r="D34" s="33" t="s">
        <v>62</v>
      </c>
      <c r="E34" s="12">
        <v>8.7698547258539197</v>
      </c>
      <c r="F34" s="17">
        <v>4</v>
      </c>
      <c r="G34" s="24">
        <v>6.7116622313608598E-2</v>
      </c>
      <c r="H34" s="21">
        <v>6.7116622313608598E-2</v>
      </c>
    </row>
    <row r="35" spans="1:8" s="4" customFormat="1" ht="17" thickBot="1" x14ac:dyDescent="0.25">
      <c r="A35" s="138"/>
      <c r="B35" s="136"/>
      <c r="C35" s="132"/>
      <c r="D35" s="35" t="s">
        <v>14</v>
      </c>
      <c r="E35" s="13">
        <v>17.301906968771799</v>
      </c>
      <c r="F35" s="18">
        <v>1</v>
      </c>
      <c r="G35" s="26" t="s">
        <v>61</v>
      </c>
      <c r="H35" s="22">
        <v>3.1886669413129799E-5</v>
      </c>
    </row>
  </sheetData>
  <mergeCells count="16">
    <mergeCell ref="C2:C4"/>
    <mergeCell ref="C5:C35"/>
    <mergeCell ref="A2:A4"/>
    <mergeCell ref="A5:A7"/>
    <mergeCell ref="A8:A10"/>
    <mergeCell ref="A11:A13"/>
    <mergeCell ref="A14:A16"/>
    <mergeCell ref="A17:A19"/>
    <mergeCell ref="B20:B35"/>
    <mergeCell ref="B8:B19"/>
    <mergeCell ref="B5:B7"/>
    <mergeCell ref="B2:B4"/>
    <mergeCell ref="A20:A23"/>
    <mergeCell ref="A24:A27"/>
    <mergeCell ref="A28:A31"/>
    <mergeCell ref="A32:A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0834-6EA2-3D4D-B386-80B68D11CC8F}">
  <dimension ref="B1:K15"/>
  <sheetViews>
    <sheetView workbookViewId="0">
      <selection activeCell="J5" sqref="J5"/>
    </sheetView>
  </sheetViews>
  <sheetFormatPr baseColWidth="10" defaultRowHeight="16" x14ac:dyDescent="0.2"/>
  <cols>
    <col min="1" max="1" width="33.83203125" bestFit="1" customWidth="1"/>
    <col min="3" max="3" width="13.1640625" customWidth="1"/>
    <col min="6" max="6" width="29.83203125" bestFit="1" customWidth="1"/>
    <col min="10" max="10" width="24.83203125" bestFit="1" customWidth="1"/>
    <col min="11" max="11" width="24.1640625" bestFit="1" customWidth="1"/>
  </cols>
  <sheetData>
    <row r="1" spans="2:11" x14ac:dyDescent="0.2">
      <c r="C1" t="s">
        <v>31</v>
      </c>
      <c r="G1" t="s">
        <v>32</v>
      </c>
    </row>
    <row r="2" spans="2:11" x14ac:dyDescent="0.2">
      <c r="C2" t="s">
        <v>13</v>
      </c>
      <c r="D2" t="s">
        <v>12</v>
      </c>
      <c r="G2" t="s">
        <v>13</v>
      </c>
      <c r="H2" t="s">
        <v>12</v>
      </c>
      <c r="J2" t="s">
        <v>33</v>
      </c>
      <c r="K2" t="s">
        <v>35</v>
      </c>
    </row>
    <row r="3" spans="2:11" x14ac:dyDescent="0.2">
      <c r="B3" t="s">
        <v>15</v>
      </c>
      <c r="C3">
        <v>0.94</v>
      </c>
      <c r="D3">
        <v>0.89</v>
      </c>
      <c r="F3" t="s">
        <v>16</v>
      </c>
      <c r="G3">
        <v>0.94</v>
      </c>
      <c r="H3">
        <v>0.93</v>
      </c>
      <c r="I3" s="3" t="s">
        <v>34</v>
      </c>
      <c r="J3" s="2" t="b">
        <f>G3&gt;C3</f>
        <v>0</v>
      </c>
      <c r="K3" t="b">
        <f>H3&gt;D3</f>
        <v>1</v>
      </c>
    </row>
    <row r="4" spans="2:11" x14ac:dyDescent="0.2">
      <c r="B4" t="s">
        <v>17</v>
      </c>
      <c r="C4">
        <v>0.94</v>
      </c>
      <c r="D4">
        <v>0.86</v>
      </c>
      <c r="F4" t="s">
        <v>18</v>
      </c>
      <c r="G4">
        <v>0.97</v>
      </c>
      <c r="H4">
        <v>0.99</v>
      </c>
      <c r="J4" t="b">
        <f t="shared" ref="J4:K10" si="0">G4&gt;C4</f>
        <v>1</v>
      </c>
      <c r="K4" t="b">
        <f t="shared" si="0"/>
        <v>1</v>
      </c>
    </row>
    <row r="5" spans="2:11" x14ac:dyDescent="0.2">
      <c r="B5" t="s">
        <v>19</v>
      </c>
      <c r="C5">
        <v>0.92</v>
      </c>
      <c r="D5">
        <v>0.89</v>
      </c>
      <c r="F5" t="s">
        <v>20</v>
      </c>
      <c r="G5">
        <v>1.02</v>
      </c>
      <c r="H5">
        <v>1.05</v>
      </c>
      <c r="J5" t="b">
        <f t="shared" si="0"/>
        <v>1</v>
      </c>
      <c r="K5" t="b">
        <f t="shared" si="0"/>
        <v>1</v>
      </c>
    </row>
    <row r="6" spans="2:11" x14ac:dyDescent="0.2">
      <c r="B6" t="s">
        <v>21</v>
      </c>
      <c r="C6">
        <v>0.88</v>
      </c>
      <c r="D6">
        <v>0.91</v>
      </c>
      <c r="F6" t="s">
        <v>22</v>
      </c>
      <c r="G6">
        <v>0.97</v>
      </c>
      <c r="H6">
        <v>1</v>
      </c>
      <c r="J6" t="b">
        <f t="shared" si="0"/>
        <v>1</v>
      </c>
      <c r="K6" t="b">
        <f t="shared" si="0"/>
        <v>1</v>
      </c>
    </row>
    <row r="7" spans="2:11" x14ac:dyDescent="0.2">
      <c r="B7" t="s">
        <v>23</v>
      </c>
      <c r="C7">
        <v>0.77</v>
      </c>
      <c r="D7">
        <v>0.75</v>
      </c>
      <c r="F7" t="s">
        <v>24</v>
      </c>
      <c r="G7">
        <v>0.71</v>
      </c>
      <c r="H7">
        <v>0.78</v>
      </c>
      <c r="J7" s="1" t="b">
        <f t="shared" si="0"/>
        <v>0</v>
      </c>
      <c r="K7" t="b">
        <f t="shared" si="0"/>
        <v>1</v>
      </c>
    </row>
    <row r="8" spans="2:11" x14ac:dyDescent="0.2">
      <c r="B8" t="s">
        <v>25</v>
      </c>
      <c r="C8">
        <v>0.79</v>
      </c>
      <c r="D8">
        <v>0.8</v>
      </c>
      <c r="F8" t="s">
        <v>26</v>
      </c>
      <c r="G8">
        <v>0.84</v>
      </c>
      <c r="H8">
        <v>0.88</v>
      </c>
      <c r="J8" t="b">
        <f t="shared" si="0"/>
        <v>1</v>
      </c>
      <c r="K8" t="b">
        <f t="shared" si="0"/>
        <v>1</v>
      </c>
    </row>
    <row r="9" spans="2:11" x14ac:dyDescent="0.2">
      <c r="B9" t="s">
        <v>27</v>
      </c>
      <c r="C9">
        <v>0.78</v>
      </c>
      <c r="D9">
        <v>0.83</v>
      </c>
      <c r="F9" t="s">
        <v>28</v>
      </c>
      <c r="G9">
        <v>0.84</v>
      </c>
      <c r="H9">
        <v>0.88</v>
      </c>
      <c r="J9" t="b">
        <f t="shared" si="0"/>
        <v>1</v>
      </c>
      <c r="K9" t="b">
        <f t="shared" si="0"/>
        <v>1</v>
      </c>
    </row>
    <row r="10" spans="2:11" x14ac:dyDescent="0.2">
      <c r="B10" t="s">
        <v>29</v>
      </c>
      <c r="C10">
        <v>0.97</v>
      </c>
      <c r="D10">
        <v>0.96</v>
      </c>
      <c r="F10" t="s">
        <v>30</v>
      </c>
      <c r="G10">
        <v>0.97</v>
      </c>
      <c r="H10">
        <v>0.99</v>
      </c>
      <c r="I10" s="3" t="s">
        <v>34</v>
      </c>
      <c r="J10" s="2" t="b">
        <f t="shared" si="0"/>
        <v>0</v>
      </c>
      <c r="K10" t="b">
        <f t="shared" si="0"/>
        <v>1</v>
      </c>
    </row>
    <row r="15" spans="2:11" x14ac:dyDescent="0.2">
      <c r="I15">
        <f>13/16</f>
        <v>0.8125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Table 1 - main text</vt:lpstr>
      <vt:lpstr>RMR MMR ecol</vt:lpstr>
      <vt:lpstr>FAS ecol</vt:lpstr>
      <vt:lpstr>ecology models -REVIEW</vt:lpstr>
      <vt:lpstr>Ecol ANOVA</vt:lpstr>
      <vt:lpstr>CI main models</vt:lpstr>
      <vt:lpstr>OUTDATED - pre Review</vt:lpstr>
      <vt:lpstr>OUTDATED - pre review2</vt:lpstr>
      <vt:lpstr>'Table 1 - main text'!_Toc224551882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 Kraskura</dc:creator>
  <cp:lastModifiedBy>Krista Kraskura</cp:lastModifiedBy>
  <dcterms:created xsi:type="dcterms:W3CDTF">2025-06-23T20:15:28Z</dcterms:created>
  <dcterms:modified xsi:type="dcterms:W3CDTF">2026-04-12T00:17:59Z</dcterms:modified>
</cp:coreProperties>
</file>