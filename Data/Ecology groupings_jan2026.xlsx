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166925"/>
  <mc:AlternateContent xmlns:mc="http://schemas.openxmlformats.org/markup-compatibility/2006">
    <mc:Choice Requires="x15">
      <x15ac:absPath xmlns:x15ac="http://schemas.microsoft.com/office/spreadsheetml/2010/11/ac" url="/Users/kristakraskura/Github_repositories/KK_etal_synthesis_fish_temp_scaling/Data/"/>
    </mc:Choice>
  </mc:AlternateContent>
  <xr:revisionPtr revIDLastSave="0" documentId="13_ncr:1_{FDBE010E-FAEA-5541-8E6F-7BC2AE7B8255}" xr6:coauthVersionLast="47" xr6:coauthVersionMax="47" xr10:uidLastSave="{00000000-0000-0000-0000-000000000000}"/>
  <bookViews>
    <workbookView xWindow="0" yWindow="620" windowWidth="28800" windowHeight="17380" xr2:uid="{F0A9AA15-4CBC-F74A-B4FF-B69873D376A4}"/>
  </bookViews>
  <sheets>
    <sheet name="to.csv" sheetId="4" r:id="rId1"/>
    <sheet name="review.curate" sheetId="5" r:id="rId2"/>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04" i="5" l="1"/>
  <c r="L82" i="5"/>
  <c r="I82" i="5"/>
  <c r="F82" i="5"/>
  <c r="L105" i="5"/>
  <c r="L103" i="5"/>
  <c r="L102" i="5"/>
  <c r="L101" i="5"/>
  <c r="L100" i="5"/>
  <c r="I100" i="5"/>
  <c r="F100" i="5"/>
  <c r="F99" i="5"/>
  <c r="L99" i="5"/>
  <c r="L97" i="5"/>
  <c r="L98" i="5"/>
  <c r="F98" i="5"/>
  <c r="L96" i="5"/>
  <c r="L95" i="5"/>
  <c r="L94" i="5"/>
  <c r="L93" i="5"/>
  <c r="I91" i="5"/>
  <c r="L92" i="5"/>
  <c r="L91" i="5"/>
  <c r="L76" i="5"/>
  <c r="F76" i="5"/>
  <c r="L36" i="5"/>
  <c r="F36" i="5"/>
  <c r="L26" i="5"/>
  <c r="F26" i="5"/>
  <c r="F17" i="5"/>
  <c r="F15" i="5"/>
  <c r="L13" i="5"/>
  <c r="F13" i="5"/>
  <c r="L61" i="5"/>
  <c r="F61" i="5"/>
  <c r="L87" i="5"/>
  <c r="I86" i="5"/>
  <c r="I76" i="5"/>
  <c r="I61" i="5"/>
  <c r="I36" i="5"/>
  <c r="I26" i="5"/>
  <c r="L90" i="5"/>
  <c r="I90" i="5"/>
  <c r="F90" i="5"/>
  <c r="L89" i="5"/>
  <c r="I89" i="5"/>
  <c r="F89" i="5"/>
  <c r="L88" i="5"/>
  <c r="I88" i="5"/>
  <c r="F88" i="5"/>
  <c r="L85" i="5"/>
  <c r="I85" i="5"/>
  <c r="F85" i="5"/>
  <c r="L84" i="5"/>
  <c r="I84" i="5"/>
  <c r="F84" i="5"/>
  <c r="L83" i="5"/>
  <c r="I83" i="5"/>
  <c r="F83" i="5"/>
  <c r="L81" i="5"/>
  <c r="I81" i="5"/>
  <c r="F81" i="5"/>
  <c r="I80" i="5"/>
  <c r="F80" i="5"/>
  <c r="L79" i="5"/>
  <c r="I79" i="5"/>
  <c r="F79" i="5"/>
  <c r="L78" i="5"/>
  <c r="F78" i="5"/>
  <c r="L77" i="5"/>
  <c r="I77" i="5"/>
  <c r="F77" i="5"/>
  <c r="L75" i="5"/>
  <c r="I75" i="5"/>
  <c r="F75" i="5"/>
  <c r="L74" i="5"/>
  <c r="I74" i="5"/>
  <c r="F74" i="5"/>
  <c r="L73" i="5"/>
  <c r="I73" i="5"/>
  <c r="F73" i="5"/>
  <c r="L72" i="5"/>
  <c r="I72" i="5"/>
  <c r="L71" i="5"/>
  <c r="I71" i="5"/>
  <c r="F71" i="5"/>
  <c r="L70" i="5"/>
  <c r="I70" i="5"/>
  <c r="F70" i="5"/>
  <c r="L69" i="5"/>
  <c r="I69" i="5"/>
  <c r="F69" i="5"/>
  <c r="L68" i="5"/>
  <c r="I68" i="5"/>
  <c r="F68" i="5"/>
  <c r="L67" i="5"/>
  <c r="I67" i="5"/>
  <c r="F67" i="5"/>
  <c r="L66" i="5"/>
  <c r="I66" i="5"/>
  <c r="F66" i="5"/>
  <c r="L65" i="5"/>
  <c r="I65" i="5"/>
  <c r="F65" i="5"/>
  <c r="L64" i="5"/>
  <c r="I64" i="5"/>
  <c r="F64" i="5"/>
  <c r="L62" i="5"/>
  <c r="I62" i="5"/>
  <c r="F62" i="5"/>
  <c r="L60" i="5"/>
  <c r="I60" i="5"/>
  <c r="F60" i="5"/>
  <c r="L63" i="5"/>
  <c r="I63" i="5"/>
  <c r="F63" i="5"/>
  <c r="L59" i="5"/>
  <c r="I59" i="5"/>
  <c r="F59" i="5"/>
  <c r="L58" i="5"/>
  <c r="I58" i="5"/>
  <c r="F58" i="5"/>
  <c r="L57" i="5"/>
  <c r="I57" i="5"/>
  <c r="F57" i="5"/>
  <c r="L56" i="5"/>
  <c r="I56" i="5"/>
  <c r="F56" i="5"/>
  <c r="L55" i="5"/>
  <c r="I55" i="5"/>
  <c r="F55" i="5"/>
  <c r="L54" i="5"/>
  <c r="I54" i="5"/>
  <c r="F54" i="5"/>
  <c r="L53" i="5"/>
  <c r="I53" i="5"/>
  <c r="F53" i="5"/>
  <c r="L52" i="5"/>
  <c r="I52" i="5"/>
  <c r="F52" i="5"/>
  <c r="L51" i="5"/>
  <c r="I51" i="5"/>
  <c r="F51" i="5"/>
  <c r="L50" i="5"/>
  <c r="I50" i="5"/>
  <c r="L49" i="5"/>
  <c r="I49" i="5"/>
  <c r="F49" i="5"/>
  <c r="L48" i="5"/>
  <c r="I48" i="5"/>
  <c r="F48" i="5"/>
  <c r="L47" i="5"/>
  <c r="I47" i="5"/>
  <c r="F47" i="5"/>
  <c r="L46" i="5"/>
  <c r="I46" i="5"/>
  <c r="F46" i="5"/>
  <c r="L45" i="5"/>
  <c r="I45" i="5"/>
  <c r="F45" i="5"/>
  <c r="L44" i="5"/>
  <c r="I44" i="5"/>
  <c r="F44" i="5"/>
  <c r="L43" i="5"/>
  <c r="I43" i="5"/>
  <c r="F43" i="5"/>
  <c r="L42" i="5"/>
  <c r="I42" i="5"/>
  <c r="F42" i="5"/>
  <c r="L41" i="5"/>
  <c r="F41" i="5"/>
  <c r="L40" i="5"/>
  <c r="I40" i="5"/>
  <c r="F40" i="5"/>
  <c r="L39" i="5"/>
  <c r="I39" i="5"/>
  <c r="F39" i="5"/>
  <c r="L38" i="5"/>
  <c r="I38" i="5"/>
  <c r="F38" i="5"/>
  <c r="L37" i="5"/>
  <c r="I37" i="5"/>
  <c r="F37" i="5"/>
  <c r="L35" i="5"/>
  <c r="I35" i="5"/>
  <c r="F35" i="5"/>
  <c r="L34" i="5"/>
  <c r="I34" i="5"/>
  <c r="F34" i="5"/>
  <c r="L33" i="5"/>
  <c r="I33" i="5"/>
  <c r="F33" i="5"/>
  <c r="L32" i="5"/>
  <c r="I32" i="5"/>
  <c r="F32" i="5"/>
  <c r="L31" i="5"/>
  <c r="I31" i="5"/>
  <c r="F31" i="5"/>
  <c r="L30" i="5"/>
  <c r="F30" i="5"/>
  <c r="L29" i="5"/>
  <c r="I29" i="5"/>
  <c r="F29" i="5"/>
  <c r="L28" i="5"/>
  <c r="I28" i="5"/>
  <c r="F28" i="5"/>
  <c r="L27" i="5"/>
  <c r="I27" i="5"/>
  <c r="F27" i="5"/>
  <c r="L25" i="5"/>
  <c r="I25" i="5"/>
  <c r="F25" i="5"/>
  <c r="L24" i="5"/>
  <c r="I24" i="5"/>
  <c r="F24" i="5"/>
  <c r="L23" i="5"/>
  <c r="I23" i="5"/>
  <c r="F23" i="5"/>
  <c r="L22" i="5"/>
  <c r="I22" i="5"/>
  <c r="F22" i="5"/>
  <c r="L21" i="5"/>
  <c r="I21" i="5"/>
  <c r="F21" i="5"/>
  <c r="L20" i="5"/>
  <c r="I20" i="5"/>
  <c r="F20" i="5"/>
  <c r="L19" i="5"/>
  <c r="I19" i="5"/>
  <c r="F19" i="5"/>
  <c r="L18" i="5"/>
  <c r="I18" i="5"/>
  <c r="F18" i="5"/>
  <c r="L16" i="5"/>
  <c r="I16" i="5"/>
  <c r="F16" i="5"/>
  <c r="L14" i="5"/>
  <c r="I14" i="5"/>
  <c r="F14" i="5"/>
  <c r="L12" i="5"/>
  <c r="I12" i="5"/>
  <c r="F12" i="5"/>
  <c r="L11" i="5"/>
  <c r="I11" i="5"/>
  <c r="F11" i="5"/>
  <c r="L10" i="5"/>
  <c r="I10" i="5"/>
  <c r="F10" i="5"/>
  <c r="L9" i="5"/>
  <c r="I9" i="5"/>
  <c r="F9" i="5"/>
  <c r="L8" i="5"/>
  <c r="I8" i="5"/>
  <c r="F8" i="5"/>
  <c r="L5" i="5"/>
  <c r="I5" i="5"/>
  <c r="F5" i="5"/>
  <c r="L4" i="5"/>
  <c r="I4" i="5"/>
  <c r="F4" i="5"/>
  <c r="L3" i="5"/>
  <c r="I3" i="5"/>
  <c r="F3" i="5"/>
</calcChain>
</file>

<file path=xl/sharedStrings.xml><?xml version="1.0" encoding="utf-8"?>
<sst xmlns="http://schemas.openxmlformats.org/spreadsheetml/2006/main" count="1470" uniqueCount="355">
  <si>
    <t>species</t>
  </si>
  <si>
    <t>Acanthochromis polyacanthus</t>
  </si>
  <si>
    <t>Acrossocheilus monticola</t>
  </si>
  <si>
    <t>Amphiprion melanopus</t>
  </si>
  <si>
    <t>Amphiprion percula</t>
  </si>
  <si>
    <t>Anguilla anguilla</t>
  </si>
  <si>
    <t>Bellapiscis medius</t>
  </si>
  <si>
    <t>Boreogadus saida</t>
  </si>
  <si>
    <t>Carassius auratus</t>
  </si>
  <si>
    <t>Channa argus</t>
  </si>
  <si>
    <t>Chromis viridis</t>
  </si>
  <si>
    <t>Clarias gariepinus</t>
  </si>
  <si>
    <t>Ctenopharyngodon idella</t>
  </si>
  <si>
    <t>Cyprinus carpio</t>
  </si>
  <si>
    <t>Dicentrarchus labrax</t>
  </si>
  <si>
    <t>Discogobio yunnanensis</t>
  </si>
  <si>
    <t>Enteromius neumayeri</t>
  </si>
  <si>
    <t>Forsterygion lapillum</t>
  </si>
  <si>
    <t>Gadus morhua</t>
  </si>
  <si>
    <t>Gambusia holbrooki</t>
  </si>
  <si>
    <t>Gasterosteus aculeatus</t>
  </si>
  <si>
    <t>Gobiocypris rarus</t>
  </si>
  <si>
    <t>Halichoeres melanurus</t>
  </si>
  <si>
    <t>Halichoeres miniatus</t>
  </si>
  <si>
    <t>Hemibagrus macropterus</t>
  </si>
  <si>
    <t>Hemibarbus maculatus</t>
  </si>
  <si>
    <t>Hypophthalmichthys molitrix</t>
  </si>
  <si>
    <t>Hypophthalmichthys nobilis</t>
  </si>
  <si>
    <t>Lates calcarifer</t>
  </si>
  <si>
    <t>Lates niloticus</t>
  </si>
  <si>
    <t>Megalobrama pellegrini</t>
  </si>
  <si>
    <t>Metahomaloptera omeiensis</t>
  </si>
  <si>
    <t>Misgurnus anguillicaudatus</t>
  </si>
  <si>
    <t>Mylopharyngodon piceus</t>
  </si>
  <si>
    <t>Myxocyprinus asiaticus</t>
  </si>
  <si>
    <t>Neogobius melanostomus</t>
  </si>
  <si>
    <t>Notothenia rossii</t>
  </si>
  <si>
    <t>Oncorhynchus kisutch</t>
  </si>
  <si>
    <t>Oncorhynchus mykiss</t>
  </si>
  <si>
    <t>Oncorhynchus nerka</t>
  </si>
  <si>
    <t>Oncorhynchus tshawytscha</t>
  </si>
  <si>
    <t>Paralichthys olivaceus</t>
  </si>
  <si>
    <t>Perca fluviatilis</t>
  </si>
  <si>
    <t>Percocypris pingi</t>
  </si>
  <si>
    <t>Phoxinus phoxinus</t>
  </si>
  <si>
    <t>Polyprion oxygeneios</t>
  </si>
  <si>
    <t>Pomacentrus amboinensis</t>
  </si>
  <si>
    <t>Procypris rabaudi</t>
  </si>
  <si>
    <t>Pseudobagrus vachellii</t>
  </si>
  <si>
    <t>Pseudorasbora parva</t>
  </si>
  <si>
    <t>Rhinogobius giurinus</t>
  </si>
  <si>
    <t>Rhodeus ocellatus</t>
  </si>
  <si>
    <t>Salmo salar</t>
  </si>
  <si>
    <t>Salmo trutta</t>
  </si>
  <si>
    <t>Salvelinus alpinus</t>
  </si>
  <si>
    <t>Schizothorax wangchiachii</t>
  </si>
  <si>
    <t>Silurus meridionalis</t>
  </si>
  <si>
    <t>Sinibrama taeniatus</t>
  </si>
  <si>
    <t>Siniperca chuatsi</t>
  </si>
  <si>
    <t>Somniosus microcephalus</t>
  </si>
  <si>
    <t>Spinibarbus sinensis</t>
  </si>
  <si>
    <t>Tachysurus dumerili</t>
  </si>
  <si>
    <t>Tautogolabrus adspersus</t>
  </si>
  <si>
    <t>Thalassoma amblycephalum</t>
  </si>
  <si>
    <t>Trematomus bernacchii</t>
  </si>
  <si>
    <t>Triplophysa rosa</t>
  </si>
  <si>
    <t>Zacco platypus</t>
  </si>
  <si>
    <t>Abbottina rivularis</t>
  </si>
  <si>
    <t>Hemiculter leucisculus</t>
  </si>
  <si>
    <t>Onychostoma simum</t>
  </si>
  <si>
    <t>Opsariichthys bidens</t>
  </si>
  <si>
    <t>Oreochromis niloticus</t>
  </si>
  <si>
    <t>Parabramis pekinensis</t>
  </si>
  <si>
    <t>Piaractus mesopotamicus</t>
  </si>
  <si>
    <t>Poecilia reticulata</t>
  </si>
  <si>
    <t>Rhodeus sinensis</t>
  </si>
  <si>
    <t>Sarcocheilichthys parvus</t>
  </si>
  <si>
    <t>Climate</t>
  </si>
  <si>
    <t>Morphology</t>
  </si>
  <si>
    <t>Lifestyle</t>
  </si>
  <si>
    <t>https://www.fishbase.de/summary/Abbottina-rivularis.html</t>
  </si>
  <si>
    <t>Freshwater; brackish</t>
  </si>
  <si>
    <t>benthopelagic</t>
  </si>
  <si>
    <t>Subtropical</t>
  </si>
  <si>
    <t>https://www.fishbase.se/summary/6655</t>
  </si>
  <si>
    <t>Marine</t>
  </si>
  <si>
    <t>reef-associated</t>
  </si>
  <si>
    <t>Tropical</t>
  </si>
  <si>
    <t>https://www.fishbase.se/summary/55155</t>
  </si>
  <si>
    <t>Temperate</t>
  </si>
  <si>
    <t>Freshwater</t>
  </si>
  <si>
    <t>https://www.fishbase.se/summary/Amphiprion-melanopus</t>
  </si>
  <si>
    <t>https://www.fishbase.de/summary/amphiprion-percula.html</t>
  </si>
  <si>
    <t>Marine; freshwater; brackish</t>
  </si>
  <si>
    <t>demersal</t>
  </si>
  <si>
    <t>https://www.fishbase.se/summary/Bellapiscis-medius.html</t>
  </si>
  <si>
    <t>https://www.fishbase.se/summary/Anguilla-anguilla.html</t>
  </si>
  <si>
    <t>Marine; brackish</t>
  </si>
  <si>
    <t>https://www.fishbase.se/summary/Boreogadus-saida.html</t>
  </si>
  <si>
    <t>Polar</t>
  </si>
  <si>
    <t>https://www.fishbase.se/summary/271</t>
  </si>
  <si>
    <t>https://www.fishbase.de/summary/4799</t>
  </si>
  <si>
    <t>https://www.fishbase.se/summary/Ctenopharyngodon-idella.html</t>
  </si>
  <si>
    <t>https://www.fishbase.se/summary/clarias-gariepinus.html</t>
  </si>
  <si>
    <t>https://www.fishbase.se/summary/cyprinus-carpio.html</t>
  </si>
  <si>
    <t>https://www.fishbase.se/summary/Dicentrarchus-labrax.html</t>
  </si>
  <si>
    <t>https://www.fishbase.se/summary/Discogobio-yunnanensis</t>
  </si>
  <si>
    <t>https://www.fishbase.se/summary/11430</t>
  </si>
  <si>
    <t>https://www.fishbase.se/summary/12940</t>
  </si>
  <si>
    <t>https://www.fishbase.se/summary/gadus-morhua.html</t>
  </si>
  <si>
    <t>https://www.fishbase.de/summary/gambusia-holbrooki.html</t>
  </si>
  <si>
    <t>https://www.fishbase.de/summary/Gasterosteus-aculeatus.html</t>
  </si>
  <si>
    <t>https://www.fishbase.se/summary/Gobiocypris-rarus.html</t>
  </si>
  <si>
    <t>https://www.fishbase.de/summary/4858</t>
  </si>
  <si>
    <t>https://www.fishbase.in/summary/6614</t>
  </si>
  <si>
    <t>https://www.fishbase.se/summary/hemibagrus-macropterus.html</t>
  </si>
  <si>
    <t>https://www.fishbase.de/summary/Hemibarbus-maculatus</t>
  </si>
  <si>
    <t>https://www.fishbase.se/summary/4755</t>
  </si>
  <si>
    <t>https://www.fishbase.de/summary/274</t>
  </si>
  <si>
    <t>https://www.fishbase.se/summary/Hypophthalmichthys-nobilis.html</t>
  </si>
  <si>
    <t>https://www.fishbase.se/summary/Lates-calcarifer.html</t>
  </si>
  <si>
    <t>https://www.fishbase.se/summary/lates-niloticus.html</t>
  </si>
  <si>
    <t>https://www.fishbase.in/summary/Megalobrama-pellegrini.html</t>
  </si>
  <si>
    <t>https://www.fishbase.se/summary/Metahomaloptera-omeiensis.html</t>
  </si>
  <si>
    <t>https://www.fishbase.se/summary/3016</t>
  </si>
  <si>
    <t>https://www.fishbase.se/summary/Mylopharyngodon-piceus.html</t>
  </si>
  <si>
    <t>https://www.fishbase.se/summary/12304</t>
  </si>
  <si>
    <t>https://www.fishbase.de/summary/neogobius-melanostomus.html</t>
  </si>
  <si>
    <t>https://www.fishbase.se/summary/468</t>
  </si>
  <si>
    <t>pelagic</t>
  </si>
  <si>
    <t>https://www.fishbase.se/summary/245</t>
  </si>
  <si>
    <t>https://www.fishbase.de/summary/oncorhynchus-mykiss.html</t>
  </si>
  <si>
    <t>https://www.fishbase.se/summary/oncorhynchus-nerka.html</t>
  </si>
  <si>
    <t>pelagic-oceanic</t>
  </si>
  <si>
    <t>https://www.fishbase.de/summary/244</t>
  </si>
  <si>
    <t>Date last accessed</t>
  </si>
  <si>
    <t>https://www.fishbase.in/summary/Onychostoma-simum</t>
  </si>
  <si>
    <t>https://www.fishbase.se/summary/27264</t>
  </si>
  <si>
    <t>https://www.fishbase.se/summary/oreochromis-niloticus.html</t>
  </si>
  <si>
    <t>tropical</t>
  </si>
  <si>
    <t>https://www.fishbase.se/summary/Paralichthys-olivaceus.html</t>
  </si>
  <si>
    <t>https://www.fishbase.in/summary/Parabramis-pekinensis</t>
  </si>
  <si>
    <t>https://www.fishbase.se/summary/56074</t>
  </si>
  <si>
    <t>https://www.fishbase.se/summary/perca-fluviatilis.html</t>
  </si>
  <si>
    <t>https://www.fishbase.de/summary/Phoxinus-phoxinus.html</t>
  </si>
  <si>
    <t>https://www.fishbase.se/summary/55383</t>
  </si>
  <si>
    <t>https://www.fishbase.se/summary/350</t>
  </si>
  <si>
    <t>https://www.fishbase.se/summary/5715</t>
  </si>
  <si>
    <t>https://www.fishbase.de/summary/3228</t>
  </si>
  <si>
    <t>https://www.fishbase.se/summary/50950</t>
  </si>
  <si>
    <t>https://www.fishbase.de/summary/4691</t>
  </si>
  <si>
    <t>https://www.fishbase.se/summary/Rhinogobius-giurinus</t>
  </si>
  <si>
    <t>https://www.fishbase.in/summary/Procypris-rabaudi.html</t>
  </si>
  <si>
    <t>https://www.fishbase.se/summary/Rhodeus-ocellatus.html</t>
  </si>
  <si>
    <t>https://www.fishbase.se/summary/salmo-salar.html</t>
  </si>
  <si>
    <t>https://www.fishbase.se/summary/Rhodeus-sinensis.html</t>
  </si>
  <si>
    <t>https://www.fishbase.se/summary/Salmo-trutta.html</t>
  </si>
  <si>
    <t>pelagic-neritic</t>
  </si>
  <si>
    <t>https://www.fishbase.de/summary/Salvelinus-alpinus.html</t>
  </si>
  <si>
    <t>https://www.fishbase.se/summary/Sarcocheilichthys-parvus.html</t>
  </si>
  <si>
    <t>https://www.fishbase.de/summary/Silurus-meridionalis.html</t>
  </si>
  <si>
    <t>https://www.fishbase.se/summary/Sinibrama-taeniatus.html</t>
  </si>
  <si>
    <t>https://www.fishbase.se/summary/Schizothorax-wangchiachii.html</t>
  </si>
  <si>
    <t>https://www.fishbase.de/summary/Siniperca-chuatsi.html</t>
  </si>
  <si>
    <t>https://www.fishbase.de/summary/62460</t>
  </si>
  <si>
    <t>https://www.fishbase.de/summary/Somniosus-microcephalus.html</t>
  </si>
  <si>
    <t>Boreal</t>
  </si>
  <si>
    <t>https://www.fishbase.se/summary/Tautogolabrus-adspersus.html</t>
  </si>
  <si>
    <t>https://www.fishbase.de/summary/50980</t>
  </si>
  <si>
    <t>https://www.fishbase.de/summary/5642</t>
  </si>
  <si>
    <t>https://www.fishbase.se/summary/7053</t>
  </si>
  <si>
    <t>https://www.fishbase.se/summary/62957</t>
  </si>
  <si>
    <t>fusiform</t>
  </si>
  <si>
    <t>elongated</t>
  </si>
  <si>
    <t>short/deep</t>
  </si>
  <si>
    <t>NA</t>
  </si>
  <si>
    <t>eel-like</t>
  </si>
  <si>
    <t>(source link)</t>
  </si>
  <si>
    <t>(source R fishbase)</t>
  </si>
  <si>
    <t>https://www.fishbase.in/summary/Zacco-platypus.html</t>
  </si>
  <si>
    <t>https://www.fishbase.in/fishonline/english/fol_biodiversityandmorphology.htm</t>
  </si>
  <si>
    <t>Justification of any change from Fishbase.org</t>
  </si>
  <si>
    <t>Suggested categorisation (changed hi-lighted)</t>
  </si>
  <si>
    <t>This species was previously categorised as pelagic in its standalone group by Killen et al Am Nat 2016 (https://doi.org/10.1086/685893)</t>
  </si>
  <si>
    <t xml:space="preserve">fusiform </t>
  </si>
  <si>
    <r>
      <rPr>
        <b/>
        <sz val="12"/>
        <color theme="1"/>
        <rFont val="Calibri (Body)"/>
      </rPr>
      <t>Two references:</t>
    </r>
    <r>
      <rPr>
        <sz val="12"/>
        <color theme="1"/>
        <rFont val="Calibri (Body)"/>
      </rPr>
      <t xml:space="preserve"> 1) Xiong, D., Xie, C. &amp; Xia, L. Threatened fishes of the world: Gobiocypris rarus Ye and Fu, 1983 (Cypinidae). Environ Biol Fish 86, 107 (2009). 2) Yan Shao, Jianwei Wang, Ye Qiao, Yongfeng He, Wenxuan Cao "Morphological Variability Between Wild Populations and Inbred Stocks of a Chinese Minnow, Gobiocypris rarus," Zoological Science, 24(11), 1094-1102, (1 November 2007)</t>
    </r>
  </si>
  <si>
    <t>Xie, Z.-gui., Xie, C-xin, Zhang, E. (2003). Morphological Variations Among the Chinese Species of Sinibrama (Pisces：Teleostei: Cyprinidae), with Comments on Their Species Validities.  ISSN 0254—5853</t>
  </si>
  <si>
    <t>Classified as polar by the original authors from where the metabolic rate data are obtained: Qiuoted sentence: "large polar ectotherm such as the Greenland shark (…)".  Ste-Marie, E., Watanabe, Y. Y., Semmens, J. M., Marcoux, M. and Hussey, N. E. (2020). A first look at the metabolic rate of Greenland sharks (Somniosus microcephalus) in the Canadian Arctic. Sci Rep 10, 19297.</t>
  </si>
  <si>
    <t xml:space="preserve">USE THESE FOR THE MANUSCRIPT </t>
  </si>
  <si>
    <t>Suggested categorisation (changed from Fishbase are hi-lighted)</t>
  </si>
  <si>
    <t>Suggested categorisation (changed  from Fishbase.org are hi-lighted)</t>
  </si>
  <si>
    <t>Source: Fishbase online (see source link column )</t>
  </si>
  <si>
    <t xml:space="preserve">Fishabes.org species information url. </t>
  </si>
  <si>
    <t>fusiform-normal</t>
  </si>
  <si>
    <t>short and-or deep</t>
  </si>
  <si>
    <t>Chromis atripectoralis</t>
  </si>
  <si>
    <t>Sciaenops ocellatus</t>
  </si>
  <si>
    <t>Caesio cuning</t>
  </si>
  <si>
    <t>Fundulus grandis</t>
  </si>
  <si>
    <t>Centropristis striata</t>
  </si>
  <si>
    <t>Hemiscyllium ocellatum</t>
  </si>
  <si>
    <t>Platichthys flesus</t>
  </si>
  <si>
    <t>Trachurus trachurus</t>
  </si>
  <si>
    <t>Amphiprion chrysopterus</t>
  </si>
  <si>
    <t>Amatitlania nigrofasciata</t>
  </si>
  <si>
    <t>Thunnus orientalis</t>
  </si>
  <si>
    <t>Species clasification categorised in a greater already existing group 'Pelagic' in place of 'pelagic-neritic'</t>
  </si>
  <si>
    <t>https://www.fishbase.se/summary/Trachurus-trachurus.html</t>
  </si>
  <si>
    <t>Species clasification categorised in a greater already existing group 'Pelagic' in place of 'pelagic-oceanic'</t>
  </si>
  <si>
    <t>https://www.fishbase.de/summary/14290</t>
  </si>
  <si>
    <t>https://www.fishbase.de/summary/platichthys-flesus.html</t>
  </si>
  <si>
    <t>https://www.fishbase.se/summary/amatitlania-nigrofasciata.html</t>
  </si>
  <si>
    <t>https://www.fishbase.se/summary/Caesio-cuning.html</t>
  </si>
  <si>
    <t>https://www.fishbase.in/summary/Amphiprion-chrysopterus.html</t>
  </si>
  <si>
    <t>https://www.fishbase.se/summary/Centropristis-striata.html</t>
  </si>
  <si>
    <t>https://www.fishbase.se/summary/chromis-atripectoralis.html</t>
  </si>
  <si>
    <t>https://www.fishbase.in/summary/Fundulus-grandis.html</t>
  </si>
  <si>
    <t>https://www.fishbase.de/summary/Hemiscyllium-ocellatum.html</t>
  </si>
  <si>
    <t>lifestyle</t>
  </si>
  <si>
    <t>climate</t>
  </si>
  <si>
    <t>morphology</t>
  </si>
  <si>
    <t>salinity</t>
  </si>
  <si>
    <t>https://www.fishbase.de/summary/1191</t>
  </si>
  <si>
    <t>Girella nigricans</t>
  </si>
  <si>
    <t>Coryphaena hippurus</t>
  </si>
  <si>
    <t>Fundulus parvipinnis</t>
  </si>
  <si>
    <t>Fundulus heteroclitus</t>
  </si>
  <si>
    <t>Danio rerio</t>
  </si>
  <si>
    <t>Myoxocephalus scorpius</t>
  </si>
  <si>
    <t>https://www.fishbase.se/summary/Girella-nigricans.html</t>
  </si>
  <si>
    <t>https://www.fishbase.se/summary/Fundulus-parvipinnis.html</t>
  </si>
  <si>
    <t>https://www.fishbase.se/summary/Fundulus-heteroclitus.html</t>
  </si>
  <si>
    <t xml:space="preserve">All fundulus are elongated, use the same for this species. </t>
  </si>
  <si>
    <t>https://www.fishbase.se/summary/Danio-rerio.html</t>
  </si>
  <si>
    <t>https://www.fishbase.se/summary/Myoxocephalus-scorpius.html</t>
  </si>
  <si>
    <t>https://www.fishbase.se/summary/6</t>
  </si>
  <si>
    <r>
      <t>Chen, J., Guo, J., Wang, Z.-Q. and Wang, W.-M.</t>
    </r>
    <r>
      <rPr>
        <sz val="12"/>
        <color theme="1"/>
        <rFont val="Calibri"/>
        <family val="2"/>
        <scheme val="minor"/>
      </rPr>
      <t xml:space="preserve"> (2020). Morphological variation among the four Megalobrama species inferred by X-ray photography. </t>
    </r>
    <r>
      <rPr>
        <i/>
        <sz val="12"/>
        <color theme="1"/>
        <rFont val="Calibri"/>
        <family val="2"/>
        <scheme val="minor"/>
      </rPr>
      <t>Aquaculture Research</t>
    </r>
    <r>
      <rPr>
        <sz val="12"/>
        <color theme="1"/>
        <rFont val="Calibri"/>
        <family val="2"/>
        <scheme val="minor"/>
      </rPr>
      <t xml:space="preserve"> </t>
    </r>
    <r>
      <rPr>
        <b/>
        <sz val="12"/>
        <color theme="1"/>
        <rFont val="Calibri"/>
        <family val="2"/>
        <scheme val="minor"/>
      </rPr>
      <t>51</t>
    </r>
    <r>
      <rPr>
        <sz val="12"/>
        <color theme="1"/>
        <rFont val="Calibri"/>
        <family val="2"/>
        <scheme val="minor"/>
      </rPr>
      <t>, 3999–4010.</t>
    </r>
  </si>
  <si>
    <t>Aphanius iberus</t>
  </si>
  <si>
    <t>https://www.fishbase.se/summary/Paracirrhites-arcatus</t>
  </si>
  <si>
    <t>Paracirrhites arcatus</t>
  </si>
  <si>
    <t>https://fishbase.se/summary/Apricaphanius-iberus#</t>
  </si>
  <si>
    <t>https://fishbase.se/summary/262</t>
  </si>
  <si>
    <t>Lutjanus fulvus</t>
  </si>
  <si>
    <t>https://www.fishbase.se/summary/1260</t>
  </si>
  <si>
    <t>Acanthurus triostegus</t>
  </si>
  <si>
    <t>https://www.fishbase.se/summary/Acipenser-medirostris</t>
  </si>
  <si>
    <t>Acipenser medirostris</t>
  </si>
  <si>
    <t>https://fishbase.se/summary/10312</t>
  </si>
  <si>
    <t>Macquaria ambigua</t>
  </si>
  <si>
    <t>Chrysoblephus laticeps</t>
  </si>
  <si>
    <t>https://www.fishbase.se/summary/Chrysoblephus-laticeps</t>
  </si>
  <si>
    <t>https://www.fishbase.se/summary/Oncorhynchus-clarkii.html</t>
  </si>
  <si>
    <t>Oncorhynchus clarkii</t>
  </si>
  <si>
    <t>Gadus macrocephalus</t>
  </si>
  <si>
    <t>https://www.fishbase.se/summary/Gadus-macrocephalus.html</t>
  </si>
  <si>
    <t>https://www.fishbase.se/summary/Amphistichus-argenteus</t>
  </si>
  <si>
    <t>Amphistichus argenteus</t>
  </si>
  <si>
    <t>https://fishbase.se/summary/7053</t>
  </si>
  <si>
    <t>https://www.fishbase.se/summary/Apistogramma-trifasciata</t>
  </si>
  <si>
    <t>Apistogramma trifasciata</t>
  </si>
  <si>
    <t>https://www.fishbase.se/summary/paracheirodon-axelrodi.html</t>
  </si>
  <si>
    <t>Paracheirodon axelrodi</t>
  </si>
  <si>
    <t>closely related species; https://kops.uni-konstanz.de/server/api/core/bitstreams/0c1b935f-1123-4cb4-8688-51325200535c/content</t>
  </si>
  <si>
    <t>closely related species; https://rcosta-pereira.weebly.com/uploads/1/1/9/9/119972734/costa-pereira_et_al_2016_jfb.pdf</t>
  </si>
  <si>
    <t>Study ID when used to classify lifestage</t>
  </si>
  <si>
    <t xml:space="preserve">Salinity </t>
  </si>
  <si>
    <t xml:space="preserve">Size at maturity (g) </t>
  </si>
  <si>
    <t>Lifestage estimates (only if not specified by the authors)</t>
  </si>
  <si>
    <t xml:space="preserve">6,4, </t>
  </si>
  <si>
    <t>52,</t>
  </si>
  <si>
    <t>52,54</t>
  </si>
  <si>
    <t>Tachysurus vachellii</t>
  </si>
  <si>
    <t>Jan 31 2026</t>
  </si>
  <si>
    <t>https://fishbase.se/summary/50950</t>
  </si>
  <si>
    <t>54, 52</t>
  </si>
  <si>
    <t>Alt name</t>
  </si>
  <si>
    <t>Pelteobagrus vachelli </t>
  </si>
  <si>
    <t>Leiocassis longirostris</t>
  </si>
  <si>
    <t>Ctenopharyngodon idellus</t>
  </si>
  <si>
    <t>Mystus macropterus</t>
  </si>
  <si>
    <t>goby</t>
  </si>
  <si>
    <t>&lt; 1 g</t>
  </si>
  <si>
    <t>Ophiocephalus argus</t>
  </si>
  <si>
    <t>Aristichthys nobilis</t>
  </si>
  <si>
    <t>77,54, 52</t>
  </si>
  <si>
    <t>70, 56, 204</t>
  </si>
  <si>
    <t>1025, 1006</t>
  </si>
  <si>
    <t>https://www.fishbase.se/popdyn/LWRelationshipList.php?ID=22903&amp;GenusName=Abbottina&amp;SpeciesName=rivularis&amp;fc=754</t>
  </si>
  <si>
    <t>https://fishbase.se/popdyn/LWRelationshipList.php?ID=4799&amp;GenusName=Channa&amp;SpeciesName=argus&amp;fc=431</t>
  </si>
  <si>
    <t>Maturity: Lm ?, range 20 - ? cm</t>
  </si>
  <si>
    <t>https://fishbase.se/popdyn/LWRelationshipList.php?ID=4752&amp;GenusName=Hemibarbus&amp;SpeciesName=maculatus&amp;fc=754</t>
  </si>
  <si>
    <t>Maturity: Lm 10.3, range 9 - 13 cm</t>
  </si>
  <si>
    <t>https://fishbase.se/popdyn/LWRelationshipList.php?ID=4755&amp;GenusName=Hemiculter&amp;SpeciesName=leucisculus&amp;fc=751</t>
  </si>
  <si>
    <t>Maturity: Lm 4.5, range 4 - 5 cm</t>
  </si>
  <si>
    <t>Maturity: Lm 30.0  range ? - ? cm</t>
  </si>
  <si>
    <t>Maturity: Lm 68.2, range 58 - 79.2 cm</t>
  </si>
  <si>
    <t>https://fishbase.se/popdyn/LWRelationshipList.php?ID=79&amp;GenusName=Ctenopharyngodon&amp;SpeciesName=idella&amp;fc=751</t>
  </si>
  <si>
    <t>Maturity: Lm 34.8, range 25 - 36 cm</t>
  </si>
  <si>
    <t>https://fishbase.se/popdyn/LWRelationshipList.php?ID=1450&amp;GenusName=Cyprinus&amp;SpeciesName=carpio&amp;fc=122</t>
  </si>
  <si>
    <t>Maturity: Lm 5.5  range ? - ? cm</t>
  </si>
  <si>
    <t>https://www.fishbase.se/popdyn/LWRelationshipList.php?ID=2420&amp;GenusName=Gasterosteus&amp;SpeciesName=aculeatus&amp;fc=260</t>
  </si>
  <si>
    <t>Maturity: Lm 51.7  range ? - ? cm</t>
  </si>
  <si>
    <t>https://www.fishbase.se/popdyn/LWRelationshipList.php?ID=274&amp;GenusName=Hypophthalmichthys&amp;SpeciesName=molitrix&amp;fc=751</t>
  </si>
  <si>
    <t>Maturity: Lm 64.2, range 55 - 70 cm</t>
  </si>
  <si>
    <t>https://www.fishbase.se/popdyn/LWRelationshipList.php?ID=275&amp;GenusName=Hypophthalmichthys&amp;SpeciesName=nobilis&amp;fc=751</t>
  </si>
  <si>
    <t>Maturity: Lm 91.5, range 100 - ? cm</t>
  </si>
  <si>
    <t>https://www.fishbase.se/popdyn/LWRelationshipList.php?ID=4602&amp;GenusName=Mylopharyngodon&amp;SpeciesName=piceus&amp;fc=751</t>
  </si>
  <si>
    <t>Maturity: Lm ?, range 4 - ? cm</t>
  </si>
  <si>
    <t>https://www.fishbase.se/popdyn/LWRelationshipList.php?ID=12019&amp;GenusName=Neogobius&amp;SpeciesName=melanostomus&amp;fc=405</t>
  </si>
  <si>
    <t>Maturity: Lm 35.0  range ? - ? cm</t>
  </si>
  <si>
    <t>https://fishbase.se/popdyn/LWRelationshipList.php?ID=282&amp;GenusName=Parabramis&amp;SpeciesName=pekinensis&amp;fc=751</t>
  </si>
  <si>
    <t>Maturity: Lm 16.3, range 11 - 23.4 cm</t>
  </si>
  <si>
    <t>https://www.fishbase.se/popdyn/LWRelationshipList.php?ID=358&amp;GenusName=Perca&amp;SpeciesName=fluviatilis&amp;fc=306</t>
  </si>
  <si>
    <t>Maturity: Lm 5.2, range 5 - 5.8 cm</t>
  </si>
  <si>
    <t>https://www.fishbase.se/popdyn/LWRelationshipList.php?ID=4661&amp;GenusName=Phoxinus&amp;SpeciesName=phoxinus&amp;fc=756</t>
  </si>
  <si>
    <t>Maturity: Lm 37.0, range 22 - ? cm</t>
  </si>
  <si>
    <t>https://fishbase.se/popdyn/LWRelationshipList.php?ID=55401&amp;GenusName=Procypris&amp;SpeciesName=rabaudi&amp;fc=122</t>
  </si>
  <si>
    <t>Maturity: Lm 3.0  range ? - ? cm</t>
  </si>
  <si>
    <t>https://www.fishbase.se/popdyn/LWRelationshipList.php?ID=4691&amp;GenusName=Pseudorasbora&amp;SpeciesName=parva&amp;fc=754</t>
  </si>
  <si>
    <t>Maturity: Lm 4.7  range ? - ? cm</t>
  </si>
  <si>
    <t>https://fishbase.se/popdyn/LWRelationshipList.php?ID=15825&amp;GenusName=Rhinogobius&amp;SpeciesName=giurinus&amp;fc=405</t>
  </si>
  <si>
    <t>https://fishbase.se/popdyn/LWRelationshipList.php?ID=28054&amp;GenusName=Siniperca&amp;SpeciesName=chuatsi&amp;fc=667</t>
  </si>
  <si>
    <t>Maturity: Lm 15.5  range ? - ? cm</t>
  </si>
  <si>
    <t>https://www.fishbase.se/popdyn/LWRelationshipList.php?ID=50950&amp;GenusName=Tachysurus&amp;SpeciesName=vachellii&amp;fc=130</t>
  </si>
  <si>
    <t>Maturity: Lm 20.6  range ? - ? cm</t>
  </si>
  <si>
    <t>https://fishbase.se/popdyn/LWRelationshipList.php?ID=262&amp;GenusName=Lutjanus&amp;SpeciesName=fulvus&amp;fc=323</t>
  </si>
  <si>
    <t>Maturity: Lm 18.1  range ? - 22.5 cm</t>
  </si>
  <si>
    <t>https://www.fishbase.se/popdyn/LWRelationshipList.php?ID=5529&amp;GenusName=Chrysoblephus&amp;SpeciesName=laticeps&amp;fc=330</t>
  </si>
  <si>
    <t>Maturity: Lm 66.6, range 23 - 85 cm</t>
  </si>
  <si>
    <t>https://www.fishbase.se/popdyn/LWRelationshipList.php?ID=308&amp;GenusName=Gadus&amp;SpeciesName=macrocephalus&amp;fc=183</t>
  </si>
  <si>
    <t>https://marinespecies.wildlife.ca.gov/barred-surfperch-and-redtail-surfperch/the-species/</t>
  </si>
  <si>
    <t>239 mm FL  (23.9 cm)</t>
  </si>
  <si>
    <t>Onychostoma sima</t>
  </si>
  <si>
    <t>Maturity: Lm 55.0, range 45 - 65 cm</t>
  </si>
  <si>
    <t>https://www.fishbase.se/popdyn/LWRelationshipList.php?ID=35&amp;GenusName=Anguilla&amp;SpeciesName=anguilla&amp;fc=49</t>
  </si>
  <si>
    <t>Maturity: Lm 49.3  range ? - ? cm</t>
  </si>
  <si>
    <t>https://fishbase.se/popdyn/LWRelationshipList.php?ID=468&amp;GenusName=Notothenia&amp;SpeciesName=rossii&amp;fc=382</t>
  </si>
  <si>
    <t>Maturity: Lm 335.5, range 244 - 427 cm</t>
  </si>
  <si>
    <t>https://fishbase.se/popdyn/LWRelationshipList.php?ID=138&amp;GenusName=Somniosus&amp;SpeciesName=microcephalus&amp;fc=658</t>
  </si>
  <si>
    <t>Maturity: Lm 18.6, range 6 - 28 cm</t>
  </si>
  <si>
    <t>https://fishbase.se/popdyn/LWRelationshipList.php?ID=2&amp;GenusName=Oreochromis&amp;SpeciesName=niloticus&amp;fc=349</t>
  </si>
  <si>
    <t>316, 42,52, 54</t>
  </si>
  <si>
    <t>Maturity: Lm 22.9, range 21 - 30 cm</t>
  </si>
  <si>
    <t>https://fishbase.se/popdyn/LWRelationshipList.php?ID=1365&amp;GenusName=Trachurus&amp;SpeciesName=trachurus&amp;fc=314</t>
  </si>
  <si>
    <t>315-3</t>
  </si>
  <si>
    <t>Maturity: Lm 22.4, range 14 - 30 cm</t>
  </si>
  <si>
    <t>https://www.fishbase.se/popdyn/LWRelationshipList.php?ID=1341&amp;GenusName=Platichthys&amp;SpeciesName=flesus&amp;fc=440</t>
  </si>
  <si>
    <t>315-2</t>
  </si>
  <si>
    <t>https://www.fishbase.se/popdyn/LWRelationshipList.php?ID=3192&amp;GenusName=Fundulus&amp;SpeciesName=heteroclitus&amp;fc=570</t>
  </si>
  <si>
    <t>414, 54, 52</t>
  </si>
  <si>
    <t>Maturity: Lm 17.8, range 15 - 30 cm</t>
  </si>
  <si>
    <t>https://www.fishbase.se/popdyn/LWRelationshipList.php?ID=1329&amp;GenusName=Myoxocephalus&amp;SpeciesName=scorpius&amp;fc=277</t>
  </si>
  <si>
    <t>Source (use the estimate Lm at maturity for the length-weight relationship, if available use the minimum end of the range, if not available leave NA)</t>
  </si>
  <si>
    <t>Maturity cutoff - Estimate (grams)</t>
  </si>
  <si>
    <t>Oncorhynchus clarkii lewisi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</si>
</sst>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2"/>
      <color theme="1"/>
      <name val="Calibri"/>
      <family val="2"/>
      <scheme val="minor"/>
    </font>
    <font>
      <sz val="12"/>
      <color theme="1"/>
      <name val="Calibri"/>
      <family val="2"/>
      <scheme val="minor"/>
    </font>
    <font>
      <sz val="12"/>
      <color rgb="FF9C0006"/>
      <name val="Calibri"/>
      <family val="2"/>
      <scheme val="minor"/>
    </font>
    <font>
      <u/>
      <sz val="12"/>
      <color theme="10"/>
      <name val="Calibri"/>
      <family val="2"/>
      <scheme val="minor"/>
    </font>
    <font>
      <sz val="12"/>
      <color theme="1"/>
      <name val="Arial"/>
      <family val="2"/>
    </font>
    <font>
      <b/>
      <sz val="12"/>
      <color theme="1"/>
      <name val="Arial"/>
      <family val="2"/>
    </font>
    <font>
      <sz val="12"/>
      <color rgb="FF9C5700"/>
      <name val="Calibri"/>
      <family val="2"/>
      <scheme val="minor"/>
    </font>
    <font>
      <b/>
      <sz val="12"/>
      <color theme="1"/>
      <name val="Calibri"/>
      <family val="2"/>
      <scheme val="minor"/>
    </font>
    <font>
      <b/>
      <i/>
      <sz val="12"/>
      <color theme="1"/>
      <name val="Arial"/>
      <family val="2"/>
    </font>
    <font>
      <i/>
      <sz val="12"/>
      <color theme="1"/>
      <name val="Arial"/>
      <family val="2"/>
    </font>
    <font>
      <sz val="12"/>
      <color theme="1"/>
      <name val="Calibri (Body)"/>
    </font>
    <font>
      <b/>
      <sz val="12"/>
      <color theme="1"/>
      <name val="Calibri (Body)"/>
    </font>
    <font>
      <i/>
      <sz val="12"/>
      <color theme="1"/>
      <name val="Calibri"/>
      <family val="2"/>
      <scheme val="minor"/>
    </font>
    <font>
      <u/>
      <sz val="12"/>
      <color theme="1"/>
      <name val="Arial"/>
      <family val="2"/>
    </font>
    <font>
      <sz val="12"/>
      <color rgb="FF006100"/>
      <name val="Aptos Narrow"/>
    </font>
    <font>
      <sz val="12"/>
      <color rgb="FF000000"/>
      <name val="Aptos Narrow"/>
    </font>
    <font>
      <i/>
      <sz val="13"/>
      <color rgb="FF000000"/>
      <name val="Times New Roman"/>
      <family val="1"/>
    </font>
    <font>
      <b/>
      <sz val="16"/>
      <color theme="1"/>
      <name val="Calibri"/>
      <family val="2"/>
      <scheme val="minor"/>
    </font>
    <font>
      <sz val="12"/>
      <color rgb="FF000000"/>
      <name val="Calibri"/>
      <family val="2"/>
      <scheme val="minor"/>
    </font>
    <font>
      <i/>
      <sz val="12"/>
      <color rgb="FF000000"/>
      <name val="Calibri"/>
      <family val="2"/>
    </font>
    <font>
      <i/>
      <sz val="12"/>
      <color theme="1"/>
      <name val="Calibri"/>
      <family val="2"/>
    </font>
    <font>
      <b/>
      <i/>
      <sz val="12"/>
      <color theme="1"/>
      <name val="Calibri"/>
      <family val="2"/>
    </font>
    <font>
      <i/>
      <sz val="12"/>
      <color rgb="FF006100"/>
      <name val="Calibri"/>
      <family val="2"/>
    </font>
    <font>
      <sz val="12"/>
      <color rgb="FF3B3A48"/>
      <name val="Calibri"/>
      <family val="2"/>
    </font>
  </fonts>
  <fills count="9">
    <fill>
      <patternFill patternType="none"/>
    </fill>
    <fill>
      <patternFill patternType="gray125"/>
    </fill>
    <fill>
      <patternFill patternType="solid">
        <fgColor rgb="FFFFC7CE"/>
      </patternFill>
    </fill>
    <fill>
      <patternFill patternType="solid">
        <fgColor theme="6" tint="0.39997558519241921"/>
        <bgColor indexed="65"/>
      </patternFill>
    </fill>
    <fill>
      <patternFill patternType="solid">
        <fgColor rgb="FFFFEB9C"/>
      </patternFill>
    </fill>
    <fill>
      <patternFill patternType="solid">
        <fgColor rgb="FFFFFF00"/>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2" tint="-9.9978637043366805E-2"/>
        <bgColor indexed="64"/>
      </patternFill>
    </fill>
  </fills>
  <borders count="15">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s>
  <cellStyleXfs count="5">
    <xf numFmtId="0" fontId="0" fillId="0" borderId="0"/>
    <xf numFmtId="0" fontId="2" fillId="2" borderId="0" applyNumberFormat="0" applyBorder="0" applyAlignment="0" applyProtection="0"/>
    <xf numFmtId="0" fontId="1" fillId="3" borderId="0" applyNumberFormat="0" applyBorder="0" applyAlignment="0" applyProtection="0"/>
    <xf numFmtId="0" fontId="3" fillId="0" borderId="0" applyNumberFormat="0" applyFill="0" applyBorder="0" applyAlignment="0" applyProtection="0"/>
    <xf numFmtId="0" fontId="6" fillId="4" borderId="0" applyNumberFormat="0" applyBorder="0" applyAlignment="0" applyProtection="0"/>
  </cellStyleXfs>
  <cellXfs count="89">
    <xf numFmtId="0" fontId="0" fillId="0" borderId="0" xfId="0"/>
    <xf numFmtId="0" fontId="8" fillId="3" borderId="1" xfId="2" applyFont="1" applyBorder="1" applyAlignment="1">
      <alignment horizontal="center" vertical="center"/>
    </xf>
    <xf numFmtId="0" fontId="5" fillId="3" borderId="1" xfId="2" applyFont="1" applyBorder="1" applyAlignment="1">
      <alignment horizontal="center" vertical="center"/>
    </xf>
    <xf numFmtId="0" fontId="5" fillId="3" borderId="5" xfId="2" applyFont="1" applyBorder="1" applyAlignment="1">
      <alignment horizontal="center" vertical="center"/>
    </xf>
    <xf numFmtId="0" fontId="5" fillId="5" borderId="2" xfId="2" applyFont="1" applyFill="1" applyBorder="1" applyAlignment="1">
      <alignment horizontal="center" vertical="center" wrapText="1"/>
    </xf>
    <xf numFmtId="0" fontId="7" fillId="0" borderId="0" xfId="0" applyFont="1"/>
    <xf numFmtId="0" fontId="4" fillId="0" borderId="7" xfId="0" applyFont="1" applyBorder="1"/>
    <xf numFmtId="0" fontId="9" fillId="0" borderId="7" xfId="0" applyFont="1" applyBorder="1"/>
    <xf numFmtId="0" fontId="4" fillId="0" borderId="8" xfId="0" applyFont="1" applyBorder="1"/>
    <xf numFmtId="0" fontId="4" fillId="0" borderId="7" xfId="1" applyFont="1" applyFill="1" applyBorder="1"/>
    <xf numFmtId="0" fontId="4" fillId="0" borderId="0" xfId="1" applyFont="1" applyFill="1" applyBorder="1"/>
    <xf numFmtId="0" fontId="4" fillId="0" borderId="7" xfId="1" quotePrefix="1" applyFont="1" applyFill="1" applyBorder="1"/>
    <xf numFmtId="0" fontId="8" fillId="3" borderId="7" xfId="2" applyFont="1" applyBorder="1" applyAlignment="1">
      <alignment horizontal="center" vertical="center" wrapText="1"/>
    </xf>
    <xf numFmtId="0" fontId="5" fillId="5" borderId="0" xfId="2" applyFont="1" applyFill="1" applyBorder="1" applyAlignment="1">
      <alignment horizontal="center" vertical="center" wrapText="1"/>
    </xf>
    <xf numFmtId="0" fontId="5" fillId="3" borderId="8" xfId="2" applyFont="1" applyBorder="1" applyAlignment="1">
      <alignment horizontal="center" vertical="center" wrapText="1"/>
    </xf>
    <xf numFmtId="0" fontId="5" fillId="3" borderId="0" xfId="2" applyFont="1" applyBorder="1" applyAlignment="1">
      <alignment horizontal="center" vertical="center" wrapText="1"/>
    </xf>
    <xf numFmtId="0" fontId="5" fillId="3" borderId="7" xfId="2" applyFont="1" applyBorder="1" applyAlignment="1">
      <alignment horizontal="center" vertical="center" wrapText="1"/>
    </xf>
    <xf numFmtId="0" fontId="0" fillId="0" borderId="0" xfId="0" applyAlignment="1">
      <alignment horizontal="right"/>
    </xf>
    <xf numFmtId="0" fontId="0" fillId="0" borderId="0" xfId="4" applyFont="1" applyFill="1" applyBorder="1"/>
    <xf numFmtId="0" fontId="0" fillId="0" borderId="7" xfId="0" applyBorder="1"/>
    <xf numFmtId="0" fontId="0" fillId="0" borderId="8" xfId="0" applyBorder="1"/>
    <xf numFmtId="15" fontId="4" fillId="0" borderId="7" xfId="0" applyNumberFormat="1" applyFont="1" applyBorder="1" applyAlignment="1">
      <alignment wrapText="1"/>
    </xf>
    <xf numFmtId="0" fontId="0" fillId="0" borderId="8" xfId="4" applyFont="1" applyFill="1" applyBorder="1"/>
    <xf numFmtId="0" fontId="13" fillId="0" borderId="8" xfId="3" applyFont="1" applyFill="1" applyBorder="1"/>
    <xf numFmtId="15" fontId="0" fillId="0" borderId="7" xfId="0" applyNumberFormat="1" applyBorder="1"/>
    <xf numFmtId="0" fontId="0" fillId="0" borderId="7" xfId="4" applyFont="1" applyFill="1" applyBorder="1"/>
    <xf numFmtId="0" fontId="4" fillId="0" borderId="8" xfId="0" applyFont="1" applyBorder="1" applyAlignment="1">
      <alignment wrapText="1"/>
    </xf>
    <xf numFmtId="0" fontId="10" fillId="0" borderId="8" xfId="3" applyFont="1" applyFill="1" applyBorder="1" applyAlignment="1">
      <alignment wrapText="1"/>
    </xf>
    <xf numFmtId="0" fontId="7" fillId="0" borderId="8" xfId="0" applyFont="1" applyBorder="1" applyAlignment="1">
      <alignment wrapText="1"/>
    </xf>
    <xf numFmtId="0" fontId="0" fillId="0" borderId="8" xfId="0" applyBorder="1" applyAlignment="1">
      <alignment wrapText="1"/>
    </xf>
    <xf numFmtId="0" fontId="4" fillId="5" borderId="0" xfId="1" applyFont="1" applyFill="1" applyBorder="1"/>
    <xf numFmtId="0" fontId="0" fillId="5" borderId="0" xfId="4" applyFont="1" applyFill="1" applyBorder="1"/>
    <xf numFmtId="0" fontId="14" fillId="0" borderId="0" xfId="0" applyFont="1" applyAlignment="1">
      <alignment horizontal="right"/>
    </xf>
    <xf numFmtId="0" fontId="15" fillId="0" borderId="0" xfId="0" applyFont="1" applyAlignment="1">
      <alignment horizontal="right"/>
    </xf>
    <xf numFmtId="0" fontId="16" fillId="0" borderId="0" xfId="0" applyFont="1" applyAlignment="1">
      <alignment horizontal="right"/>
    </xf>
    <xf numFmtId="15" fontId="0" fillId="0" borderId="10" xfId="0" applyNumberFormat="1" applyBorder="1"/>
    <xf numFmtId="0" fontId="0" fillId="0" borderId="11" xfId="0" applyBorder="1"/>
    <xf numFmtId="0" fontId="0" fillId="0" borderId="10" xfId="0" applyBorder="1"/>
    <xf numFmtId="0" fontId="0" fillId="0" borderId="9" xfId="0" applyBorder="1"/>
    <xf numFmtId="0" fontId="4" fillId="0" borderId="10" xfId="0" applyFont="1" applyBorder="1"/>
    <xf numFmtId="0" fontId="4" fillId="0" borderId="9" xfId="0" applyFont="1" applyBorder="1"/>
    <xf numFmtId="0" fontId="5" fillId="3" borderId="12" xfId="2" applyFont="1" applyBorder="1" applyAlignment="1">
      <alignment horizontal="center" vertical="center"/>
    </xf>
    <xf numFmtId="0" fontId="5" fillId="3" borderId="13" xfId="2" applyFont="1" applyBorder="1" applyAlignment="1">
      <alignment horizontal="center" vertical="center" wrapText="1"/>
    </xf>
    <xf numFmtId="0" fontId="0" fillId="0" borderId="13" xfId="0" applyBorder="1"/>
    <xf numFmtId="0" fontId="4" fillId="0" borderId="13" xfId="0" applyFont="1" applyBorder="1"/>
    <xf numFmtId="0" fontId="0" fillId="0" borderId="13" xfId="4" applyFont="1" applyFill="1" applyBorder="1"/>
    <xf numFmtId="0" fontId="4" fillId="0" borderId="14" xfId="0" applyFont="1" applyBorder="1"/>
    <xf numFmtId="0" fontId="4" fillId="0" borderId="0" xfId="0" applyFont="1"/>
    <xf numFmtId="0" fontId="4" fillId="5" borderId="0" xfId="0" applyFont="1" applyFill="1"/>
    <xf numFmtId="0" fontId="0" fillId="5" borderId="0" xfId="0" applyFill="1"/>
    <xf numFmtId="0" fontId="0" fillId="0" borderId="13" xfId="0" applyBorder="1" applyAlignment="1">
      <alignment horizontal="right"/>
    </xf>
    <xf numFmtId="0" fontId="0" fillId="6" borderId="0" xfId="0" applyFill="1"/>
    <xf numFmtId="0" fontId="0" fillId="7" borderId="7" xfId="0" applyFill="1" applyBorder="1"/>
    <xf numFmtId="0" fontId="0" fillId="7" borderId="0" xfId="0" applyFill="1"/>
    <xf numFmtId="0" fontId="18" fillId="0" borderId="0" xfId="0" applyFont="1" applyAlignment="1">
      <alignment horizontal="right"/>
    </xf>
    <xf numFmtId="0" fontId="5" fillId="3" borderId="8" xfId="2" applyFont="1" applyBorder="1" applyAlignment="1">
      <alignment horizontal="right" vertical="center" wrapText="1"/>
    </xf>
    <xf numFmtId="0" fontId="0" fillId="7" borderId="8" xfId="0" applyFill="1" applyBorder="1" applyAlignment="1">
      <alignment horizontal="right"/>
    </xf>
    <xf numFmtId="0" fontId="0" fillId="0" borderId="8" xfId="0" applyBorder="1" applyAlignment="1">
      <alignment horizontal="right"/>
    </xf>
    <xf numFmtId="0" fontId="0" fillId="0" borderId="8" xfId="4" applyFont="1" applyFill="1" applyBorder="1" applyAlignment="1">
      <alignment horizontal="right"/>
    </xf>
    <xf numFmtId="0" fontId="0" fillId="6" borderId="8" xfId="4" applyFont="1" applyFill="1" applyBorder="1" applyAlignment="1">
      <alignment horizontal="right"/>
    </xf>
    <xf numFmtId="0" fontId="0" fillId="0" borderId="11" xfId="0" applyBorder="1" applyAlignment="1">
      <alignment horizontal="right"/>
    </xf>
    <xf numFmtId="0" fontId="0" fillId="8" borderId="7" xfId="0" applyFill="1" applyBorder="1"/>
    <xf numFmtId="0" fontId="0" fillId="8" borderId="0" xfId="0" applyFill="1"/>
    <xf numFmtId="0" fontId="0" fillId="8" borderId="8" xfId="0" applyFill="1" applyBorder="1" applyAlignment="1">
      <alignment horizontal="right"/>
    </xf>
    <xf numFmtId="0" fontId="4" fillId="7" borderId="0" xfId="0" applyFont="1" applyFill="1"/>
    <xf numFmtId="0" fontId="4" fillId="6" borderId="0" xfId="0" applyFont="1" applyFill="1"/>
    <xf numFmtId="0" fontId="3" fillId="0" borderId="0" xfId="3"/>
    <xf numFmtId="0" fontId="3" fillId="7" borderId="0" xfId="3" applyFill="1" applyBorder="1"/>
    <xf numFmtId="0" fontId="19" fillId="0" borderId="13" xfId="0" applyFont="1" applyBorder="1" applyAlignment="1">
      <alignment horizontal="right"/>
    </xf>
    <xf numFmtId="0" fontId="20" fillId="0" borderId="12" xfId="0" applyFont="1" applyBorder="1" applyAlignment="1">
      <alignment horizontal="right"/>
    </xf>
    <xf numFmtId="0" fontId="21" fillId="0" borderId="13" xfId="0" applyFont="1" applyBorder="1" applyAlignment="1">
      <alignment horizontal="right"/>
    </xf>
    <xf numFmtId="0" fontId="20" fillId="0" borderId="13" xfId="0" applyFont="1" applyBorder="1" applyAlignment="1">
      <alignment horizontal="right"/>
    </xf>
    <xf numFmtId="0" fontId="20" fillId="0" borderId="13" xfId="4" applyFont="1" applyFill="1" applyBorder="1" applyAlignment="1">
      <alignment horizontal="right"/>
    </xf>
    <xf numFmtId="0" fontId="20" fillId="0" borderId="14" xfId="0" applyFont="1" applyBorder="1" applyAlignment="1">
      <alignment horizontal="right"/>
    </xf>
    <xf numFmtId="0" fontId="22" fillId="0" borderId="13" xfId="0" applyFont="1" applyBorder="1" applyAlignment="1">
      <alignment horizontal="right"/>
    </xf>
    <xf numFmtId="0" fontId="23" fillId="0" borderId="0" xfId="0" applyFont="1"/>
    <xf numFmtId="0" fontId="0" fillId="7" borderId="0" xfId="4" applyFont="1" applyFill="1" applyBorder="1"/>
    <xf numFmtId="0" fontId="0" fillId="7" borderId="8" xfId="4" applyFont="1" applyFill="1" applyBorder="1" applyAlignment="1">
      <alignment horizontal="right"/>
    </xf>
    <xf numFmtId="0" fontId="0" fillId="7" borderId="0" xfId="0" applyFill="1" applyAlignment="1">
      <alignment horizontal="right"/>
    </xf>
    <xf numFmtId="0" fontId="5" fillId="5" borderId="2" xfId="2" applyFont="1" applyFill="1" applyBorder="1" applyAlignment="1">
      <alignment horizontal="center" vertical="center" wrapText="1"/>
    </xf>
    <xf numFmtId="0" fontId="5" fillId="5" borderId="4" xfId="2" applyFont="1" applyFill="1" applyBorder="1" applyAlignment="1">
      <alignment horizontal="center" vertical="center" wrapText="1"/>
    </xf>
    <xf numFmtId="0" fontId="5" fillId="3" borderId="1" xfId="2" applyFont="1" applyBorder="1" applyAlignment="1">
      <alignment horizontal="center" vertical="center" wrapText="1"/>
    </xf>
    <xf numFmtId="0" fontId="5" fillId="3" borderId="3" xfId="2" applyFont="1" applyBorder="1" applyAlignment="1">
      <alignment horizontal="center" vertical="center" wrapText="1"/>
    </xf>
    <xf numFmtId="0" fontId="5" fillId="3" borderId="5" xfId="2" applyFont="1" applyBorder="1" applyAlignment="1">
      <alignment horizontal="center" vertical="center"/>
    </xf>
    <xf numFmtId="0" fontId="5" fillId="3" borderId="6" xfId="2" applyFont="1" applyBorder="1" applyAlignment="1">
      <alignment horizontal="center" vertical="center"/>
    </xf>
    <xf numFmtId="0" fontId="5" fillId="3" borderId="2" xfId="2" applyFont="1" applyBorder="1" applyAlignment="1">
      <alignment horizontal="center" vertical="center"/>
    </xf>
    <xf numFmtId="0" fontId="17" fillId="6" borderId="1" xfId="0" applyFont="1" applyFill="1" applyBorder="1" applyAlignment="1">
      <alignment horizontal="center"/>
    </xf>
    <xf numFmtId="0" fontId="17" fillId="6" borderId="2" xfId="0" applyFont="1" applyFill="1" applyBorder="1" applyAlignment="1">
      <alignment horizontal="center"/>
    </xf>
    <xf numFmtId="0" fontId="17" fillId="6" borderId="5" xfId="0" applyFont="1" applyFill="1" applyBorder="1" applyAlignment="1">
      <alignment horizontal="center"/>
    </xf>
  </cellXfs>
  <cellStyles count="5">
    <cellStyle name="60% - Accent3" xfId="2" builtinId="40"/>
    <cellStyle name="Bad" xfId="1" builtinId="27"/>
    <cellStyle name="Hyperlink" xfId="3" builtinId="8"/>
    <cellStyle name="Neutral" xfId="4"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3" Type="http://schemas.openxmlformats.org/officeDocument/2006/relationships/hyperlink" Target="https://www.fishbase.se/popdyn/LWRelationshipList.php?ID=4602&amp;GenusName=Mylopharyngodon&amp;SpeciesName=piceus&amp;fc=751" TargetMode="External"/><Relationship Id="rId18" Type="http://schemas.openxmlformats.org/officeDocument/2006/relationships/hyperlink" Target="https://fishbase.se/Reproduction/MaturityList.php?ID=55401" TargetMode="External"/><Relationship Id="rId26" Type="http://schemas.openxmlformats.org/officeDocument/2006/relationships/hyperlink" Target="https://www.fishbase.se/Reproduction/MaturityList.php?ID=35" TargetMode="External"/><Relationship Id="rId3" Type="http://schemas.openxmlformats.org/officeDocument/2006/relationships/hyperlink" Target="https://fishbase.se/Reproduction/MaturityList.php?ID=4752" TargetMode="External"/><Relationship Id="rId21" Type="http://schemas.openxmlformats.org/officeDocument/2006/relationships/hyperlink" Target="https://fishbase.se/Reproduction/MaturityList.php?ID=28054" TargetMode="External"/><Relationship Id="rId7" Type="http://schemas.openxmlformats.org/officeDocument/2006/relationships/hyperlink" Target="https://fishbase.se/Reproduction/MaturityList.php?ID=79" TargetMode="External"/><Relationship Id="rId12" Type="http://schemas.openxmlformats.org/officeDocument/2006/relationships/hyperlink" Target="https://www.fishbase.se/Reproduction/MaturityList.php?ID=4602" TargetMode="External"/><Relationship Id="rId17" Type="http://schemas.openxmlformats.org/officeDocument/2006/relationships/hyperlink" Target="https://www.fishbase.se/Reproduction/MaturityList.php?ID=4661" TargetMode="External"/><Relationship Id="rId25" Type="http://schemas.openxmlformats.org/officeDocument/2006/relationships/hyperlink" Target="https://www.fishbase.se/Reproduction/MaturityList.php?ID=308" TargetMode="External"/><Relationship Id="rId33" Type="http://schemas.openxmlformats.org/officeDocument/2006/relationships/hyperlink" Target="https://www.fishbase.se/Reproduction/MaturityList.php?ID=1329" TargetMode="External"/><Relationship Id="rId2" Type="http://schemas.openxmlformats.org/officeDocument/2006/relationships/hyperlink" Target="https://www.fishbase.se/popdyn/LWRelationshipList.php?ID=22903&amp;GenusName=Abbottina&amp;SpeciesName=rivularis&amp;fc=754" TargetMode="External"/><Relationship Id="rId16" Type="http://schemas.openxmlformats.org/officeDocument/2006/relationships/hyperlink" Target="https://www.fishbase.se/Reproduction/MaturityList.php?ID=358" TargetMode="External"/><Relationship Id="rId20" Type="http://schemas.openxmlformats.org/officeDocument/2006/relationships/hyperlink" Target="https://fishbase.se/Reproduction/MaturityList.php?ID=15825" TargetMode="External"/><Relationship Id="rId29" Type="http://schemas.openxmlformats.org/officeDocument/2006/relationships/hyperlink" Target="https://fishbase.se/Reproduction/MaturityList.php?ID=2" TargetMode="External"/><Relationship Id="rId1" Type="http://schemas.openxmlformats.org/officeDocument/2006/relationships/hyperlink" Target="https://www.fishbase.se/summary/Rhodeus-ocellatus.html" TargetMode="External"/><Relationship Id="rId6" Type="http://schemas.openxmlformats.org/officeDocument/2006/relationships/hyperlink" Target="https://fishbase.se/Reproduction/MaturityList.php?ID=4799" TargetMode="External"/><Relationship Id="rId11" Type="http://schemas.openxmlformats.org/officeDocument/2006/relationships/hyperlink" Target="https://www.fishbase.se/Reproduction/MaturityList.php?ID=275" TargetMode="External"/><Relationship Id="rId24" Type="http://schemas.openxmlformats.org/officeDocument/2006/relationships/hyperlink" Target="https://www.fishbase.se/Reproduction/MaturityList.php?ID=5529" TargetMode="External"/><Relationship Id="rId32" Type="http://schemas.openxmlformats.org/officeDocument/2006/relationships/hyperlink" Target="https://www.fishbase.se/Reproduction/MaturityList.php?ID=3192" TargetMode="External"/><Relationship Id="rId5" Type="http://schemas.openxmlformats.org/officeDocument/2006/relationships/hyperlink" Target="https://www.fishbase.se/Reproduction/MaturityList.php?ID=22903" TargetMode="External"/><Relationship Id="rId15" Type="http://schemas.openxmlformats.org/officeDocument/2006/relationships/hyperlink" Target="https://fishbase.se/Reproduction/MaturityList.php?ID=282" TargetMode="External"/><Relationship Id="rId23" Type="http://schemas.openxmlformats.org/officeDocument/2006/relationships/hyperlink" Target="https://fishbase.se/Reproduction/MaturityList.php?ID=262" TargetMode="External"/><Relationship Id="rId28" Type="http://schemas.openxmlformats.org/officeDocument/2006/relationships/hyperlink" Target="https://fishbase.se/Reproduction/MaturityList.php?ID=138" TargetMode="External"/><Relationship Id="rId10" Type="http://schemas.openxmlformats.org/officeDocument/2006/relationships/hyperlink" Target="https://www.fishbase.se/Reproduction/MaturityList.php?ID=274" TargetMode="External"/><Relationship Id="rId19" Type="http://schemas.openxmlformats.org/officeDocument/2006/relationships/hyperlink" Target="https://www.fishbase.se/Reproduction/MaturityList.php?ID=4691" TargetMode="External"/><Relationship Id="rId31" Type="http://schemas.openxmlformats.org/officeDocument/2006/relationships/hyperlink" Target="https://www.fishbase.se/Reproduction/MaturityList.php?ID=1341" TargetMode="External"/><Relationship Id="rId4" Type="http://schemas.openxmlformats.org/officeDocument/2006/relationships/hyperlink" Target="https://fishbase.se/Reproduction/MaturityList.php?ID=4755" TargetMode="External"/><Relationship Id="rId9" Type="http://schemas.openxmlformats.org/officeDocument/2006/relationships/hyperlink" Target="https://www.fishbase.se/Reproduction/MaturityList.php?ID=2420" TargetMode="External"/><Relationship Id="rId14" Type="http://schemas.openxmlformats.org/officeDocument/2006/relationships/hyperlink" Target="https://www.fishbase.se/Reproduction/MaturityList.php?ID=12019" TargetMode="External"/><Relationship Id="rId22" Type="http://schemas.openxmlformats.org/officeDocument/2006/relationships/hyperlink" Target="https://www.fishbase.se/Reproduction/MaturityList.php?ID=50950" TargetMode="External"/><Relationship Id="rId27" Type="http://schemas.openxmlformats.org/officeDocument/2006/relationships/hyperlink" Target="https://fishbase.se/Reproduction/MaturityList.php?ID=468" TargetMode="External"/><Relationship Id="rId30" Type="http://schemas.openxmlformats.org/officeDocument/2006/relationships/hyperlink" Target="https://fishbase.se/Reproduction/MaturityList.php?ID=1365" TargetMode="External"/><Relationship Id="rId8" Type="http://schemas.openxmlformats.org/officeDocument/2006/relationships/hyperlink" Target="https://fishbase.se/Reproduction/MaturityList.php?ID=145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D94DE-1488-7940-81EA-C374552E19F6}">
  <dimension ref="A1:E109"/>
  <sheetViews>
    <sheetView tabSelected="1" zoomScale="142" workbookViewId="0">
      <selection activeCell="B111" sqref="B111"/>
    </sheetView>
  </sheetViews>
  <sheetFormatPr baseColWidth="10" defaultRowHeight="16" x14ac:dyDescent="0.2"/>
  <cols>
    <col min="1" max="1" width="25.83203125" bestFit="1" customWidth="1"/>
    <col min="2" max="2" width="15.1640625" bestFit="1" customWidth="1"/>
  </cols>
  <sheetData>
    <row r="1" spans="1:5" s="5" customFormat="1" x14ac:dyDescent="0.2">
      <c r="A1" s="5" t="s">
        <v>0</v>
      </c>
      <c r="B1" s="5" t="s">
        <v>218</v>
      </c>
      <c r="C1" s="5" t="s">
        <v>220</v>
      </c>
      <c r="D1" s="5" t="s">
        <v>219</v>
      </c>
      <c r="E1" s="5" t="s">
        <v>221</v>
      </c>
    </row>
    <row r="2" spans="1:5" x14ac:dyDescent="0.2">
      <c r="A2" t="s">
        <v>67</v>
      </c>
      <c r="B2" t="s">
        <v>82</v>
      </c>
      <c r="C2" t="s">
        <v>172</v>
      </c>
      <c r="D2" t="s">
        <v>83</v>
      </c>
      <c r="E2" t="s">
        <v>81</v>
      </c>
    </row>
    <row r="3" spans="1:5" ht="17" customHeight="1" x14ac:dyDescent="0.2">
      <c r="A3" t="s">
        <v>1</v>
      </c>
      <c r="B3" t="s">
        <v>86</v>
      </c>
      <c r="C3" t="s">
        <v>174</v>
      </c>
      <c r="D3" t="s">
        <v>87</v>
      </c>
      <c r="E3" t="s">
        <v>85</v>
      </c>
    </row>
    <row r="4" spans="1:5" x14ac:dyDescent="0.2">
      <c r="A4" t="s">
        <v>2</v>
      </c>
      <c r="B4" t="s">
        <v>82</v>
      </c>
      <c r="C4" t="s">
        <v>173</v>
      </c>
      <c r="D4" t="s">
        <v>89</v>
      </c>
      <c r="E4" t="s">
        <v>90</v>
      </c>
    </row>
    <row r="5" spans="1:5" x14ac:dyDescent="0.2">
      <c r="A5" t="s">
        <v>204</v>
      </c>
      <c r="B5" t="s">
        <v>82</v>
      </c>
      <c r="C5" t="s">
        <v>174</v>
      </c>
      <c r="D5" t="s">
        <v>87</v>
      </c>
      <c r="E5" t="s">
        <v>90</v>
      </c>
    </row>
    <row r="6" spans="1:5" x14ac:dyDescent="0.2">
      <c r="A6" t="s">
        <v>203</v>
      </c>
      <c r="B6" t="s">
        <v>86</v>
      </c>
      <c r="C6" t="s">
        <v>174</v>
      </c>
      <c r="D6" t="s">
        <v>87</v>
      </c>
      <c r="E6" t="s">
        <v>85</v>
      </c>
    </row>
    <row r="7" spans="1:5" x14ac:dyDescent="0.2">
      <c r="A7" t="s">
        <v>3</v>
      </c>
      <c r="B7" t="s">
        <v>86</v>
      </c>
      <c r="C7" t="s">
        <v>174</v>
      </c>
      <c r="D7" t="s">
        <v>87</v>
      </c>
      <c r="E7" t="s">
        <v>85</v>
      </c>
    </row>
    <row r="8" spans="1:5" x14ac:dyDescent="0.2">
      <c r="A8" t="s">
        <v>4</v>
      </c>
      <c r="B8" t="s">
        <v>86</v>
      </c>
      <c r="C8" t="s">
        <v>172</v>
      </c>
      <c r="D8" t="s">
        <v>87</v>
      </c>
      <c r="E8" t="s">
        <v>85</v>
      </c>
    </row>
    <row r="9" spans="1:5" x14ac:dyDescent="0.2">
      <c r="A9" t="s">
        <v>5</v>
      </c>
      <c r="B9" t="s">
        <v>94</v>
      </c>
      <c r="C9" t="s">
        <v>176</v>
      </c>
      <c r="D9" t="s">
        <v>89</v>
      </c>
      <c r="E9" t="s">
        <v>93</v>
      </c>
    </row>
    <row r="10" spans="1:5" x14ac:dyDescent="0.2">
      <c r="A10" t="s">
        <v>6</v>
      </c>
      <c r="B10" t="s">
        <v>94</v>
      </c>
      <c r="C10" t="s">
        <v>172</v>
      </c>
      <c r="D10" t="s">
        <v>89</v>
      </c>
      <c r="E10" t="s">
        <v>85</v>
      </c>
    </row>
    <row r="11" spans="1:5" x14ac:dyDescent="0.2">
      <c r="A11" t="s">
        <v>7</v>
      </c>
      <c r="B11" t="s">
        <v>94</v>
      </c>
      <c r="C11" t="s">
        <v>173</v>
      </c>
      <c r="D11" t="s">
        <v>99</v>
      </c>
      <c r="E11" t="s">
        <v>97</v>
      </c>
    </row>
    <row r="12" spans="1:5" x14ac:dyDescent="0.2">
      <c r="A12" t="s">
        <v>197</v>
      </c>
      <c r="B12" t="s">
        <v>86</v>
      </c>
      <c r="C12" t="s">
        <v>172</v>
      </c>
      <c r="D12" t="s">
        <v>87</v>
      </c>
      <c r="E12" t="s">
        <v>85</v>
      </c>
    </row>
    <row r="13" spans="1:5" x14ac:dyDescent="0.2">
      <c r="A13" t="s">
        <v>8</v>
      </c>
      <c r="B13" t="s">
        <v>82</v>
      </c>
      <c r="C13" t="s">
        <v>172</v>
      </c>
      <c r="D13" t="s">
        <v>83</v>
      </c>
      <c r="E13" t="s">
        <v>81</v>
      </c>
    </row>
    <row r="14" spans="1:5" x14ac:dyDescent="0.2">
      <c r="A14" t="s">
        <v>199</v>
      </c>
      <c r="B14" t="s">
        <v>86</v>
      </c>
      <c r="C14" t="s">
        <v>172</v>
      </c>
      <c r="D14" t="s">
        <v>89</v>
      </c>
      <c r="E14" t="s">
        <v>85</v>
      </c>
    </row>
    <row r="15" spans="1:5" x14ac:dyDescent="0.2">
      <c r="A15" t="s">
        <v>9</v>
      </c>
      <c r="B15" t="s">
        <v>82</v>
      </c>
      <c r="C15" t="s">
        <v>173</v>
      </c>
      <c r="D15" t="s">
        <v>83</v>
      </c>
      <c r="E15" t="s">
        <v>90</v>
      </c>
    </row>
    <row r="16" spans="1:5" x14ac:dyDescent="0.2">
      <c r="A16" t="s">
        <v>195</v>
      </c>
      <c r="B16" t="s">
        <v>86</v>
      </c>
      <c r="C16" t="s">
        <v>174</v>
      </c>
      <c r="D16" t="s">
        <v>87</v>
      </c>
      <c r="E16" t="s">
        <v>85</v>
      </c>
    </row>
    <row r="17" spans="1:5" x14ac:dyDescent="0.2">
      <c r="A17" t="s">
        <v>10</v>
      </c>
      <c r="B17" t="s">
        <v>82</v>
      </c>
      <c r="C17" t="s">
        <v>174</v>
      </c>
      <c r="D17" t="s">
        <v>83</v>
      </c>
      <c r="E17" t="s">
        <v>81</v>
      </c>
    </row>
    <row r="18" spans="1:5" x14ac:dyDescent="0.2">
      <c r="A18" t="s">
        <v>11</v>
      </c>
      <c r="B18" t="s">
        <v>82</v>
      </c>
      <c r="C18" t="s">
        <v>173</v>
      </c>
      <c r="D18" t="s">
        <v>83</v>
      </c>
      <c r="E18" t="s">
        <v>90</v>
      </c>
    </row>
    <row r="19" spans="1:5" x14ac:dyDescent="0.2">
      <c r="A19" t="s">
        <v>12</v>
      </c>
      <c r="B19" t="s">
        <v>82</v>
      </c>
      <c r="C19" t="s">
        <v>172</v>
      </c>
      <c r="D19" t="s">
        <v>83</v>
      </c>
      <c r="E19" t="s">
        <v>81</v>
      </c>
    </row>
    <row r="20" spans="1:5" x14ac:dyDescent="0.2">
      <c r="A20" t="s">
        <v>13</v>
      </c>
      <c r="B20" t="s">
        <v>82</v>
      </c>
      <c r="C20" t="s">
        <v>172</v>
      </c>
      <c r="D20" t="s">
        <v>83</v>
      </c>
      <c r="E20" t="s">
        <v>81</v>
      </c>
    </row>
    <row r="21" spans="1:5" x14ac:dyDescent="0.2">
      <c r="A21" t="s">
        <v>14</v>
      </c>
      <c r="B21" t="s">
        <v>94</v>
      </c>
      <c r="C21" t="s">
        <v>172</v>
      </c>
      <c r="D21" t="s">
        <v>83</v>
      </c>
      <c r="E21" t="s">
        <v>93</v>
      </c>
    </row>
    <row r="22" spans="1:5" x14ac:dyDescent="0.2">
      <c r="A22" t="s">
        <v>15</v>
      </c>
      <c r="B22" t="s">
        <v>82</v>
      </c>
      <c r="C22" t="s">
        <v>173</v>
      </c>
      <c r="D22" t="s">
        <v>83</v>
      </c>
      <c r="E22" t="s">
        <v>90</v>
      </c>
    </row>
    <row r="23" spans="1:5" x14ac:dyDescent="0.2">
      <c r="A23" t="s">
        <v>16</v>
      </c>
      <c r="B23" t="s">
        <v>82</v>
      </c>
      <c r="C23" t="s">
        <v>172</v>
      </c>
      <c r="D23" t="s">
        <v>87</v>
      </c>
      <c r="E23" t="s">
        <v>90</v>
      </c>
    </row>
    <row r="24" spans="1:5" x14ac:dyDescent="0.2">
      <c r="A24" t="s">
        <v>17</v>
      </c>
      <c r="B24" t="s">
        <v>82</v>
      </c>
      <c r="C24" t="s">
        <v>173</v>
      </c>
      <c r="D24" t="s">
        <v>89</v>
      </c>
      <c r="E24" t="s">
        <v>85</v>
      </c>
    </row>
    <row r="25" spans="1:5" x14ac:dyDescent="0.2">
      <c r="A25" t="s">
        <v>198</v>
      </c>
      <c r="B25" t="s">
        <v>82</v>
      </c>
      <c r="C25" t="s">
        <v>173</v>
      </c>
      <c r="D25" t="s">
        <v>87</v>
      </c>
      <c r="E25" t="s">
        <v>81</v>
      </c>
    </row>
    <row r="26" spans="1:5" x14ac:dyDescent="0.2">
      <c r="A26" t="s">
        <v>18</v>
      </c>
      <c r="B26" t="s">
        <v>82</v>
      </c>
      <c r="C26" t="s">
        <v>172</v>
      </c>
      <c r="D26" t="s">
        <v>89</v>
      </c>
      <c r="E26" t="s">
        <v>97</v>
      </c>
    </row>
    <row r="27" spans="1:5" x14ac:dyDescent="0.2">
      <c r="A27" t="s">
        <v>19</v>
      </c>
      <c r="B27" t="s">
        <v>82</v>
      </c>
      <c r="C27" t="s">
        <v>172</v>
      </c>
      <c r="D27" t="s">
        <v>83</v>
      </c>
      <c r="E27" t="s">
        <v>81</v>
      </c>
    </row>
    <row r="28" spans="1:5" x14ac:dyDescent="0.2">
      <c r="A28" t="s">
        <v>20</v>
      </c>
      <c r="B28" t="s">
        <v>82</v>
      </c>
      <c r="C28" t="s">
        <v>172</v>
      </c>
      <c r="D28" t="s">
        <v>83</v>
      </c>
      <c r="E28" t="s">
        <v>93</v>
      </c>
    </row>
    <row r="29" spans="1:5" x14ac:dyDescent="0.2">
      <c r="A29" t="s">
        <v>21</v>
      </c>
      <c r="B29" t="s">
        <v>82</v>
      </c>
      <c r="C29" t="s">
        <v>172</v>
      </c>
      <c r="D29" t="s">
        <v>89</v>
      </c>
      <c r="E29" t="s">
        <v>90</v>
      </c>
    </row>
    <row r="30" spans="1:5" x14ac:dyDescent="0.2">
      <c r="A30" t="s">
        <v>22</v>
      </c>
      <c r="B30" t="s">
        <v>86</v>
      </c>
      <c r="C30" t="s">
        <v>172</v>
      </c>
      <c r="D30" t="s">
        <v>87</v>
      </c>
      <c r="E30" t="s">
        <v>85</v>
      </c>
    </row>
    <row r="31" spans="1:5" x14ac:dyDescent="0.2">
      <c r="A31" t="s">
        <v>23</v>
      </c>
      <c r="B31" t="s">
        <v>86</v>
      </c>
      <c r="C31" t="s">
        <v>172</v>
      </c>
      <c r="D31" t="s">
        <v>87</v>
      </c>
      <c r="E31" t="s">
        <v>85</v>
      </c>
    </row>
    <row r="32" spans="1:5" x14ac:dyDescent="0.2">
      <c r="A32" t="s">
        <v>24</v>
      </c>
      <c r="B32" t="s">
        <v>94</v>
      </c>
      <c r="C32" t="s">
        <v>173</v>
      </c>
      <c r="D32" t="s">
        <v>89</v>
      </c>
      <c r="E32" t="s">
        <v>90</v>
      </c>
    </row>
    <row r="33" spans="1:5" x14ac:dyDescent="0.2">
      <c r="A33" t="s">
        <v>25</v>
      </c>
      <c r="B33" t="s">
        <v>82</v>
      </c>
      <c r="C33" t="s">
        <v>172</v>
      </c>
      <c r="D33" t="s">
        <v>89</v>
      </c>
      <c r="E33" t="s">
        <v>90</v>
      </c>
    </row>
    <row r="34" spans="1:5" x14ac:dyDescent="0.2">
      <c r="A34" t="s">
        <v>68</v>
      </c>
      <c r="B34" t="s">
        <v>82</v>
      </c>
      <c r="C34" t="s">
        <v>172</v>
      </c>
      <c r="D34" t="s">
        <v>87</v>
      </c>
      <c r="E34" t="s">
        <v>81</v>
      </c>
    </row>
    <row r="35" spans="1:5" x14ac:dyDescent="0.2">
      <c r="A35" t="s">
        <v>200</v>
      </c>
      <c r="B35" t="s">
        <v>86</v>
      </c>
      <c r="C35" t="s">
        <v>173</v>
      </c>
      <c r="D35" t="s">
        <v>87</v>
      </c>
      <c r="E35" t="s">
        <v>85</v>
      </c>
    </row>
    <row r="36" spans="1:5" x14ac:dyDescent="0.2">
      <c r="A36" t="s">
        <v>26</v>
      </c>
      <c r="B36" t="s">
        <v>82</v>
      </c>
      <c r="C36" t="s">
        <v>172</v>
      </c>
      <c r="D36" t="s">
        <v>83</v>
      </c>
      <c r="E36" t="s">
        <v>81</v>
      </c>
    </row>
    <row r="37" spans="1:5" x14ac:dyDescent="0.2">
      <c r="A37" t="s">
        <v>27</v>
      </c>
      <c r="B37" t="s">
        <v>82</v>
      </c>
      <c r="C37" t="s">
        <v>172</v>
      </c>
      <c r="D37" t="s">
        <v>89</v>
      </c>
      <c r="E37" t="s">
        <v>81</v>
      </c>
    </row>
    <row r="38" spans="1:5" x14ac:dyDescent="0.2">
      <c r="A38" t="s">
        <v>28</v>
      </c>
      <c r="B38" t="s">
        <v>94</v>
      </c>
      <c r="C38" t="s">
        <v>172</v>
      </c>
      <c r="D38" t="s">
        <v>87</v>
      </c>
      <c r="E38" t="s">
        <v>93</v>
      </c>
    </row>
    <row r="39" spans="1:5" x14ac:dyDescent="0.2">
      <c r="A39" t="s">
        <v>29</v>
      </c>
      <c r="B39" t="s">
        <v>94</v>
      </c>
      <c r="C39" t="s">
        <v>172</v>
      </c>
      <c r="D39" t="s">
        <v>87</v>
      </c>
      <c r="E39" t="s">
        <v>90</v>
      </c>
    </row>
    <row r="40" spans="1:5" x14ac:dyDescent="0.2">
      <c r="A40" t="s">
        <v>30</v>
      </c>
      <c r="B40" t="s">
        <v>82</v>
      </c>
      <c r="C40" t="s">
        <v>174</v>
      </c>
      <c r="D40" t="s">
        <v>83</v>
      </c>
      <c r="E40" t="s">
        <v>90</v>
      </c>
    </row>
    <row r="41" spans="1:5" x14ac:dyDescent="0.2">
      <c r="A41" t="s">
        <v>31</v>
      </c>
      <c r="B41" t="s">
        <v>94</v>
      </c>
      <c r="C41" t="s">
        <v>173</v>
      </c>
      <c r="D41" t="s">
        <v>89</v>
      </c>
      <c r="E41" t="s">
        <v>90</v>
      </c>
    </row>
    <row r="42" spans="1:5" x14ac:dyDescent="0.2">
      <c r="A42" t="s">
        <v>32</v>
      </c>
      <c r="B42" t="s">
        <v>94</v>
      </c>
      <c r="C42" t="s">
        <v>173</v>
      </c>
      <c r="D42" t="s">
        <v>83</v>
      </c>
      <c r="E42" t="s">
        <v>81</v>
      </c>
    </row>
    <row r="43" spans="1:5" x14ac:dyDescent="0.2">
      <c r="A43" t="s">
        <v>33</v>
      </c>
      <c r="B43" t="s">
        <v>94</v>
      </c>
      <c r="C43" t="s">
        <v>172</v>
      </c>
      <c r="D43" t="s">
        <v>83</v>
      </c>
      <c r="E43" t="s">
        <v>81</v>
      </c>
    </row>
    <row r="44" spans="1:5" x14ac:dyDescent="0.2">
      <c r="A44" t="s">
        <v>34</v>
      </c>
      <c r="B44" t="s">
        <v>94</v>
      </c>
      <c r="C44" t="s">
        <v>172</v>
      </c>
      <c r="D44" t="s">
        <v>83</v>
      </c>
      <c r="E44" t="s">
        <v>90</v>
      </c>
    </row>
    <row r="45" spans="1:5" x14ac:dyDescent="0.2">
      <c r="A45" t="s">
        <v>35</v>
      </c>
      <c r="B45" t="s">
        <v>94</v>
      </c>
      <c r="C45" t="s">
        <v>172</v>
      </c>
      <c r="D45" t="s">
        <v>89</v>
      </c>
      <c r="E45" t="s">
        <v>93</v>
      </c>
    </row>
    <row r="46" spans="1:5" x14ac:dyDescent="0.2">
      <c r="A46" t="s">
        <v>36</v>
      </c>
      <c r="B46" t="s">
        <v>94</v>
      </c>
      <c r="C46" t="s">
        <v>172</v>
      </c>
      <c r="D46" t="s">
        <v>99</v>
      </c>
      <c r="E46" t="s">
        <v>85</v>
      </c>
    </row>
    <row r="47" spans="1:5" x14ac:dyDescent="0.2">
      <c r="A47" t="s">
        <v>37</v>
      </c>
      <c r="B47" t="s">
        <v>129</v>
      </c>
      <c r="C47" t="s">
        <v>172</v>
      </c>
      <c r="D47" t="s">
        <v>83</v>
      </c>
      <c r="E47" t="s">
        <v>93</v>
      </c>
    </row>
    <row r="48" spans="1:5" x14ac:dyDescent="0.2">
      <c r="A48" t="s">
        <v>38</v>
      </c>
      <c r="B48" t="s">
        <v>82</v>
      </c>
      <c r="C48" t="s">
        <v>172</v>
      </c>
      <c r="D48" t="s">
        <v>83</v>
      </c>
      <c r="E48" t="s">
        <v>93</v>
      </c>
    </row>
    <row r="49" spans="1:5" x14ac:dyDescent="0.2">
      <c r="A49" t="s">
        <v>39</v>
      </c>
      <c r="B49" t="s">
        <v>129</v>
      </c>
      <c r="C49" t="s">
        <v>172</v>
      </c>
      <c r="D49" t="s">
        <v>89</v>
      </c>
      <c r="E49" t="s">
        <v>93</v>
      </c>
    </row>
    <row r="50" spans="1:5" x14ac:dyDescent="0.2">
      <c r="A50" t="s">
        <v>40</v>
      </c>
      <c r="B50" t="s">
        <v>82</v>
      </c>
      <c r="C50" t="s">
        <v>172</v>
      </c>
      <c r="D50" t="s">
        <v>83</v>
      </c>
      <c r="E50" t="s">
        <v>93</v>
      </c>
    </row>
    <row r="51" spans="1:5" x14ac:dyDescent="0.2">
      <c r="A51" t="s">
        <v>69</v>
      </c>
      <c r="B51" t="s">
        <v>82</v>
      </c>
      <c r="C51" t="s">
        <v>173</v>
      </c>
      <c r="D51" t="s">
        <v>83</v>
      </c>
      <c r="E51" t="s">
        <v>90</v>
      </c>
    </row>
    <row r="52" spans="1:5" x14ac:dyDescent="0.2">
      <c r="A52" t="s">
        <v>70</v>
      </c>
      <c r="B52" t="s">
        <v>82</v>
      </c>
      <c r="C52" t="s">
        <v>172</v>
      </c>
      <c r="D52" t="s">
        <v>89</v>
      </c>
      <c r="E52" t="s">
        <v>90</v>
      </c>
    </row>
    <row r="53" spans="1:5" x14ac:dyDescent="0.2">
      <c r="A53" t="s">
        <v>71</v>
      </c>
      <c r="B53" t="s">
        <v>82</v>
      </c>
      <c r="C53" t="s">
        <v>172</v>
      </c>
      <c r="D53" t="s">
        <v>87</v>
      </c>
      <c r="E53" t="s">
        <v>81</v>
      </c>
    </row>
    <row r="54" spans="1:5" x14ac:dyDescent="0.2">
      <c r="A54" t="s">
        <v>72</v>
      </c>
      <c r="B54" t="s">
        <v>82</v>
      </c>
      <c r="C54" t="s">
        <v>174</v>
      </c>
      <c r="D54" t="s">
        <v>89</v>
      </c>
      <c r="E54" t="s">
        <v>81</v>
      </c>
    </row>
    <row r="55" spans="1:5" x14ac:dyDescent="0.2">
      <c r="A55" t="s">
        <v>41</v>
      </c>
      <c r="B55" t="s">
        <v>94</v>
      </c>
      <c r="C55" t="s">
        <v>172</v>
      </c>
      <c r="D55" t="s">
        <v>83</v>
      </c>
      <c r="E55" t="s">
        <v>85</v>
      </c>
    </row>
    <row r="56" spans="1:5" x14ac:dyDescent="0.2">
      <c r="A56" t="s">
        <v>42</v>
      </c>
      <c r="B56" t="s">
        <v>94</v>
      </c>
      <c r="C56" t="s">
        <v>172</v>
      </c>
      <c r="D56" t="s">
        <v>89</v>
      </c>
      <c r="E56" t="s">
        <v>81</v>
      </c>
    </row>
    <row r="57" spans="1:5" x14ac:dyDescent="0.2">
      <c r="A57" t="s">
        <v>43</v>
      </c>
      <c r="B57" t="s">
        <v>82</v>
      </c>
      <c r="C57" t="s">
        <v>173</v>
      </c>
      <c r="D57" t="s">
        <v>83</v>
      </c>
      <c r="E57" t="s">
        <v>90</v>
      </c>
    </row>
    <row r="58" spans="1:5" x14ac:dyDescent="0.2">
      <c r="A58" t="s">
        <v>44</v>
      </c>
      <c r="B58" t="s">
        <v>94</v>
      </c>
      <c r="C58" t="s">
        <v>172</v>
      </c>
      <c r="D58" t="s">
        <v>89</v>
      </c>
      <c r="E58" t="s">
        <v>81</v>
      </c>
    </row>
    <row r="59" spans="1:5" x14ac:dyDescent="0.2">
      <c r="A59" t="s">
        <v>73</v>
      </c>
      <c r="B59" t="s">
        <v>94</v>
      </c>
      <c r="C59" t="s">
        <v>174</v>
      </c>
      <c r="D59" t="s">
        <v>83</v>
      </c>
      <c r="E59" t="s">
        <v>90</v>
      </c>
    </row>
    <row r="60" spans="1:5" x14ac:dyDescent="0.2">
      <c r="A60" t="s">
        <v>201</v>
      </c>
      <c r="B60" t="s">
        <v>94</v>
      </c>
      <c r="C60" t="s">
        <v>174</v>
      </c>
      <c r="D60" t="s">
        <v>89</v>
      </c>
      <c r="E60" t="s">
        <v>93</v>
      </c>
    </row>
    <row r="61" spans="1:5" x14ac:dyDescent="0.2">
      <c r="A61" t="s">
        <v>74</v>
      </c>
      <c r="B61" t="s">
        <v>82</v>
      </c>
      <c r="C61" t="s">
        <v>172</v>
      </c>
      <c r="D61" t="s">
        <v>87</v>
      </c>
      <c r="E61" t="s">
        <v>81</v>
      </c>
    </row>
    <row r="62" spans="1:5" x14ac:dyDescent="0.2">
      <c r="A62" t="s">
        <v>45</v>
      </c>
      <c r="B62" t="s">
        <v>94</v>
      </c>
      <c r="C62" t="s">
        <v>172</v>
      </c>
      <c r="D62" t="s">
        <v>83</v>
      </c>
      <c r="E62" t="s">
        <v>85</v>
      </c>
    </row>
    <row r="63" spans="1:5" x14ac:dyDescent="0.2">
      <c r="A63" t="s">
        <v>46</v>
      </c>
      <c r="B63" t="s">
        <v>86</v>
      </c>
      <c r="C63" t="s">
        <v>174</v>
      </c>
      <c r="D63" t="s">
        <v>87</v>
      </c>
      <c r="E63" t="s">
        <v>85</v>
      </c>
    </row>
    <row r="64" spans="1:5" x14ac:dyDescent="0.2">
      <c r="A64" t="s">
        <v>47</v>
      </c>
      <c r="B64" t="s">
        <v>82</v>
      </c>
      <c r="C64" t="s">
        <v>173</v>
      </c>
      <c r="D64" t="s">
        <v>83</v>
      </c>
      <c r="E64" t="s">
        <v>90</v>
      </c>
    </row>
    <row r="65" spans="1:5" x14ac:dyDescent="0.2">
      <c r="A65" t="s">
        <v>48</v>
      </c>
      <c r="B65" t="s">
        <v>94</v>
      </c>
      <c r="C65" t="s">
        <v>173</v>
      </c>
      <c r="D65" t="s">
        <v>83</v>
      </c>
      <c r="E65" t="s">
        <v>90</v>
      </c>
    </row>
    <row r="66" spans="1:5" x14ac:dyDescent="0.2">
      <c r="A66" t="s">
        <v>49</v>
      </c>
      <c r="B66" t="s">
        <v>82</v>
      </c>
      <c r="C66" t="s">
        <v>172</v>
      </c>
      <c r="D66" t="s">
        <v>89</v>
      </c>
      <c r="E66" t="s">
        <v>81</v>
      </c>
    </row>
    <row r="67" spans="1:5" x14ac:dyDescent="0.2">
      <c r="A67" t="s">
        <v>50</v>
      </c>
      <c r="B67" t="s">
        <v>94</v>
      </c>
      <c r="C67" t="s">
        <v>172</v>
      </c>
      <c r="D67" t="s">
        <v>83</v>
      </c>
      <c r="E67" t="s">
        <v>93</v>
      </c>
    </row>
    <row r="68" spans="1:5" x14ac:dyDescent="0.2">
      <c r="A68" t="s">
        <v>51</v>
      </c>
      <c r="B68" t="s">
        <v>82</v>
      </c>
      <c r="C68" t="s">
        <v>172</v>
      </c>
      <c r="D68" t="s">
        <v>83</v>
      </c>
      <c r="E68" t="s">
        <v>81</v>
      </c>
    </row>
    <row r="69" spans="1:5" x14ac:dyDescent="0.2">
      <c r="A69" t="s">
        <v>75</v>
      </c>
      <c r="B69" t="s">
        <v>82</v>
      </c>
      <c r="C69" t="s">
        <v>172</v>
      </c>
      <c r="D69" t="s">
        <v>83</v>
      </c>
      <c r="E69" t="s">
        <v>81</v>
      </c>
    </row>
    <row r="70" spans="1:5" x14ac:dyDescent="0.2">
      <c r="A70" t="s">
        <v>52</v>
      </c>
      <c r="B70" t="s">
        <v>82</v>
      </c>
      <c r="C70" t="s">
        <v>172</v>
      </c>
      <c r="D70" t="s">
        <v>89</v>
      </c>
      <c r="E70" t="s">
        <v>93</v>
      </c>
    </row>
    <row r="71" spans="1:5" x14ac:dyDescent="0.2">
      <c r="A71" t="s">
        <v>53</v>
      </c>
      <c r="B71" t="s">
        <v>129</v>
      </c>
      <c r="C71" t="s">
        <v>172</v>
      </c>
      <c r="D71" t="s">
        <v>83</v>
      </c>
      <c r="E71" t="s">
        <v>93</v>
      </c>
    </row>
    <row r="72" spans="1:5" x14ac:dyDescent="0.2">
      <c r="A72" t="s">
        <v>54</v>
      </c>
      <c r="B72" t="s">
        <v>82</v>
      </c>
      <c r="C72" t="s">
        <v>172</v>
      </c>
      <c r="D72" t="s">
        <v>89</v>
      </c>
      <c r="E72" t="s">
        <v>93</v>
      </c>
    </row>
    <row r="73" spans="1:5" x14ac:dyDescent="0.2">
      <c r="A73" t="s">
        <v>76</v>
      </c>
      <c r="B73" t="s">
        <v>82</v>
      </c>
      <c r="C73" t="s">
        <v>172</v>
      </c>
      <c r="D73" t="s">
        <v>83</v>
      </c>
      <c r="E73" t="s">
        <v>90</v>
      </c>
    </row>
    <row r="74" spans="1:5" x14ac:dyDescent="0.2">
      <c r="A74" t="s">
        <v>55</v>
      </c>
      <c r="B74" t="s">
        <v>82</v>
      </c>
      <c r="C74" t="s">
        <v>173</v>
      </c>
      <c r="D74" t="s">
        <v>83</v>
      </c>
      <c r="E74" t="s">
        <v>90</v>
      </c>
    </row>
    <row r="75" spans="1:5" x14ac:dyDescent="0.2">
      <c r="A75" t="s">
        <v>196</v>
      </c>
      <c r="B75" t="s">
        <v>94</v>
      </c>
      <c r="C75" t="s">
        <v>172</v>
      </c>
      <c r="D75" t="s">
        <v>83</v>
      </c>
      <c r="E75" t="s">
        <v>97</v>
      </c>
    </row>
    <row r="76" spans="1:5" x14ac:dyDescent="0.2">
      <c r="A76" t="s">
        <v>56</v>
      </c>
      <c r="B76" t="s">
        <v>94</v>
      </c>
      <c r="C76" t="s">
        <v>173</v>
      </c>
      <c r="D76" t="s">
        <v>83</v>
      </c>
      <c r="E76" t="s">
        <v>90</v>
      </c>
    </row>
    <row r="77" spans="1:5" x14ac:dyDescent="0.2">
      <c r="A77" t="s">
        <v>57</v>
      </c>
      <c r="B77" t="s">
        <v>82</v>
      </c>
      <c r="C77" t="s">
        <v>172</v>
      </c>
      <c r="D77" t="s">
        <v>89</v>
      </c>
      <c r="E77" t="s">
        <v>90</v>
      </c>
    </row>
    <row r="78" spans="1:5" x14ac:dyDescent="0.2">
      <c r="A78" t="s">
        <v>58</v>
      </c>
      <c r="B78" t="s">
        <v>82</v>
      </c>
      <c r="C78" t="s">
        <v>174</v>
      </c>
      <c r="D78" t="s">
        <v>89</v>
      </c>
      <c r="E78" t="s">
        <v>90</v>
      </c>
    </row>
    <row r="79" spans="1:5" x14ac:dyDescent="0.2">
      <c r="A79" t="s">
        <v>59</v>
      </c>
      <c r="B79" t="s">
        <v>82</v>
      </c>
      <c r="C79" t="s">
        <v>173</v>
      </c>
      <c r="D79" t="s">
        <v>99</v>
      </c>
      <c r="E79" t="s">
        <v>97</v>
      </c>
    </row>
    <row r="80" spans="1:5" x14ac:dyDescent="0.2">
      <c r="A80" t="s">
        <v>60</v>
      </c>
      <c r="B80" t="s">
        <v>82</v>
      </c>
      <c r="C80" t="s">
        <v>173</v>
      </c>
      <c r="D80" t="s">
        <v>83</v>
      </c>
      <c r="E80" t="s">
        <v>90</v>
      </c>
    </row>
    <row r="81" spans="1:5" x14ac:dyDescent="0.2">
      <c r="A81" t="s">
        <v>61</v>
      </c>
      <c r="B81" t="s">
        <v>94</v>
      </c>
      <c r="C81" t="s">
        <v>173</v>
      </c>
      <c r="D81" t="s">
        <v>89</v>
      </c>
      <c r="E81" t="s">
        <v>81</v>
      </c>
    </row>
    <row r="82" spans="1:5" x14ac:dyDescent="0.2">
      <c r="A82" t="s">
        <v>62</v>
      </c>
      <c r="B82" t="s">
        <v>86</v>
      </c>
      <c r="C82" t="s">
        <v>172</v>
      </c>
      <c r="D82" t="s">
        <v>89</v>
      </c>
      <c r="E82" t="s">
        <v>85</v>
      </c>
    </row>
    <row r="83" spans="1:5" x14ac:dyDescent="0.2">
      <c r="A83" t="s">
        <v>63</v>
      </c>
      <c r="B83" t="s">
        <v>86</v>
      </c>
      <c r="C83" t="s">
        <v>172</v>
      </c>
      <c r="D83" t="s">
        <v>83</v>
      </c>
      <c r="E83" t="s">
        <v>85</v>
      </c>
    </row>
    <row r="84" spans="1:5" x14ac:dyDescent="0.2">
      <c r="A84" t="s">
        <v>205</v>
      </c>
      <c r="B84" t="s">
        <v>129</v>
      </c>
      <c r="C84" t="s">
        <v>172</v>
      </c>
      <c r="D84" t="s">
        <v>83</v>
      </c>
      <c r="E84" t="s">
        <v>97</v>
      </c>
    </row>
    <row r="85" spans="1:5" x14ac:dyDescent="0.2">
      <c r="A85" t="s">
        <v>202</v>
      </c>
      <c r="B85" t="s">
        <v>129</v>
      </c>
      <c r="C85" t="s">
        <v>172</v>
      </c>
      <c r="D85" t="s">
        <v>83</v>
      </c>
      <c r="E85" t="s">
        <v>85</v>
      </c>
    </row>
    <row r="86" spans="1:5" x14ac:dyDescent="0.2">
      <c r="A86" t="s">
        <v>64</v>
      </c>
      <c r="B86" t="s">
        <v>94</v>
      </c>
      <c r="C86" t="s">
        <v>172</v>
      </c>
      <c r="D86" t="s">
        <v>99</v>
      </c>
      <c r="E86" t="s">
        <v>85</v>
      </c>
    </row>
    <row r="87" spans="1:5" x14ac:dyDescent="0.2">
      <c r="A87" t="s">
        <v>65</v>
      </c>
      <c r="B87" t="s">
        <v>94</v>
      </c>
      <c r="C87" t="s">
        <v>173</v>
      </c>
      <c r="D87" t="s">
        <v>83</v>
      </c>
      <c r="E87" t="s">
        <v>90</v>
      </c>
    </row>
    <row r="88" spans="1:5" x14ac:dyDescent="0.2">
      <c r="A88" t="s">
        <v>66</v>
      </c>
      <c r="B88" t="s">
        <v>82</v>
      </c>
      <c r="C88" t="s">
        <v>172</v>
      </c>
      <c r="D88" t="s">
        <v>83</v>
      </c>
      <c r="E88" t="s">
        <v>90</v>
      </c>
    </row>
    <row r="89" spans="1:5" x14ac:dyDescent="0.2">
      <c r="A89" t="s">
        <v>223</v>
      </c>
      <c r="B89" t="s">
        <v>82</v>
      </c>
      <c r="C89" t="s">
        <v>174</v>
      </c>
      <c r="D89" t="s">
        <v>83</v>
      </c>
      <c r="E89" t="s">
        <v>85</v>
      </c>
    </row>
    <row r="90" spans="1:5" x14ac:dyDescent="0.2">
      <c r="A90" t="s">
        <v>225</v>
      </c>
      <c r="B90" t="s">
        <v>82</v>
      </c>
      <c r="C90" t="s">
        <v>173</v>
      </c>
      <c r="D90" t="s">
        <v>83</v>
      </c>
      <c r="E90" t="s">
        <v>97</v>
      </c>
    </row>
    <row r="91" spans="1:5" x14ac:dyDescent="0.2">
      <c r="A91" t="s">
        <v>226</v>
      </c>
      <c r="B91" t="s">
        <v>82</v>
      </c>
      <c r="C91" t="s">
        <v>173</v>
      </c>
      <c r="D91" t="s">
        <v>89</v>
      </c>
      <c r="E91" t="s">
        <v>93</v>
      </c>
    </row>
    <row r="92" spans="1:5" x14ac:dyDescent="0.2">
      <c r="A92" t="s">
        <v>227</v>
      </c>
      <c r="B92" t="s">
        <v>82</v>
      </c>
      <c r="C92" t="s">
        <v>172</v>
      </c>
      <c r="D92" t="s">
        <v>87</v>
      </c>
      <c r="E92" t="s">
        <v>90</v>
      </c>
    </row>
    <row r="93" spans="1:5" x14ac:dyDescent="0.2">
      <c r="A93" t="s">
        <v>228</v>
      </c>
      <c r="B93" t="s">
        <v>94</v>
      </c>
      <c r="C93" t="s">
        <v>172</v>
      </c>
      <c r="D93" t="s">
        <v>99</v>
      </c>
      <c r="E93" t="s">
        <v>97</v>
      </c>
    </row>
    <row r="94" spans="1:5" x14ac:dyDescent="0.2">
      <c r="A94" t="s">
        <v>224</v>
      </c>
      <c r="B94" t="s">
        <v>129</v>
      </c>
      <c r="C94" t="s">
        <v>173</v>
      </c>
      <c r="D94" t="s">
        <v>83</v>
      </c>
      <c r="E94" t="s">
        <v>97</v>
      </c>
    </row>
    <row r="95" spans="1:5" x14ac:dyDescent="0.2">
      <c r="A95" s="32" t="s">
        <v>237</v>
      </c>
      <c r="B95" t="s">
        <v>82</v>
      </c>
      <c r="C95" t="s">
        <v>172</v>
      </c>
      <c r="D95" t="s">
        <v>89</v>
      </c>
      <c r="E95" t="s">
        <v>81</v>
      </c>
    </row>
    <row r="96" spans="1:5" x14ac:dyDescent="0.2">
      <c r="A96" s="33" t="s">
        <v>239</v>
      </c>
      <c r="B96" t="s">
        <v>86</v>
      </c>
      <c r="C96" t="s">
        <v>172</v>
      </c>
      <c r="D96" t="s">
        <v>87</v>
      </c>
      <c r="E96" t="s">
        <v>85</v>
      </c>
    </row>
    <row r="97" spans="1:5" x14ac:dyDescent="0.2">
      <c r="A97" s="33" t="s">
        <v>242</v>
      </c>
      <c r="B97" t="s">
        <v>86</v>
      </c>
      <c r="C97" t="s">
        <v>172</v>
      </c>
      <c r="D97" t="s">
        <v>87</v>
      </c>
      <c r="E97" t="s">
        <v>93</v>
      </c>
    </row>
    <row r="98" spans="1:5" x14ac:dyDescent="0.2">
      <c r="A98" s="33" t="s">
        <v>244</v>
      </c>
      <c r="B98" t="s">
        <v>86</v>
      </c>
      <c r="C98" t="s">
        <v>174</v>
      </c>
      <c r="D98" t="s">
        <v>87</v>
      </c>
      <c r="E98" t="s">
        <v>85</v>
      </c>
    </row>
    <row r="99" spans="1:5" ht="17" x14ac:dyDescent="0.2">
      <c r="A99" s="34" t="s">
        <v>246</v>
      </c>
      <c r="B99" t="s">
        <v>94</v>
      </c>
      <c r="C99" t="s">
        <v>173</v>
      </c>
      <c r="D99" t="s">
        <v>89</v>
      </c>
      <c r="E99" t="s">
        <v>93</v>
      </c>
    </row>
    <row r="100" spans="1:5" ht="17" x14ac:dyDescent="0.2">
      <c r="A100" s="34" t="s">
        <v>248</v>
      </c>
      <c r="B100" t="s">
        <v>94</v>
      </c>
      <c r="C100" t="s">
        <v>174</v>
      </c>
      <c r="D100" t="s">
        <v>89</v>
      </c>
      <c r="E100" t="s">
        <v>90</v>
      </c>
    </row>
    <row r="101" spans="1:5" ht="17" x14ac:dyDescent="0.2">
      <c r="A101" s="34" t="s">
        <v>249</v>
      </c>
      <c r="B101" t="s">
        <v>94</v>
      </c>
      <c r="C101" t="s">
        <v>174</v>
      </c>
      <c r="D101" t="s">
        <v>87</v>
      </c>
      <c r="E101" t="s">
        <v>85</v>
      </c>
    </row>
    <row r="102" spans="1:5" ht="17" x14ac:dyDescent="0.2">
      <c r="A102" s="34" t="s">
        <v>252</v>
      </c>
      <c r="B102" t="s">
        <v>94</v>
      </c>
      <c r="C102" t="s">
        <v>172</v>
      </c>
      <c r="D102" t="s">
        <v>89</v>
      </c>
      <c r="E102" t="s">
        <v>93</v>
      </c>
    </row>
    <row r="103" spans="1:5" ht="17" x14ac:dyDescent="0.2">
      <c r="A103" s="34" t="s">
        <v>253</v>
      </c>
      <c r="B103" t="s">
        <v>94</v>
      </c>
      <c r="C103" t="s">
        <v>172</v>
      </c>
      <c r="D103" t="s">
        <v>99</v>
      </c>
      <c r="E103" t="s">
        <v>97</v>
      </c>
    </row>
    <row r="104" spans="1:5" ht="17" x14ac:dyDescent="0.2">
      <c r="A104" s="34" t="s">
        <v>256</v>
      </c>
      <c r="B104" t="s">
        <v>94</v>
      </c>
      <c r="C104" t="s">
        <v>172</v>
      </c>
      <c r="D104" t="s">
        <v>83</v>
      </c>
      <c r="E104" t="s">
        <v>85</v>
      </c>
    </row>
    <row r="105" spans="1:5" ht="17" x14ac:dyDescent="0.2">
      <c r="A105" s="34" t="s">
        <v>64</v>
      </c>
      <c r="B105" t="s">
        <v>94</v>
      </c>
      <c r="C105" t="s">
        <v>172</v>
      </c>
      <c r="D105" t="s">
        <v>99</v>
      </c>
      <c r="E105" t="s">
        <v>85</v>
      </c>
    </row>
    <row r="106" spans="1:5" ht="17" x14ac:dyDescent="0.2">
      <c r="A106" s="34" t="s">
        <v>259</v>
      </c>
      <c r="B106" t="s">
        <v>82</v>
      </c>
      <c r="C106" t="s">
        <v>174</v>
      </c>
      <c r="D106" t="s">
        <v>87</v>
      </c>
      <c r="E106" t="s">
        <v>90</v>
      </c>
    </row>
    <row r="107" spans="1:5" x14ac:dyDescent="0.2">
      <c r="A107" s="33" t="s">
        <v>261</v>
      </c>
      <c r="B107" t="s">
        <v>129</v>
      </c>
      <c r="C107" t="s">
        <v>172</v>
      </c>
      <c r="D107" t="s">
        <v>87</v>
      </c>
      <c r="E107" t="s">
        <v>90</v>
      </c>
    </row>
    <row r="108" spans="1:5" x14ac:dyDescent="0.2">
      <c r="A108" s="50" t="s">
        <v>271</v>
      </c>
      <c r="B108" s="47" t="s">
        <v>94</v>
      </c>
      <c r="C108" s="47" t="s">
        <v>173</v>
      </c>
      <c r="D108" s="47" t="s">
        <v>83</v>
      </c>
      <c r="E108" s="44" t="s">
        <v>90</v>
      </c>
    </row>
    <row r="109" spans="1:5" ht="17" x14ac:dyDescent="0.2">
      <c r="A109" s="34" t="s">
        <v>354</v>
      </c>
      <c r="B109" t="s">
        <v>94</v>
      </c>
      <c r="C109" t="s">
        <v>172</v>
      </c>
      <c r="D109" t="s">
        <v>89</v>
      </c>
      <c r="E109" t="s">
        <v>93</v>
      </c>
    </row>
  </sheetData>
  <sortState xmlns:xlrd2="http://schemas.microsoft.com/office/spreadsheetml/2017/richdata2" ref="A1:B88">
    <sortCondition ref="A1:A88"/>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7403C-9DB1-E047-9E81-3C5344F3FB8A}">
  <dimension ref="A1:T110"/>
  <sheetViews>
    <sheetView topLeftCell="A88" zoomScale="125" zoomScaleNormal="109" workbookViewId="0">
      <pane xSplit="2" topLeftCell="D1" activePane="topRight" state="frozen"/>
      <selection pane="topRight" activeCell="B104" sqref="B104"/>
    </sheetView>
  </sheetViews>
  <sheetFormatPr baseColWidth="10" defaultRowHeight="16" x14ac:dyDescent="0.2"/>
  <cols>
    <col min="1" max="1" width="22.5" bestFit="1" customWidth="1"/>
    <col min="2" max="2" width="26.1640625" style="71" bestFit="1" customWidth="1"/>
    <col min="3" max="3" width="13.6640625" style="19" customWidth="1"/>
    <col min="4" max="4" width="63.6640625" style="20" bestFit="1" customWidth="1"/>
    <col min="5" max="5" width="16.33203125" style="19" bestFit="1" customWidth="1"/>
    <col min="6" max="6" width="15.1640625" bestFit="1" customWidth="1"/>
    <col min="7" max="7" width="49.6640625" style="20" customWidth="1"/>
    <col min="8" max="8" width="15.83203125" style="19" bestFit="1" customWidth="1"/>
    <col min="9" max="9" width="19.83203125" bestFit="1" customWidth="1"/>
    <col min="10" max="10" width="111.83203125" style="20" bestFit="1" customWidth="1"/>
    <col min="11" max="11" width="11.5" style="19" bestFit="1" customWidth="1"/>
    <col min="12" max="12" width="14.83203125" bestFit="1" customWidth="1"/>
    <col min="13" max="13" width="77.6640625" style="20" customWidth="1"/>
    <col min="14" max="14" width="27.1640625" style="43" bestFit="1" customWidth="1"/>
    <col min="15" max="15" width="31" style="19" bestFit="1" customWidth="1"/>
    <col min="16" max="16" width="13.1640625" customWidth="1"/>
    <col min="17" max="17" width="49.6640625" customWidth="1"/>
    <col min="18" max="18" width="17.6640625" style="57" customWidth="1"/>
    <col min="19" max="19" width="16.33203125" bestFit="1" customWidth="1"/>
  </cols>
  <sheetData>
    <row r="1" spans="1:18" ht="86" customHeight="1" x14ac:dyDescent="0.25">
      <c r="B1" s="69"/>
      <c r="C1" s="81" t="s">
        <v>135</v>
      </c>
      <c r="D1" s="83" t="s">
        <v>192</v>
      </c>
      <c r="E1" s="1" t="s">
        <v>79</v>
      </c>
      <c r="F1" s="4" t="s">
        <v>188</v>
      </c>
      <c r="G1" s="3"/>
      <c r="H1" s="2" t="s">
        <v>78</v>
      </c>
      <c r="I1" s="85" t="s">
        <v>180</v>
      </c>
      <c r="J1" s="83"/>
      <c r="K1" s="2" t="s">
        <v>77</v>
      </c>
      <c r="L1" s="79" t="s">
        <v>189</v>
      </c>
      <c r="M1" s="3"/>
      <c r="N1" s="41" t="s">
        <v>265</v>
      </c>
      <c r="O1" s="86" t="s">
        <v>267</v>
      </c>
      <c r="P1" s="87"/>
      <c r="Q1" s="87"/>
      <c r="R1" s="88"/>
    </row>
    <row r="2" spans="1:18" ht="103" thickBot="1" x14ac:dyDescent="0.25">
      <c r="A2" t="s">
        <v>275</v>
      </c>
      <c r="B2" s="70" t="s">
        <v>0</v>
      </c>
      <c r="C2" s="82"/>
      <c r="D2" s="84"/>
      <c r="E2" s="12" t="s">
        <v>191</v>
      </c>
      <c r="F2" s="13" t="s">
        <v>190</v>
      </c>
      <c r="G2" s="14" t="s">
        <v>181</v>
      </c>
      <c r="H2" s="16" t="s">
        <v>178</v>
      </c>
      <c r="I2" s="13" t="s">
        <v>182</v>
      </c>
      <c r="J2" s="14" t="s">
        <v>181</v>
      </c>
      <c r="K2" s="16" t="s">
        <v>177</v>
      </c>
      <c r="L2" s="80"/>
      <c r="M2" s="14" t="s">
        <v>181</v>
      </c>
      <c r="N2" s="42" t="s">
        <v>181</v>
      </c>
      <c r="O2" s="16" t="s">
        <v>266</v>
      </c>
      <c r="P2" s="15" t="s">
        <v>353</v>
      </c>
      <c r="Q2" s="15" t="s">
        <v>352</v>
      </c>
      <c r="R2" s="55" t="s">
        <v>264</v>
      </c>
    </row>
    <row r="3" spans="1:18" x14ac:dyDescent="0.2">
      <c r="B3" s="71" t="s">
        <v>67</v>
      </c>
      <c r="C3" s="21">
        <v>44358</v>
      </c>
      <c r="D3" s="8" t="s">
        <v>80</v>
      </c>
      <c r="E3" s="7" t="s">
        <v>82</v>
      </c>
      <c r="F3" s="47" t="str">
        <f>E3</f>
        <v>benthopelagic</v>
      </c>
      <c r="G3" s="8"/>
      <c r="H3" s="6" t="s">
        <v>172</v>
      </c>
      <c r="I3" s="47" t="str">
        <f t="shared" ref="I3" si="0">H3</f>
        <v>fusiform</v>
      </c>
      <c r="K3" s="6" t="s">
        <v>83</v>
      </c>
      <c r="L3" s="47" t="str">
        <f t="shared" ref="L3:L5" si="1">K3</f>
        <v>Subtropical</v>
      </c>
      <c r="N3" s="44" t="s">
        <v>81</v>
      </c>
      <c r="O3" s="66" t="s">
        <v>293</v>
      </c>
      <c r="P3" s="53">
        <v>0.92</v>
      </c>
      <c r="Q3" s="67" t="s">
        <v>287</v>
      </c>
      <c r="R3" s="56" t="s">
        <v>269</v>
      </c>
    </row>
    <row r="4" spans="1:18" x14ac:dyDescent="0.2">
      <c r="B4" s="71" t="s">
        <v>1</v>
      </c>
      <c r="C4" s="21">
        <v>44358</v>
      </c>
      <c r="D4" s="8" t="s">
        <v>84</v>
      </c>
      <c r="E4" s="7" t="s">
        <v>86</v>
      </c>
      <c r="F4" s="47" t="str">
        <f t="shared" ref="F4:F5" si="2">E4</f>
        <v>reef-associated</v>
      </c>
      <c r="G4" s="8"/>
      <c r="H4" s="6" t="s">
        <v>174</v>
      </c>
      <c r="I4" s="47" t="str">
        <f>H4</f>
        <v>short/deep</v>
      </c>
      <c r="K4" s="6" t="s">
        <v>87</v>
      </c>
      <c r="L4" s="47" t="str">
        <f t="shared" si="1"/>
        <v>Tropical</v>
      </c>
      <c r="N4" s="44" t="s">
        <v>85</v>
      </c>
    </row>
    <row r="5" spans="1:18" x14ac:dyDescent="0.2">
      <c r="B5" s="71" t="s">
        <v>2</v>
      </c>
      <c r="C5" s="21">
        <v>44358</v>
      </c>
      <c r="D5" s="8" t="s">
        <v>88</v>
      </c>
      <c r="E5" s="7" t="s">
        <v>82</v>
      </c>
      <c r="F5" s="47" t="str">
        <f t="shared" si="2"/>
        <v>benthopelagic</v>
      </c>
      <c r="G5" s="8"/>
      <c r="H5" s="6" t="s">
        <v>173</v>
      </c>
      <c r="I5" s="47" t="str">
        <f t="shared" ref="I5" si="3">H5</f>
        <v>elongated</v>
      </c>
      <c r="K5" s="6" t="s">
        <v>89</v>
      </c>
      <c r="L5" s="47" t="str">
        <f t="shared" si="1"/>
        <v>Temperate</v>
      </c>
      <c r="N5" s="44" t="s">
        <v>90</v>
      </c>
      <c r="O5" s="52" t="s">
        <v>175</v>
      </c>
      <c r="P5" s="53" t="s">
        <v>175</v>
      </c>
      <c r="Q5" s="53" t="s">
        <v>175</v>
      </c>
      <c r="R5" s="56">
        <v>54</v>
      </c>
    </row>
    <row r="6" spans="1:18" s="18" customFormat="1" x14ac:dyDescent="0.2">
      <c r="B6" s="72" t="s">
        <v>204</v>
      </c>
      <c r="C6" s="21">
        <v>44373</v>
      </c>
      <c r="D6" s="22" t="s">
        <v>211</v>
      </c>
      <c r="E6" s="25" t="s">
        <v>82</v>
      </c>
      <c r="F6" s="18" t="s">
        <v>82</v>
      </c>
      <c r="G6" s="22"/>
      <c r="H6" s="25" t="s">
        <v>194</v>
      </c>
      <c r="I6" s="47" t="s">
        <v>174</v>
      </c>
      <c r="J6" s="22"/>
      <c r="K6" s="25" t="s">
        <v>87</v>
      </c>
      <c r="L6" s="18" t="s">
        <v>87</v>
      </c>
      <c r="M6" s="22"/>
      <c r="N6" s="45" t="s">
        <v>90</v>
      </c>
      <c r="O6" s="25"/>
      <c r="R6" s="58"/>
    </row>
    <row r="7" spans="1:18" s="18" customFormat="1" x14ac:dyDescent="0.2">
      <c r="B7" s="72" t="s">
        <v>203</v>
      </c>
      <c r="C7" s="21">
        <v>44373</v>
      </c>
      <c r="D7" s="22" t="s">
        <v>213</v>
      </c>
      <c r="E7" s="25" t="s">
        <v>86</v>
      </c>
      <c r="F7" s="18" t="s">
        <v>86</v>
      </c>
      <c r="G7" s="22"/>
      <c r="H7" s="25" t="s">
        <v>194</v>
      </c>
      <c r="I7" s="47" t="s">
        <v>174</v>
      </c>
      <c r="J7" s="22"/>
      <c r="K7" s="25" t="s">
        <v>87</v>
      </c>
      <c r="L7" s="18" t="s">
        <v>87</v>
      </c>
      <c r="M7" s="22"/>
      <c r="N7" s="45" t="s">
        <v>85</v>
      </c>
      <c r="O7" s="25"/>
      <c r="R7" s="58"/>
    </row>
    <row r="8" spans="1:18" x14ac:dyDescent="0.2">
      <c r="B8" s="71" t="s">
        <v>3</v>
      </c>
      <c r="C8" s="21">
        <v>44358</v>
      </c>
      <c r="D8" s="8" t="s">
        <v>91</v>
      </c>
      <c r="E8" s="7" t="s">
        <v>86</v>
      </c>
      <c r="F8" s="47" t="str">
        <f t="shared" ref="F8:F13" si="4">E8</f>
        <v>reef-associated</v>
      </c>
      <c r="G8" s="8"/>
      <c r="H8" s="6" t="s">
        <v>174</v>
      </c>
      <c r="I8" s="47" t="str">
        <f>H8</f>
        <v>short/deep</v>
      </c>
      <c r="K8" s="6" t="s">
        <v>87</v>
      </c>
      <c r="L8" s="47" t="str">
        <f t="shared" ref="L8:L13" si="5">K8</f>
        <v>Tropical</v>
      </c>
      <c r="N8" s="44" t="s">
        <v>85</v>
      </c>
    </row>
    <row r="9" spans="1:18" x14ac:dyDescent="0.2">
      <c r="B9" s="71" t="s">
        <v>4</v>
      </c>
      <c r="C9" s="21">
        <v>44358</v>
      </c>
      <c r="D9" s="8" t="s">
        <v>92</v>
      </c>
      <c r="E9" s="7" t="s">
        <v>86</v>
      </c>
      <c r="F9" s="47" t="str">
        <f t="shared" si="4"/>
        <v>reef-associated</v>
      </c>
      <c r="G9" s="8"/>
      <c r="H9" s="6" t="s">
        <v>172</v>
      </c>
      <c r="I9" s="47" t="str">
        <f t="shared" ref="I9:I12" si="6">H9</f>
        <v>fusiform</v>
      </c>
      <c r="K9" s="6" t="s">
        <v>87</v>
      </c>
      <c r="L9" s="47" t="str">
        <f t="shared" si="5"/>
        <v>Tropical</v>
      </c>
      <c r="N9" s="44" t="s">
        <v>85</v>
      </c>
    </row>
    <row r="10" spans="1:18" x14ac:dyDescent="0.2">
      <c r="B10" s="71" t="s">
        <v>5</v>
      </c>
      <c r="C10" s="21">
        <v>44358</v>
      </c>
      <c r="D10" s="8" t="s">
        <v>96</v>
      </c>
      <c r="E10" s="7" t="s">
        <v>94</v>
      </c>
      <c r="F10" s="47" t="str">
        <f t="shared" si="4"/>
        <v>demersal</v>
      </c>
      <c r="G10" s="8"/>
      <c r="H10" s="6" t="s">
        <v>176</v>
      </c>
      <c r="I10" s="47" t="str">
        <f t="shared" si="6"/>
        <v>eel-like</v>
      </c>
      <c r="K10" s="6" t="s">
        <v>89</v>
      </c>
      <c r="L10" s="47" t="str">
        <f t="shared" si="5"/>
        <v>Temperate</v>
      </c>
      <c r="N10" s="44" t="s">
        <v>93</v>
      </c>
      <c r="O10" s="66" t="s">
        <v>333</v>
      </c>
      <c r="P10" s="62">
        <v>303.49</v>
      </c>
      <c r="Q10" s="62" t="s">
        <v>334</v>
      </c>
      <c r="R10" s="63">
        <v>7</v>
      </c>
    </row>
    <row r="11" spans="1:18" x14ac:dyDescent="0.2">
      <c r="B11" s="71" t="s">
        <v>6</v>
      </c>
      <c r="C11" s="21">
        <v>44358</v>
      </c>
      <c r="D11" s="8" t="s">
        <v>95</v>
      </c>
      <c r="E11" s="7" t="s">
        <v>94</v>
      </c>
      <c r="F11" s="47" t="str">
        <f t="shared" si="4"/>
        <v>demersal</v>
      </c>
      <c r="G11" s="8"/>
      <c r="H11" s="6" t="s">
        <v>172</v>
      </c>
      <c r="I11" s="47" t="str">
        <f t="shared" si="6"/>
        <v>fusiform</v>
      </c>
      <c r="K11" s="6" t="s">
        <v>89</v>
      </c>
      <c r="L11" s="47" t="str">
        <f t="shared" si="5"/>
        <v>Temperate</v>
      </c>
      <c r="N11" s="44" t="s">
        <v>85</v>
      </c>
      <c r="O11" s="61" t="s">
        <v>175</v>
      </c>
      <c r="P11" s="62" t="s">
        <v>175</v>
      </c>
      <c r="Q11" s="62" t="s">
        <v>175</v>
      </c>
      <c r="R11" s="63">
        <v>17</v>
      </c>
    </row>
    <row r="12" spans="1:18" x14ac:dyDescent="0.2">
      <c r="B12" s="71" t="s">
        <v>7</v>
      </c>
      <c r="C12" s="21">
        <v>44358</v>
      </c>
      <c r="D12" s="8" t="s">
        <v>98</v>
      </c>
      <c r="E12" s="7" t="s">
        <v>94</v>
      </c>
      <c r="F12" s="47" t="str">
        <f t="shared" si="4"/>
        <v>demersal</v>
      </c>
      <c r="G12" s="8"/>
      <c r="H12" s="6" t="s">
        <v>173</v>
      </c>
      <c r="I12" s="47" t="str">
        <f t="shared" si="6"/>
        <v>elongated</v>
      </c>
      <c r="K12" s="6" t="s">
        <v>99</v>
      </c>
      <c r="L12" s="47" t="str">
        <f t="shared" si="5"/>
        <v>Polar</v>
      </c>
      <c r="N12" s="44" t="s">
        <v>97</v>
      </c>
    </row>
    <row r="13" spans="1:18" s="18" customFormat="1" x14ac:dyDescent="0.2">
      <c r="B13" s="72" t="s">
        <v>197</v>
      </c>
      <c r="C13" s="21">
        <v>44373</v>
      </c>
      <c r="D13" s="22" t="s">
        <v>212</v>
      </c>
      <c r="E13" s="25" t="s">
        <v>86</v>
      </c>
      <c r="F13" s="18" t="str">
        <f t="shared" si="4"/>
        <v>reef-associated</v>
      </c>
      <c r="G13" s="22"/>
      <c r="H13" s="25" t="s">
        <v>193</v>
      </c>
      <c r="I13" s="18" t="s">
        <v>172</v>
      </c>
      <c r="J13" s="22"/>
      <c r="K13" s="25" t="s">
        <v>87</v>
      </c>
      <c r="L13" s="18" t="str">
        <f t="shared" si="5"/>
        <v>Tropical</v>
      </c>
      <c r="M13" s="22"/>
      <c r="N13" s="45" t="s">
        <v>85</v>
      </c>
      <c r="O13" s="25"/>
      <c r="R13" s="58"/>
    </row>
    <row r="14" spans="1:18" x14ac:dyDescent="0.2">
      <c r="B14" s="71" t="s">
        <v>8</v>
      </c>
      <c r="C14" s="21">
        <v>44358</v>
      </c>
      <c r="D14" s="8" t="s">
        <v>100</v>
      </c>
      <c r="E14" s="7" t="s">
        <v>82</v>
      </c>
      <c r="F14" s="47" t="str">
        <f t="shared" ref="F14" si="7">E14</f>
        <v>benthopelagic</v>
      </c>
      <c r="G14" s="8"/>
      <c r="H14" s="6" t="s">
        <v>172</v>
      </c>
      <c r="I14" s="47" t="str">
        <f t="shared" ref="I14" si="8">H14</f>
        <v>fusiform</v>
      </c>
      <c r="K14" s="6" t="s">
        <v>83</v>
      </c>
      <c r="L14" s="47" t="str">
        <f t="shared" ref="L14" si="9">K14</f>
        <v>Subtropical</v>
      </c>
      <c r="N14" s="6" t="s">
        <v>81</v>
      </c>
      <c r="O14" s="53" t="s">
        <v>175</v>
      </c>
      <c r="P14" s="53" t="s">
        <v>175</v>
      </c>
      <c r="Q14" s="53" t="s">
        <v>175</v>
      </c>
      <c r="R14" s="56" t="s">
        <v>341</v>
      </c>
    </row>
    <row r="15" spans="1:18" s="18" customFormat="1" x14ac:dyDescent="0.2">
      <c r="B15" s="72" t="s">
        <v>199</v>
      </c>
      <c r="C15" s="21">
        <v>44373</v>
      </c>
      <c r="D15" s="22" t="s">
        <v>214</v>
      </c>
      <c r="E15" s="25" t="s">
        <v>86</v>
      </c>
      <c r="F15" s="18" t="str">
        <f>E15</f>
        <v>reef-associated</v>
      </c>
      <c r="G15" s="22"/>
      <c r="H15" s="25" t="s">
        <v>193</v>
      </c>
      <c r="I15" s="18" t="s">
        <v>172</v>
      </c>
      <c r="J15" s="22"/>
      <c r="K15" s="25" t="s">
        <v>89</v>
      </c>
      <c r="L15" s="18" t="s">
        <v>89</v>
      </c>
      <c r="M15" s="22"/>
      <c r="N15" s="45" t="s">
        <v>85</v>
      </c>
      <c r="O15" s="25"/>
      <c r="R15" s="58"/>
    </row>
    <row r="16" spans="1:18" x14ac:dyDescent="0.2">
      <c r="A16" s="17" t="s">
        <v>282</v>
      </c>
      <c r="B16" s="71" t="s">
        <v>9</v>
      </c>
      <c r="C16" s="21">
        <v>44358</v>
      </c>
      <c r="D16" s="8" t="s">
        <v>101</v>
      </c>
      <c r="E16" s="7" t="s">
        <v>82</v>
      </c>
      <c r="F16" s="47" t="str">
        <f t="shared" ref="F16:F17" si="10">E16</f>
        <v>benthopelagic</v>
      </c>
      <c r="G16" s="8"/>
      <c r="H16" s="6" t="s">
        <v>173</v>
      </c>
      <c r="I16" s="47" t="str">
        <f t="shared" ref="I16" si="11">H16</f>
        <v>elongated</v>
      </c>
      <c r="K16" s="6" t="s">
        <v>83</v>
      </c>
      <c r="L16" s="47" t="str">
        <f t="shared" ref="L16" si="12">K16</f>
        <v>Subtropical</v>
      </c>
      <c r="N16" s="44" t="s">
        <v>90</v>
      </c>
      <c r="O16" s="66" t="s">
        <v>294</v>
      </c>
      <c r="P16" s="53">
        <v>210.36</v>
      </c>
      <c r="Q16" s="53" t="s">
        <v>288</v>
      </c>
      <c r="R16" s="56">
        <v>54</v>
      </c>
    </row>
    <row r="17" spans="1:18" s="18" customFormat="1" x14ac:dyDescent="0.2">
      <c r="B17" s="72" t="s">
        <v>195</v>
      </c>
      <c r="C17" s="21">
        <v>44373</v>
      </c>
      <c r="D17" s="22" t="s">
        <v>215</v>
      </c>
      <c r="E17" s="25" t="s">
        <v>86</v>
      </c>
      <c r="F17" s="18" t="str">
        <f t="shared" si="10"/>
        <v>reef-associated</v>
      </c>
      <c r="G17" s="22"/>
      <c r="H17" s="25" t="s">
        <v>194</v>
      </c>
      <c r="I17" s="47" t="s">
        <v>174</v>
      </c>
      <c r="J17" s="22"/>
      <c r="K17" s="25" t="s">
        <v>87</v>
      </c>
      <c r="L17" s="18" t="s">
        <v>87</v>
      </c>
      <c r="M17" s="22"/>
      <c r="N17" s="45" t="s">
        <v>85</v>
      </c>
      <c r="O17" s="53" t="s">
        <v>175</v>
      </c>
      <c r="P17" s="53" t="s">
        <v>175</v>
      </c>
      <c r="Q17" s="53" t="s">
        <v>175</v>
      </c>
      <c r="R17" s="59">
        <v>37</v>
      </c>
    </row>
    <row r="18" spans="1:18" x14ac:dyDescent="0.2">
      <c r="B18" s="71" t="s">
        <v>10</v>
      </c>
      <c r="C18" s="21">
        <v>44358</v>
      </c>
      <c r="D18" s="8" t="s">
        <v>102</v>
      </c>
      <c r="E18" s="7" t="s">
        <v>82</v>
      </c>
      <c r="F18" s="47" t="str">
        <f t="shared" ref="F18:F36" si="13">E18</f>
        <v>benthopelagic</v>
      </c>
      <c r="G18" s="8"/>
      <c r="H18" s="6" t="s">
        <v>174</v>
      </c>
      <c r="I18" s="47" t="str">
        <f t="shared" ref="I18:I29" si="14">H18</f>
        <v>short/deep</v>
      </c>
      <c r="K18" s="6" t="s">
        <v>83</v>
      </c>
      <c r="L18" s="47" t="str">
        <f t="shared" ref="L18:L36" si="15">K18</f>
        <v>Subtropical</v>
      </c>
      <c r="N18" s="44" t="s">
        <v>81</v>
      </c>
    </row>
    <row r="19" spans="1:18" x14ac:dyDescent="0.2">
      <c r="B19" s="71" t="s">
        <v>11</v>
      </c>
      <c r="C19" s="21">
        <v>44358</v>
      </c>
      <c r="D19" s="8" t="s">
        <v>103</v>
      </c>
      <c r="E19" s="7" t="s">
        <v>82</v>
      </c>
      <c r="F19" s="47" t="str">
        <f t="shared" si="13"/>
        <v>benthopelagic</v>
      </c>
      <c r="G19" s="8"/>
      <c r="H19" s="6" t="s">
        <v>173</v>
      </c>
      <c r="I19" s="47" t="str">
        <f t="shared" si="14"/>
        <v>elongated</v>
      </c>
      <c r="K19" s="6" t="s">
        <v>83</v>
      </c>
      <c r="L19" s="47" t="str">
        <f t="shared" si="15"/>
        <v>Subtropical</v>
      </c>
      <c r="N19" s="44" t="s">
        <v>90</v>
      </c>
    </row>
    <row r="20" spans="1:18" x14ac:dyDescent="0.2">
      <c r="A20" s="17" t="s">
        <v>278</v>
      </c>
      <c r="B20" s="71" t="s">
        <v>12</v>
      </c>
      <c r="C20" s="21">
        <v>44358</v>
      </c>
      <c r="D20" s="8" t="s">
        <v>102</v>
      </c>
      <c r="E20" s="7" t="s">
        <v>82</v>
      </c>
      <c r="F20" s="47" t="str">
        <f t="shared" si="13"/>
        <v>benthopelagic</v>
      </c>
      <c r="G20" s="8"/>
      <c r="H20" s="6" t="s">
        <v>172</v>
      </c>
      <c r="I20" s="47" t="str">
        <f t="shared" si="14"/>
        <v>fusiform</v>
      </c>
      <c r="K20" s="6" t="s">
        <v>83</v>
      </c>
      <c r="L20" s="47" t="str">
        <f t="shared" si="15"/>
        <v>Subtropical</v>
      </c>
      <c r="N20" s="44" t="s">
        <v>81</v>
      </c>
      <c r="O20" s="66" t="s">
        <v>295</v>
      </c>
      <c r="P20" s="53">
        <v>4661.7700000000004</v>
      </c>
      <c r="Q20" s="53" t="s">
        <v>296</v>
      </c>
      <c r="R20" s="56" t="s">
        <v>274</v>
      </c>
    </row>
    <row r="21" spans="1:18" x14ac:dyDescent="0.2">
      <c r="B21" s="71" t="s">
        <v>13</v>
      </c>
      <c r="C21" s="21">
        <v>44358</v>
      </c>
      <c r="D21" s="8" t="s">
        <v>104</v>
      </c>
      <c r="E21" s="7" t="s">
        <v>82</v>
      </c>
      <c r="F21" s="47" t="str">
        <f t="shared" si="13"/>
        <v>benthopelagic</v>
      </c>
      <c r="G21" s="8"/>
      <c r="H21" s="6" t="s">
        <v>172</v>
      </c>
      <c r="I21" s="47" t="str">
        <f t="shared" si="14"/>
        <v>fusiform</v>
      </c>
      <c r="K21" s="6" t="s">
        <v>83</v>
      </c>
      <c r="L21" s="47" t="str">
        <f t="shared" si="15"/>
        <v>Subtropical</v>
      </c>
      <c r="N21" s="44" t="s">
        <v>81</v>
      </c>
      <c r="O21" s="66" t="s">
        <v>297</v>
      </c>
      <c r="P21" s="53">
        <v>732.99</v>
      </c>
      <c r="Q21" s="53" t="s">
        <v>298</v>
      </c>
      <c r="R21" s="56" t="s">
        <v>274</v>
      </c>
    </row>
    <row r="22" spans="1:18" x14ac:dyDescent="0.2">
      <c r="B22" s="71" t="s">
        <v>14</v>
      </c>
      <c r="C22" s="21">
        <v>44358</v>
      </c>
      <c r="D22" s="8" t="s">
        <v>105</v>
      </c>
      <c r="E22" s="7" t="s">
        <v>94</v>
      </c>
      <c r="F22" s="47" t="str">
        <f t="shared" si="13"/>
        <v>demersal</v>
      </c>
      <c r="G22" s="8"/>
      <c r="H22" s="6" t="s">
        <v>172</v>
      </c>
      <c r="I22" s="47" t="str">
        <f t="shared" si="14"/>
        <v>fusiform</v>
      </c>
      <c r="K22" s="6" t="s">
        <v>83</v>
      </c>
      <c r="L22" s="47" t="str">
        <f t="shared" si="15"/>
        <v>Subtropical</v>
      </c>
      <c r="N22" s="44" t="s">
        <v>93</v>
      </c>
    </row>
    <row r="23" spans="1:18" x14ac:dyDescent="0.2">
      <c r="B23" s="71" t="s">
        <v>15</v>
      </c>
      <c r="C23" s="21">
        <v>44358</v>
      </c>
      <c r="D23" s="8" t="s">
        <v>106</v>
      </c>
      <c r="E23" s="7" t="s">
        <v>82</v>
      </c>
      <c r="F23" s="47" t="str">
        <f t="shared" si="13"/>
        <v>benthopelagic</v>
      </c>
      <c r="G23" s="8"/>
      <c r="H23" s="6" t="s">
        <v>173</v>
      </c>
      <c r="I23" s="47" t="str">
        <f t="shared" si="14"/>
        <v>elongated</v>
      </c>
      <c r="K23" s="6" t="s">
        <v>83</v>
      </c>
      <c r="L23" s="47" t="str">
        <f t="shared" si="15"/>
        <v>Subtropical</v>
      </c>
      <c r="N23" s="44" t="s">
        <v>90</v>
      </c>
      <c r="O23" s="52" t="s">
        <v>175</v>
      </c>
      <c r="P23" s="53" t="s">
        <v>175</v>
      </c>
      <c r="Q23" s="53" t="s">
        <v>175</v>
      </c>
      <c r="R23" s="56">
        <v>54</v>
      </c>
    </row>
    <row r="24" spans="1:18" x14ac:dyDescent="0.2">
      <c r="B24" s="71" t="s">
        <v>16</v>
      </c>
      <c r="C24" s="21">
        <v>44358</v>
      </c>
      <c r="D24" s="8" t="s">
        <v>107</v>
      </c>
      <c r="E24" s="7" t="s">
        <v>82</v>
      </c>
      <c r="F24" s="47" t="str">
        <f t="shared" si="13"/>
        <v>benthopelagic</v>
      </c>
      <c r="G24" s="8"/>
      <c r="H24" s="6" t="s">
        <v>172</v>
      </c>
      <c r="I24" s="47" t="str">
        <f t="shared" si="14"/>
        <v>fusiform</v>
      </c>
      <c r="K24" s="6" t="s">
        <v>87</v>
      </c>
      <c r="L24" s="47" t="str">
        <f t="shared" si="15"/>
        <v>Tropical</v>
      </c>
      <c r="N24" s="44" t="s">
        <v>90</v>
      </c>
    </row>
    <row r="25" spans="1:18" x14ac:dyDescent="0.2">
      <c r="B25" s="71" t="s">
        <v>17</v>
      </c>
      <c r="C25" s="21">
        <v>44358</v>
      </c>
      <c r="D25" s="8" t="s">
        <v>108</v>
      </c>
      <c r="E25" s="7" t="s">
        <v>82</v>
      </c>
      <c r="F25" s="47" t="str">
        <f t="shared" si="13"/>
        <v>benthopelagic</v>
      </c>
      <c r="G25" s="8"/>
      <c r="H25" s="6" t="s">
        <v>173</v>
      </c>
      <c r="I25" s="47" t="str">
        <f t="shared" si="14"/>
        <v>elongated</v>
      </c>
      <c r="K25" s="6" t="s">
        <v>89</v>
      </c>
      <c r="L25" s="47" t="str">
        <f t="shared" si="15"/>
        <v>Temperate</v>
      </c>
      <c r="N25" s="44" t="s">
        <v>85</v>
      </c>
      <c r="O25" s="61" t="s">
        <v>175</v>
      </c>
      <c r="P25" s="62" t="s">
        <v>175</v>
      </c>
      <c r="Q25" s="62" t="s">
        <v>175</v>
      </c>
      <c r="R25" s="63">
        <v>17</v>
      </c>
    </row>
    <row r="26" spans="1:18" s="18" customFormat="1" x14ac:dyDescent="0.2">
      <c r="B26" s="72" t="s">
        <v>198</v>
      </c>
      <c r="C26" s="21">
        <v>44373</v>
      </c>
      <c r="D26" s="22" t="s">
        <v>216</v>
      </c>
      <c r="E26" s="25" t="s">
        <v>82</v>
      </c>
      <c r="F26" s="18" t="str">
        <f t="shared" si="13"/>
        <v>benthopelagic</v>
      </c>
      <c r="G26" s="22"/>
      <c r="H26" s="25" t="s">
        <v>173</v>
      </c>
      <c r="I26" s="18" t="str">
        <f t="shared" si="14"/>
        <v>elongated</v>
      </c>
      <c r="J26" s="22"/>
      <c r="K26" s="25" t="s">
        <v>87</v>
      </c>
      <c r="L26" s="18" t="str">
        <f t="shared" si="15"/>
        <v>Tropical</v>
      </c>
      <c r="M26" s="22"/>
      <c r="N26" s="45" t="s">
        <v>81</v>
      </c>
      <c r="O26" s="25"/>
      <c r="R26" s="58"/>
    </row>
    <row r="27" spans="1:18" x14ac:dyDescent="0.2">
      <c r="B27" s="71" t="s">
        <v>18</v>
      </c>
      <c r="C27" s="21">
        <v>44358</v>
      </c>
      <c r="D27" s="8" t="s">
        <v>109</v>
      </c>
      <c r="E27" s="7" t="s">
        <v>82</v>
      </c>
      <c r="F27" s="47" t="str">
        <f t="shared" si="13"/>
        <v>benthopelagic</v>
      </c>
      <c r="G27" s="8"/>
      <c r="H27" s="6" t="s">
        <v>172</v>
      </c>
      <c r="I27" s="47" t="str">
        <f t="shared" si="14"/>
        <v>fusiform</v>
      </c>
      <c r="K27" s="6" t="s">
        <v>89</v>
      </c>
      <c r="L27" s="47" t="str">
        <f t="shared" si="15"/>
        <v>Temperate</v>
      </c>
      <c r="N27" s="44" t="s">
        <v>97</v>
      </c>
    </row>
    <row r="28" spans="1:18" x14ac:dyDescent="0.2">
      <c r="B28" s="71" t="s">
        <v>19</v>
      </c>
      <c r="C28" s="21">
        <v>44358</v>
      </c>
      <c r="D28" s="8" t="s">
        <v>110</v>
      </c>
      <c r="E28" s="7" t="s">
        <v>82</v>
      </c>
      <c r="F28" s="47" t="str">
        <f t="shared" si="13"/>
        <v>benthopelagic</v>
      </c>
      <c r="G28" s="8"/>
      <c r="H28" s="6" t="s">
        <v>172</v>
      </c>
      <c r="I28" s="47" t="str">
        <f t="shared" si="14"/>
        <v>fusiform</v>
      </c>
      <c r="K28" s="6" t="s">
        <v>83</v>
      </c>
      <c r="L28" s="47" t="str">
        <f t="shared" si="15"/>
        <v>Subtropical</v>
      </c>
      <c r="N28" s="44" t="s">
        <v>81</v>
      </c>
    </row>
    <row r="29" spans="1:18" x14ac:dyDescent="0.2">
      <c r="B29" s="71" t="s">
        <v>20</v>
      </c>
      <c r="C29" s="21">
        <v>44358</v>
      </c>
      <c r="D29" s="8" t="s">
        <v>111</v>
      </c>
      <c r="E29" s="7" t="s">
        <v>82</v>
      </c>
      <c r="F29" s="47" t="str">
        <f t="shared" si="13"/>
        <v>benthopelagic</v>
      </c>
      <c r="G29" s="8"/>
      <c r="H29" s="6" t="s">
        <v>172</v>
      </c>
      <c r="I29" s="47" t="str">
        <f t="shared" si="14"/>
        <v>fusiform</v>
      </c>
      <c r="K29" s="6" t="s">
        <v>83</v>
      </c>
      <c r="L29" s="47" t="str">
        <f t="shared" si="15"/>
        <v>Subtropical</v>
      </c>
      <c r="N29" s="44" t="s">
        <v>93</v>
      </c>
      <c r="O29" s="66" t="s">
        <v>299</v>
      </c>
      <c r="P29" s="53">
        <v>2</v>
      </c>
      <c r="Q29" s="53" t="s">
        <v>300</v>
      </c>
      <c r="R29" s="56">
        <v>1010</v>
      </c>
    </row>
    <row r="30" spans="1:18" ht="51" x14ac:dyDescent="0.2">
      <c r="B30" s="71" t="s">
        <v>21</v>
      </c>
      <c r="C30" s="21">
        <v>44358</v>
      </c>
      <c r="D30" s="8" t="s">
        <v>112</v>
      </c>
      <c r="E30" s="7" t="s">
        <v>82</v>
      </c>
      <c r="F30" s="47" t="str">
        <f t="shared" si="13"/>
        <v>benthopelagic</v>
      </c>
      <c r="G30" s="8"/>
      <c r="H30" s="9" t="s">
        <v>172</v>
      </c>
      <c r="I30" s="10" t="s">
        <v>184</v>
      </c>
      <c r="J30" s="27" t="s">
        <v>185</v>
      </c>
      <c r="K30" s="6" t="s">
        <v>89</v>
      </c>
      <c r="L30" s="47" t="str">
        <f t="shared" si="15"/>
        <v>Temperate</v>
      </c>
      <c r="N30" s="44" t="s">
        <v>90</v>
      </c>
      <c r="O30" s="52" t="s">
        <v>175</v>
      </c>
      <c r="P30" s="53" t="s">
        <v>175</v>
      </c>
      <c r="Q30" s="53" t="s">
        <v>175</v>
      </c>
      <c r="R30" s="56">
        <v>54</v>
      </c>
    </row>
    <row r="31" spans="1:18" x14ac:dyDescent="0.2">
      <c r="B31" s="71" t="s">
        <v>22</v>
      </c>
      <c r="C31" s="21">
        <v>44358</v>
      </c>
      <c r="D31" s="8" t="s">
        <v>113</v>
      </c>
      <c r="E31" s="7" t="s">
        <v>86</v>
      </c>
      <c r="F31" s="47" t="str">
        <f t="shared" si="13"/>
        <v>reef-associated</v>
      </c>
      <c r="G31" s="8"/>
      <c r="H31" s="6" t="s">
        <v>172</v>
      </c>
      <c r="I31" s="47" t="str">
        <f t="shared" ref="I31:I36" si="16">H31</f>
        <v>fusiform</v>
      </c>
      <c r="K31" s="6" t="s">
        <v>87</v>
      </c>
      <c r="L31" s="47" t="str">
        <f t="shared" si="15"/>
        <v>Tropical</v>
      </c>
      <c r="N31" s="44" t="s">
        <v>85</v>
      </c>
    </row>
    <row r="32" spans="1:18" x14ac:dyDescent="0.2">
      <c r="B32" s="71" t="s">
        <v>23</v>
      </c>
      <c r="C32" s="21">
        <v>44358</v>
      </c>
      <c r="D32" s="8" t="s">
        <v>114</v>
      </c>
      <c r="E32" s="7" t="s">
        <v>86</v>
      </c>
      <c r="F32" s="47" t="str">
        <f t="shared" si="13"/>
        <v>reef-associated</v>
      </c>
      <c r="G32" s="8"/>
      <c r="H32" s="6" t="s">
        <v>172</v>
      </c>
      <c r="I32" s="47" t="str">
        <f t="shared" si="16"/>
        <v>fusiform</v>
      </c>
      <c r="K32" s="6" t="s">
        <v>87</v>
      </c>
      <c r="L32" s="47" t="str">
        <f t="shared" si="15"/>
        <v>Tropical</v>
      </c>
      <c r="N32" s="44" t="s">
        <v>85</v>
      </c>
    </row>
    <row r="33" spans="1:18" x14ac:dyDescent="0.2">
      <c r="A33" t="s">
        <v>279</v>
      </c>
      <c r="B33" s="71" t="s">
        <v>24</v>
      </c>
      <c r="C33" s="21">
        <v>44358</v>
      </c>
      <c r="D33" s="8" t="s">
        <v>115</v>
      </c>
      <c r="E33" s="7" t="s">
        <v>94</v>
      </c>
      <c r="F33" s="47" t="str">
        <f t="shared" si="13"/>
        <v>demersal</v>
      </c>
      <c r="G33" s="8"/>
      <c r="H33" s="6" t="s">
        <v>173</v>
      </c>
      <c r="I33" s="47" t="str">
        <f t="shared" si="16"/>
        <v>elongated</v>
      </c>
      <c r="K33" s="6" t="s">
        <v>89</v>
      </c>
      <c r="L33" s="47" t="str">
        <f t="shared" si="15"/>
        <v>Temperate</v>
      </c>
      <c r="N33" s="44" t="s">
        <v>90</v>
      </c>
      <c r="O33" s="52" t="s">
        <v>175</v>
      </c>
      <c r="P33" s="53" t="s">
        <v>175</v>
      </c>
      <c r="Q33" s="53" t="s">
        <v>175</v>
      </c>
      <c r="R33" s="56">
        <v>54</v>
      </c>
    </row>
    <row r="34" spans="1:18" x14ac:dyDescent="0.2">
      <c r="B34" s="71" t="s">
        <v>25</v>
      </c>
      <c r="C34" s="21">
        <v>44358</v>
      </c>
      <c r="D34" s="8" t="s">
        <v>116</v>
      </c>
      <c r="E34" s="7" t="s">
        <v>82</v>
      </c>
      <c r="F34" s="47" t="str">
        <f t="shared" si="13"/>
        <v>benthopelagic</v>
      </c>
      <c r="G34" s="8"/>
      <c r="H34" s="6" t="s">
        <v>172</v>
      </c>
      <c r="I34" s="47" t="str">
        <f t="shared" si="16"/>
        <v>fusiform</v>
      </c>
      <c r="K34" s="6" t="s">
        <v>89</v>
      </c>
      <c r="L34" s="47" t="str">
        <f t="shared" si="15"/>
        <v>Temperate</v>
      </c>
      <c r="N34" s="44" t="s">
        <v>90</v>
      </c>
      <c r="O34" s="66" t="s">
        <v>289</v>
      </c>
      <c r="P34" s="53">
        <v>106.58</v>
      </c>
      <c r="Q34" s="53" t="s">
        <v>290</v>
      </c>
      <c r="R34" s="56">
        <v>54</v>
      </c>
    </row>
    <row r="35" spans="1:18" x14ac:dyDescent="0.2">
      <c r="B35" s="71" t="s">
        <v>68</v>
      </c>
      <c r="C35" s="21">
        <v>44358</v>
      </c>
      <c r="D35" s="8" t="s">
        <v>117</v>
      </c>
      <c r="E35" s="7" t="s">
        <v>82</v>
      </c>
      <c r="F35" s="47" t="str">
        <f t="shared" si="13"/>
        <v>benthopelagic</v>
      </c>
      <c r="G35" s="8"/>
      <c r="H35" s="6" t="s">
        <v>172</v>
      </c>
      <c r="I35" s="47" t="str">
        <f t="shared" si="16"/>
        <v>fusiform</v>
      </c>
      <c r="K35" s="6" t="s">
        <v>87</v>
      </c>
      <c r="L35" s="47" t="str">
        <f t="shared" si="15"/>
        <v>Tropical</v>
      </c>
      <c r="N35" s="44" t="s">
        <v>81</v>
      </c>
      <c r="O35" s="66" t="s">
        <v>291</v>
      </c>
      <c r="P35" s="53">
        <v>7.78</v>
      </c>
      <c r="Q35" s="53" t="s">
        <v>292</v>
      </c>
      <c r="R35" s="56">
        <v>52</v>
      </c>
    </row>
    <row r="36" spans="1:18" s="18" customFormat="1" x14ac:dyDescent="0.2">
      <c r="B36" s="72" t="s">
        <v>200</v>
      </c>
      <c r="C36" s="21">
        <v>44373</v>
      </c>
      <c r="D36" s="22" t="s">
        <v>217</v>
      </c>
      <c r="E36" s="25" t="s">
        <v>86</v>
      </c>
      <c r="F36" s="18" t="str">
        <f t="shared" si="13"/>
        <v>reef-associated</v>
      </c>
      <c r="G36" s="22"/>
      <c r="H36" s="25" t="s">
        <v>173</v>
      </c>
      <c r="I36" s="18" t="str">
        <f t="shared" si="16"/>
        <v>elongated</v>
      </c>
      <c r="J36" s="22"/>
      <c r="K36" s="25" t="s">
        <v>87</v>
      </c>
      <c r="L36" s="18" t="str">
        <f t="shared" si="15"/>
        <v>Tropical</v>
      </c>
      <c r="M36" s="22"/>
      <c r="N36" s="45" t="s">
        <v>85</v>
      </c>
      <c r="O36" s="25"/>
      <c r="R36" s="58"/>
    </row>
    <row r="37" spans="1:18" x14ac:dyDescent="0.2">
      <c r="B37" s="71" t="s">
        <v>26</v>
      </c>
      <c r="C37" s="21">
        <v>44358</v>
      </c>
      <c r="D37" s="8" t="s">
        <v>118</v>
      </c>
      <c r="E37" s="7" t="s">
        <v>82</v>
      </c>
      <c r="F37" s="47" t="str">
        <f t="shared" ref="F37:F59" si="17">E37</f>
        <v>benthopelagic</v>
      </c>
      <c r="G37" s="8"/>
      <c r="H37" s="6" t="s">
        <v>172</v>
      </c>
      <c r="I37" s="47" t="str">
        <f t="shared" ref="I37:I59" si="18">H37</f>
        <v>fusiform</v>
      </c>
      <c r="K37" s="6" t="s">
        <v>83</v>
      </c>
      <c r="L37" s="47" t="str">
        <f t="shared" ref="L37:L59" si="19">K37</f>
        <v>Subtropical</v>
      </c>
      <c r="N37" s="44" t="s">
        <v>81</v>
      </c>
      <c r="O37" s="66" t="s">
        <v>301</v>
      </c>
      <c r="P37" s="64">
        <v>2387.38</v>
      </c>
      <c r="Q37" s="53" t="s">
        <v>302</v>
      </c>
      <c r="R37" s="56" t="s">
        <v>349</v>
      </c>
    </row>
    <row r="38" spans="1:18" x14ac:dyDescent="0.2">
      <c r="A38" s="54" t="s">
        <v>283</v>
      </c>
      <c r="B38" s="71" t="s">
        <v>27</v>
      </c>
      <c r="C38" s="21">
        <v>44358</v>
      </c>
      <c r="D38" s="8" t="s">
        <v>119</v>
      </c>
      <c r="E38" s="7" t="s">
        <v>82</v>
      </c>
      <c r="F38" s="47" t="str">
        <f t="shared" si="17"/>
        <v>benthopelagic</v>
      </c>
      <c r="G38" s="8"/>
      <c r="H38" s="6" t="s">
        <v>172</v>
      </c>
      <c r="I38" s="47" t="str">
        <f t="shared" si="18"/>
        <v>fusiform</v>
      </c>
      <c r="K38" s="6" t="s">
        <v>89</v>
      </c>
      <c r="L38" s="47" t="str">
        <f t="shared" si="19"/>
        <v>Temperate</v>
      </c>
      <c r="N38" s="44" t="s">
        <v>81</v>
      </c>
      <c r="O38" s="66" t="s">
        <v>303</v>
      </c>
      <c r="P38" s="64">
        <v>4604.2</v>
      </c>
      <c r="Q38" s="53" t="s">
        <v>304</v>
      </c>
      <c r="R38" s="56" t="s">
        <v>274</v>
      </c>
    </row>
    <row r="39" spans="1:18" x14ac:dyDescent="0.2">
      <c r="B39" s="71" t="s">
        <v>28</v>
      </c>
      <c r="C39" s="21">
        <v>44358</v>
      </c>
      <c r="D39" s="8" t="s">
        <v>120</v>
      </c>
      <c r="E39" s="7" t="s">
        <v>94</v>
      </c>
      <c r="F39" s="47" t="str">
        <f t="shared" si="17"/>
        <v>demersal</v>
      </c>
      <c r="G39" s="8"/>
      <c r="H39" s="6" t="s">
        <v>172</v>
      </c>
      <c r="I39" s="47" t="str">
        <f t="shared" si="18"/>
        <v>fusiform</v>
      </c>
      <c r="K39" s="6" t="s">
        <v>87</v>
      </c>
      <c r="L39" s="47" t="str">
        <f t="shared" si="19"/>
        <v>Tropical</v>
      </c>
      <c r="N39" s="44" t="s">
        <v>93</v>
      </c>
      <c r="O39" s="6"/>
      <c r="P39" s="47"/>
    </row>
    <row r="40" spans="1:18" x14ac:dyDescent="0.2">
      <c r="B40" s="71" t="s">
        <v>29</v>
      </c>
      <c r="C40" s="21">
        <v>44358</v>
      </c>
      <c r="D40" s="8" t="s">
        <v>121</v>
      </c>
      <c r="E40" s="7" t="s">
        <v>94</v>
      </c>
      <c r="F40" s="47" t="str">
        <f t="shared" si="17"/>
        <v>demersal</v>
      </c>
      <c r="G40" s="8"/>
      <c r="H40" s="6" t="s">
        <v>172</v>
      </c>
      <c r="I40" s="47" t="str">
        <f t="shared" si="18"/>
        <v>fusiform</v>
      </c>
      <c r="K40" s="6" t="s">
        <v>87</v>
      </c>
      <c r="L40" s="47" t="str">
        <f t="shared" si="19"/>
        <v>Tropical</v>
      </c>
      <c r="N40" s="44" t="s">
        <v>90</v>
      </c>
      <c r="O40" s="6"/>
      <c r="P40" s="47"/>
    </row>
    <row r="41" spans="1:18" ht="34" x14ac:dyDescent="0.2">
      <c r="B41" s="71" t="s">
        <v>30</v>
      </c>
      <c r="C41" s="21">
        <v>44358</v>
      </c>
      <c r="D41" s="8" t="s">
        <v>122</v>
      </c>
      <c r="E41" s="7" t="s">
        <v>82</v>
      </c>
      <c r="F41" s="47" t="str">
        <f t="shared" si="17"/>
        <v>benthopelagic</v>
      </c>
      <c r="G41" s="8"/>
      <c r="H41" s="9" t="s">
        <v>175</v>
      </c>
      <c r="I41" s="48" t="s">
        <v>174</v>
      </c>
      <c r="J41" s="28" t="s">
        <v>236</v>
      </c>
      <c r="K41" s="6" t="s">
        <v>83</v>
      </c>
      <c r="L41" s="47" t="str">
        <f t="shared" si="19"/>
        <v>Subtropical</v>
      </c>
      <c r="N41" s="44" t="s">
        <v>90</v>
      </c>
      <c r="O41" s="64" t="s">
        <v>175</v>
      </c>
      <c r="P41" s="64" t="s">
        <v>175</v>
      </c>
      <c r="Q41" s="53" t="s">
        <v>175</v>
      </c>
      <c r="R41" s="56">
        <v>54</v>
      </c>
    </row>
    <row r="42" spans="1:18" x14ac:dyDescent="0.2">
      <c r="B42" s="71" t="s">
        <v>31</v>
      </c>
      <c r="C42" s="21">
        <v>44358</v>
      </c>
      <c r="D42" s="8" t="s">
        <v>123</v>
      </c>
      <c r="E42" s="7" t="s">
        <v>94</v>
      </c>
      <c r="F42" s="47" t="str">
        <f t="shared" si="17"/>
        <v>demersal</v>
      </c>
      <c r="G42" s="8"/>
      <c r="H42" s="6" t="s">
        <v>173</v>
      </c>
      <c r="I42" s="47" t="str">
        <f t="shared" si="18"/>
        <v>elongated</v>
      </c>
      <c r="K42" s="6" t="s">
        <v>89</v>
      </c>
      <c r="L42" s="47" t="str">
        <f t="shared" si="19"/>
        <v>Temperate</v>
      </c>
      <c r="N42" s="44" t="s">
        <v>90</v>
      </c>
      <c r="O42" s="64" t="s">
        <v>175</v>
      </c>
      <c r="P42" s="64" t="s">
        <v>175</v>
      </c>
      <c r="Q42" s="53" t="s">
        <v>175</v>
      </c>
      <c r="R42" s="56">
        <v>54</v>
      </c>
    </row>
    <row r="43" spans="1:18" x14ac:dyDescent="0.2">
      <c r="B43" s="71" t="s">
        <v>32</v>
      </c>
      <c r="C43" s="21">
        <v>44358</v>
      </c>
      <c r="D43" s="8" t="s">
        <v>124</v>
      </c>
      <c r="E43" s="7" t="s">
        <v>94</v>
      </c>
      <c r="F43" s="47" t="str">
        <f t="shared" si="17"/>
        <v>demersal</v>
      </c>
      <c r="G43" s="8"/>
      <c r="H43" s="6" t="s">
        <v>173</v>
      </c>
      <c r="I43" s="47" t="str">
        <f t="shared" si="18"/>
        <v>elongated</v>
      </c>
      <c r="K43" s="6" t="s">
        <v>83</v>
      </c>
      <c r="L43" s="47" t="str">
        <f t="shared" si="19"/>
        <v>Subtropical</v>
      </c>
      <c r="N43" s="44" t="s">
        <v>81</v>
      </c>
      <c r="O43" s="64" t="s">
        <v>175</v>
      </c>
      <c r="P43" s="64" t="s">
        <v>175</v>
      </c>
      <c r="Q43" s="53" t="s">
        <v>175</v>
      </c>
      <c r="R43" s="56">
        <v>54</v>
      </c>
    </row>
    <row r="44" spans="1:18" x14ac:dyDescent="0.2">
      <c r="B44" s="71" t="s">
        <v>33</v>
      </c>
      <c r="C44" s="21">
        <v>44358</v>
      </c>
      <c r="D44" s="8" t="s">
        <v>125</v>
      </c>
      <c r="E44" s="7" t="s">
        <v>94</v>
      </c>
      <c r="F44" s="47" t="str">
        <f t="shared" si="17"/>
        <v>demersal</v>
      </c>
      <c r="G44" s="8"/>
      <c r="H44" s="6" t="s">
        <v>172</v>
      </c>
      <c r="I44" s="47" t="str">
        <f t="shared" si="18"/>
        <v>fusiform</v>
      </c>
      <c r="K44" s="6" t="s">
        <v>83</v>
      </c>
      <c r="L44" s="47" t="str">
        <f t="shared" si="19"/>
        <v>Subtropical</v>
      </c>
      <c r="N44" s="44" t="s">
        <v>81</v>
      </c>
      <c r="O44" s="66" t="s">
        <v>305</v>
      </c>
      <c r="P44" s="64">
        <v>10879.58</v>
      </c>
      <c r="Q44" s="67" t="s">
        <v>306</v>
      </c>
      <c r="R44" s="56" t="s">
        <v>284</v>
      </c>
    </row>
    <row r="45" spans="1:18" x14ac:dyDescent="0.2">
      <c r="B45" s="71" t="s">
        <v>34</v>
      </c>
      <c r="C45" s="21">
        <v>44358</v>
      </c>
      <c r="D45" s="8" t="s">
        <v>126</v>
      </c>
      <c r="E45" s="7" t="s">
        <v>94</v>
      </c>
      <c r="F45" s="47" t="str">
        <f t="shared" si="17"/>
        <v>demersal</v>
      </c>
      <c r="G45" s="8"/>
      <c r="H45" s="6" t="s">
        <v>172</v>
      </c>
      <c r="I45" s="47" t="str">
        <f t="shared" si="18"/>
        <v>fusiform</v>
      </c>
      <c r="K45" s="6" t="s">
        <v>83</v>
      </c>
      <c r="L45" s="47" t="str">
        <f t="shared" si="19"/>
        <v>Subtropical</v>
      </c>
      <c r="N45" s="44" t="s">
        <v>90</v>
      </c>
      <c r="O45" s="64" t="s">
        <v>175</v>
      </c>
      <c r="P45" s="64" t="s">
        <v>175</v>
      </c>
      <c r="Q45" s="53" t="s">
        <v>175</v>
      </c>
      <c r="R45" s="56">
        <v>54</v>
      </c>
    </row>
    <row r="46" spans="1:18" x14ac:dyDescent="0.2">
      <c r="B46" s="71" t="s">
        <v>35</v>
      </c>
      <c r="C46" s="21">
        <v>44358</v>
      </c>
      <c r="D46" s="8" t="s">
        <v>127</v>
      </c>
      <c r="E46" s="7" t="s">
        <v>94</v>
      </c>
      <c r="F46" s="47" t="str">
        <f t="shared" si="17"/>
        <v>demersal</v>
      </c>
      <c r="G46" s="8"/>
      <c r="H46" s="6" t="s">
        <v>172</v>
      </c>
      <c r="I46" s="47" t="str">
        <f t="shared" si="18"/>
        <v>fusiform</v>
      </c>
      <c r="K46" s="6" t="s">
        <v>89</v>
      </c>
      <c r="L46" s="47" t="str">
        <f t="shared" si="19"/>
        <v>Temperate</v>
      </c>
      <c r="N46" s="44" t="s">
        <v>93</v>
      </c>
      <c r="O46" s="66" t="s">
        <v>307</v>
      </c>
      <c r="P46" s="64">
        <v>0.91</v>
      </c>
      <c r="Q46" s="53" t="s">
        <v>308</v>
      </c>
      <c r="R46" s="56">
        <v>302</v>
      </c>
    </row>
    <row r="47" spans="1:18" x14ac:dyDescent="0.2">
      <c r="B47" s="71" t="s">
        <v>36</v>
      </c>
      <c r="C47" s="21">
        <v>44358</v>
      </c>
      <c r="D47" s="8" t="s">
        <v>128</v>
      </c>
      <c r="E47" s="7" t="s">
        <v>94</v>
      </c>
      <c r="F47" s="47" t="str">
        <f t="shared" si="17"/>
        <v>demersal</v>
      </c>
      <c r="G47" s="8"/>
      <c r="H47" s="6" t="s">
        <v>172</v>
      </c>
      <c r="I47" s="47" t="str">
        <f t="shared" si="18"/>
        <v>fusiform</v>
      </c>
      <c r="K47" s="6" t="s">
        <v>99</v>
      </c>
      <c r="L47" s="47" t="str">
        <f t="shared" si="19"/>
        <v>Polar</v>
      </c>
      <c r="N47" s="44" t="s">
        <v>85</v>
      </c>
      <c r="O47" s="66" t="s">
        <v>335</v>
      </c>
      <c r="P47" s="64">
        <v>1463.94</v>
      </c>
      <c r="Q47" s="53" t="s">
        <v>336</v>
      </c>
      <c r="R47" s="56">
        <v>36</v>
      </c>
    </row>
    <row r="48" spans="1:18" x14ac:dyDescent="0.2">
      <c r="B48" s="71" t="s">
        <v>37</v>
      </c>
      <c r="C48" s="21">
        <v>44358</v>
      </c>
      <c r="D48" s="8" t="s">
        <v>130</v>
      </c>
      <c r="E48" s="7" t="s">
        <v>129</v>
      </c>
      <c r="F48" s="47" t="str">
        <f t="shared" si="17"/>
        <v>pelagic</v>
      </c>
      <c r="G48" s="22"/>
      <c r="H48" s="6" t="s">
        <v>172</v>
      </c>
      <c r="I48" s="47" t="str">
        <f t="shared" si="18"/>
        <v>fusiform</v>
      </c>
      <c r="K48" s="6" t="s">
        <v>83</v>
      </c>
      <c r="L48" s="47" t="str">
        <f t="shared" si="19"/>
        <v>Subtropical</v>
      </c>
      <c r="N48" s="44" t="s">
        <v>93</v>
      </c>
      <c r="O48" s="6"/>
      <c r="P48" s="47"/>
    </row>
    <row r="49" spans="1:18" x14ac:dyDescent="0.2">
      <c r="B49" s="71" t="s">
        <v>38</v>
      </c>
      <c r="C49" s="21">
        <v>44358</v>
      </c>
      <c r="D49" s="8" t="s">
        <v>131</v>
      </c>
      <c r="E49" s="7" t="s">
        <v>82</v>
      </c>
      <c r="F49" s="47" t="str">
        <f t="shared" si="17"/>
        <v>benthopelagic</v>
      </c>
      <c r="G49" s="8"/>
      <c r="H49" s="6" t="s">
        <v>172</v>
      </c>
      <c r="I49" s="47" t="str">
        <f t="shared" si="18"/>
        <v>fusiform</v>
      </c>
      <c r="K49" s="6" t="s">
        <v>83</v>
      </c>
      <c r="L49" s="47" t="str">
        <f t="shared" si="19"/>
        <v>Subtropical</v>
      </c>
      <c r="N49" s="44" t="s">
        <v>93</v>
      </c>
      <c r="O49" s="6"/>
      <c r="P49" s="47"/>
    </row>
    <row r="50" spans="1:18" ht="45" customHeight="1" x14ac:dyDescent="0.2">
      <c r="B50" s="71" t="s">
        <v>39</v>
      </c>
      <c r="C50" s="21">
        <v>44358</v>
      </c>
      <c r="D50" s="8" t="s">
        <v>132</v>
      </c>
      <c r="E50" s="7" t="s">
        <v>133</v>
      </c>
      <c r="F50" s="47" t="s">
        <v>129</v>
      </c>
      <c r="G50" s="26" t="s">
        <v>183</v>
      </c>
      <c r="H50" s="6" t="s">
        <v>172</v>
      </c>
      <c r="I50" s="47" t="str">
        <f t="shared" si="18"/>
        <v>fusiform</v>
      </c>
      <c r="K50" s="6" t="s">
        <v>89</v>
      </c>
      <c r="L50" s="47" t="str">
        <f t="shared" si="19"/>
        <v>Temperate</v>
      </c>
      <c r="N50" s="44" t="s">
        <v>93</v>
      </c>
      <c r="O50" s="6"/>
      <c r="P50" s="47"/>
    </row>
    <row r="51" spans="1:18" x14ac:dyDescent="0.2">
      <c r="B51" s="71" t="s">
        <v>40</v>
      </c>
      <c r="C51" s="21">
        <v>44358</v>
      </c>
      <c r="D51" s="8" t="s">
        <v>134</v>
      </c>
      <c r="E51" s="7" t="s">
        <v>82</v>
      </c>
      <c r="F51" s="47" t="str">
        <f t="shared" si="17"/>
        <v>benthopelagic</v>
      </c>
      <c r="G51" s="8"/>
      <c r="H51" s="6" t="s">
        <v>172</v>
      </c>
      <c r="I51" s="47" t="str">
        <f t="shared" si="18"/>
        <v>fusiform</v>
      </c>
      <c r="K51" s="6" t="s">
        <v>83</v>
      </c>
      <c r="L51" s="47" t="str">
        <f t="shared" si="19"/>
        <v>Subtropical</v>
      </c>
      <c r="N51" s="44" t="s">
        <v>93</v>
      </c>
      <c r="O51" s="6"/>
      <c r="P51" s="47"/>
    </row>
    <row r="52" spans="1:18" x14ac:dyDescent="0.2">
      <c r="A52" s="71" t="s">
        <v>332</v>
      </c>
      <c r="B52" s="71" t="s">
        <v>69</v>
      </c>
      <c r="C52" s="21">
        <v>44358</v>
      </c>
      <c r="D52" s="8" t="s">
        <v>136</v>
      </c>
      <c r="E52" s="7" t="s">
        <v>82</v>
      </c>
      <c r="F52" s="47" t="str">
        <f t="shared" si="17"/>
        <v>benthopelagic</v>
      </c>
      <c r="G52" s="8"/>
      <c r="H52" s="6" t="s">
        <v>173</v>
      </c>
      <c r="I52" s="47" t="str">
        <f t="shared" si="18"/>
        <v>elongated</v>
      </c>
      <c r="K52" s="6" t="s">
        <v>83</v>
      </c>
      <c r="L52" s="47" t="str">
        <f t="shared" si="19"/>
        <v>Subtropical</v>
      </c>
      <c r="N52" s="44" t="s">
        <v>90</v>
      </c>
      <c r="O52" s="64" t="s">
        <v>175</v>
      </c>
      <c r="P52" s="64" t="s">
        <v>175</v>
      </c>
      <c r="Q52" s="53" t="s">
        <v>175</v>
      </c>
      <c r="R52" s="56">
        <v>52</v>
      </c>
    </row>
    <row r="53" spans="1:18" x14ac:dyDescent="0.2">
      <c r="B53" s="71" t="s">
        <v>70</v>
      </c>
      <c r="C53" s="21">
        <v>44358</v>
      </c>
      <c r="D53" s="8" t="s">
        <v>137</v>
      </c>
      <c r="E53" s="7" t="s">
        <v>82</v>
      </c>
      <c r="F53" s="47" t="str">
        <f t="shared" si="17"/>
        <v>benthopelagic</v>
      </c>
      <c r="G53" s="8"/>
      <c r="H53" s="6" t="s">
        <v>172</v>
      </c>
      <c r="I53" s="47" t="str">
        <f t="shared" si="18"/>
        <v>fusiform</v>
      </c>
      <c r="K53" s="6" t="s">
        <v>89</v>
      </c>
      <c r="L53" s="47" t="str">
        <f t="shared" si="19"/>
        <v>Temperate</v>
      </c>
      <c r="N53" s="44" t="s">
        <v>90</v>
      </c>
      <c r="O53" s="64" t="s">
        <v>175</v>
      </c>
      <c r="P53" s="64" t="s">
        <v>175</v>
      </c>
      <c r="Q53" s="53" t="s">
        <v>175</v>
      </c>
      <c r="R53" s="56">
        <v>52</v>
      </c>
    </row>
    <row r="54" spans="1:18" x14ac:dyDescent="0.2">
      <c r="B54" s="71" t="s">
        <v>71</v>
      </c>
      <c r="C54" s="21">
        <v>44358</v>
      </c>
      <c r="D54" s="8" t="s">
        <v>138</v>
      </c>
      <c r="E54" s="7" t="s">
        <v>82</v>
      </c>
      <c r="F54" s="47" t="str">
        <f t="shared" si="17"/>
        <v>benthopelagic</v>
      </c>
      <c r="G54" s="8"/>
      <c r="H54" s="6" t="s">
        <v>172</v>
      </c>
      <c r="I54" s="47" t="str">
        <f t="shared" si="18"/>
        <v>fusiform</v>
      </c>
      <c r="K54" s="6" t="s">
        <v>139</v>
      </c>
      <c r="L54" s="47" t="str">
        <f t="shared" si="19"/>
        <v>tropical</v>
      </c>
      <c r="N54" s="44" t="s">
        <v>81</v>
      </c>
      <c r="O54" s="66" t="s">
        <v>339</v>
      </c>
      <c r="P54" s="64">
        <v>132.29</v>
      </c>
      <c r="Q54" s="53" t="s">
        <v>340</v>
      </c>
      <c r="R54" s="56">
        <v>315</v>
      </c>
    </row>
    <row r="55" spans="1:18" x14ac:dyDescent="0.2">
      <c r="B55" s="71" t="s">
        <v>72</v>
      </c>
      <c r="C55" s="21">
        <v>44358</v>
      </c>
      <c r="D55" s="8" t="s">
        <v>141</v>
      </c>
      <c r="E55" s="7" t="s">
        <v>82</v>
      </c>
      <c r="F55" s="47" t="str">
        <f t="shared" si="17"/>
        <v>benthopelagic</v>
      </c>
      <c r="G55" s="8"/>
      <c r="H55" s="6" t="s">
        <v>174</v>
      </c>
      <c r="I55" s="47" t="str">
        <f t="shared" si="18"/>
        <v>short/deep</v>
      </c>
      <c r="K55" s="6" t="s">
        <v>89</v>
      </c>
      <c r="L55" s="47" t="str">
        <f t="shared" si="19"/>
        <v>Temperate</v>
      </c>
      <c r="N55" s="44" t="s">
        <v>81</v>
      </c>
      <c r="O55" s="66" t="s">
        <v>309</v>
      </c>
      <c r="P55" s="64">
        <v>602.25</v>
      </c>
      <c r="Q55" s="53" t="s">
        <v>310</v>
      </c>
      <c r="R55" s="56">
        <v>52</v>
      </c>
    </row>
    <row r="56" spans="1:18" x14ac:dyDescent="0.2">
      <c r="B56" s="71" t="s">
        <v>41</v>
      </c>
      <c r="C56" s="21">
        <v>44358</v>
      </c>
      <c r="D56" s="8" t="s">
        <v>140</v>
      </c>
      <c r="E56" s="7" t="s">
        <v>94</v>
      </c>
      <c r="F56" s="47" t="str">
        <f t="shared" si="17"/>
        <v>demersal</v>
      </c>
      <c r="G56" s="8"/>
      <c r="H56" s="6" t="s">
        <v>172</v>
      </c>
      <c r="I56" s="47" t="str">
        <f t="shared" si="18"/>
        <v>fusiform</v>
      </c>
      <c r="K56" s="6" t="s">
        <v>83</v>
      </c>
      <c r="L56" s="47" t="str">
        <f t="shared" si="19"/>
        <v>Subtropical</v>
      </c>
      <c r="N56" s="44" t="s">
        <v>85</v>
      </c>
      <c r="O56" s="6"/>
      <c r="P56" s="47"/>
    </row>
    <row r="57" spans="1:18" x14ac:dyDescent="0.2">
      <c r="B57" s="71" t="s">
        <v>42</v>
      </c>
      <c r="C57" s="21">
        <v>44358</v>
      </c>
      <c r="D57" s="8" t="s">
        <v>143</v>
      </c>
      <c r="E57" s="7" t="s">
        <v>94</v>
      </c>
      <c r="F57" s="47" t="str">
        <f t="shared" si="17"/>
        <v>demersal</v>
      </c>
      <c r="G57" s="8"/>
      <c r="H57" s="6" t="s">
        <v>172</v>
      </c>
      <c r="I57" s="47" t="str">
        <f t="shared" si="18"/>
        <v>fusiform</v>
      </c>
      <c r="K57" s="6" t="s">
        <v>89</v>
      </c>
      <c r="L57" s="47" t="str">
        <f t="shared" si="19"/>
        <v>Temperate</v>
      </c>
      <c r="N57" s="44" t="s">
        <v>81</v>
      </c>
      <c r="O57" s="66" t="s">
        <v>311</v>
      </c>
      <c r="P57" s="64">
        <v>59.53</v>
      </c>
      <c r="Q57" s="53" t="s">
        <v>312</v>
      </c>
      <c r="R57" s="56" t="s">
        <v>285</v>
      </c>
    </row>
    <row r="58" spans="1:18" x14ac:dyDescent="0.2">
      <c r="B58" s="71" t="s">
        <v>43</v>
      </c>
      <c r="C58" s="21">
        <v>44358</v>
      </c>
      <c r="D58" s="8" t="s">
        <v>142</v>
      </c>
      <c r="E58" s="7" t="s">
        <v>82</v>
      </c>
      <c r="F58" s="47" t="str">
        <f t="shared" si="17"/>
        <v>benthopelagic</v>
      </c>
      <c r="G58" s="8"/>
      <c r="H58" s="6" t="s">
        <v>173</v>
      </c>
      <c r="I58" s="47" t="str">
        <f t="shared" si="18"/>
        <v>elongated</v>
      </c>
      <c r="K58" s="6" t="s">
        <v>83</v>
      </c>
      <c r="L58" s="47" t="str">
        <f t="shared" si="19"/>
        <v>Subtropical</v>
      </c>
      <c r="N58" s="44" t="s">
        <v>90</v>
      </c>
      <c r="O58" s="64" t="s">
        <v>175</v>
      </c>
      <c r="P58" s="64" t="s">
        <v>175</v>
      </c>
      <c r="Q58" s="53" t="s">
        <v>175</v>
      </c>
      <c r="R58" s="56">
        <v>54</v>
      </c>
    </row>
    <row r="59" spans="1:18" x14ac:dyDescent="0.2">
      <c r="B59" s="71" t="s">
        <v>44</v>
      </c>
      <c r="C59" s="21">
        <v>44358</v>
      </c>
      <c r="D59" s="8" t="s">
        <v>144</v>
      </c>
      <c r="E59" s="7" t="s">
        <v>94</v>
      </c>
      <c r="F59" s="47" t="str">
        <f t="shared" si="17"/>
        <v>demersal</v>
      </c>
      <c r="G59" s="8"/>
      <c r="H59" s="6" t="s">
        <v>172</v>
      </c>
      <c r="I59" s="47" t="str">
        <f t="shared" si="18"/>
        <v>fusiform</v>
      </c>
      <c r="K59" s="6" t="s">
        <v>89</v>
      </c>
      <c r="L59" s="47" t="str">
        <f t="shared" si="19"/>
        <v>Temperate</v>
      </c>
      <c r="N59" s="44" t="s">
        <v>81</v>
      </c>
      <c r="O59" s="66" t="s">
        <v>313</v>
      </c>
      <c r="P59" s="65">
        <v>1.42</v>
      </c>
      <c r="Q59" s="51" t="s">
        <v>314</v>
      </c>
      <c r="R59" s="78" t="s">
        <v>268</v>
      </c>
    </row>
    <row r="60" spans="1:18" x14ac:dyDescent="0.2">
      <c r="B60" s="71" t="s">
        <v>73</v>
      </c>
      <c r="C60" s="21">
        <v>44358</v>
      </c>
      <c r="D60" s="8" t="s">
        <v>145</v>
      </c>
      <c r="E60" s="7" t="s">
        <v>94</v>
      </c>
      <c r="F60" s="47" t="str">
        <f t="shared" ref="F60:F70" si="20">E60</f>
        <v>demersal</v>
      </c>
      <c r="G60" s="8"/>
      <c r="H60" s="6" t="s">
        <v>174</v>
      </c>
      <c r="I60" s="47" t="str">
        <f t="shared" ref="I60:I70" si="21">H60</f>
        <v>short/deep</v>
      </c>
      <c r="K60" s="6" t="s">
        <v>83</v>
      </c>
      <c r="L60" s="47" t="str">
        <f t="shared" ref="L60:L70" si="22">K60</f>
        <v>Subtropical</v>
      </c>
      <c r="N60" s="44" t="s">
        <v>90</v>
      </c>
      <c r="O60" s="6"/>
      <c r="P60" s="47"/>
    </row>
    <row r="61" spans="1:18" s="18" customFormat="1" x14ac:dyDescent="0.2">
      <c r="B61" s="72" t="s">
        <v>201</v>
      </c>
      <c r="C61" s="21">
        <v>44373</v>
      </c>
      <c r="D61" s="22" t="s">
        <v>210</v>
      </c>
      <c r="E61" s="25" t="s">
        <v>94</v>
      </c>
      <c r="F61" s="18" t="str">
        <f t="shared" si="20"/>
        <v>demersal</v>
      </c>
      <c r="G61" s="22"/>
      <c r="H61" s="25" t="s">
        <v>174</v>
      </c>
      <c r="I61" s="18" t="str">
        <f t="shared" si="21"/>
        <v>short/deep</v>
      </c>
      <c r="J61" s="22"/>
      <c r="K61" s="25" t="s">
        <v>89</v>
      </c>
      <c r="L61" s="18" t="str">
        <f t="shared" si="22"/>
        <v>Temperate</v>
      </c>
      <c r="M61" s="22"/>
      <c r="N61" s="45" t="s">
        <v>93</v>
      </c>
      <c r="O61" s="66" t="s">
        <v>345</v>
      </c>
      <c r="P61" s="76">
        <v>120.91</v>
      </c>
      <c r="Q61" s="76" t="s">
        <v>346</v>
      </c>
      <c r="R61" s="77" t="s">
        <v>347</v>
      </c>
    </row>
    <row r="62" spans="1:18" x14ac:dyDescent="0.2">
      <c r="B62" s="71" t="s">
        <v>74</v>
      </c>
      <c r="C62" s="21">
        <v>44358</v>
      </c>
      <c r="D62" s="8" t="s">
        <v>148</v>
      </c>
      <c r="E62" s="7" t="s">
        <v>82</v>
      </c>
      <c r="F62" s="47" t="str">
        <f t="shared" si="20"/>
        <v>benthopelagic</v>
      </c>
      <c r="G62" s="8"/>
      <c r="H62" s="6" t="s">
        <v>172</v>
      </c>
      <c r="I62" s="47" t="str">
        <f t="shared" si="21"/>
        <v>fusiform</v>
      </c>
      <c r="K62" s="6" t="s">
        <v>87</v>
      </c>
      <c r="L62" s="47" t="str">
        <f t="shared" si="22"/>
        <v>Tropical</v>
      </c>
      <c r="N62" s="44" t="s">
        <v>81</v>
      </c>
      <c r="O62" s="6"/>
      <c r="P62" s="47"/>
    </row>
    <row r="63" spans="1:18" x14ac:dyDescent="0.2">
      <c r="B63" s="71" t="s">
        <v>45</v>
      </c>
      <c r="C63" s="21">
        <v>44358</v>
      </c>
      <c r="D63" s="8" t="s">
        <v>146</v>
      </c>
      <c r="E63" s="7" t="s">
        <v>94</v>
      </c>
      <c r="F63" s="47" t="str">
        <f t="shared" si="20"/>
        <v>demersal</v>
      </c>
      <c r="G63" s="8"/>
      <c r="H63" s="6" t="s">
        <v>172</v>
      </c>
      <c r="I63" s="47" t="str">
        <f t="shared" si="21"/>
        <v>fusiform</v>
      </c>
      <c r="K63" s="6" t="s">
        <v>83</v>
      </c>
      <c r="L63" s="47" t="str">
        <f t="shared" si="22"/>
        <v>Subtropical</v>
      </c>
      <c r="N63" s="44" t="s">
        <v>85</v>
      </c>
      <c r="O63" s="6"/>
      <c r="P63" s="47"/>
    </row>
    <row r="64" spans="1:18" x14ac:dyDescent="0.2">
      <c r="B64" s="71" t="s">
        <v>46</v>
      </c>
      <c r="C64" s="21">
        <v>44358</v>
      </c>
      <c r="D64" s="8" t="s">
        <v>147</v>
      </c>
      <c r="E64" s="7" t="s">
        <v>86</v>
      </c>
      <c r="F64" s="47" t="str">
        <f t="shared" si="20"/>
        <v>reef-associated</v>
      </c>
      <c r="G64" s="8"/>
      <c r="H64" s="6" t="s">
        <v>174</v>
      </c>
      <c r="I64" s="47" t="str">
        <f t="shared" si="21"/>
        <v>short/deep</v>
      </c>
      <c r="K64" s="6" t="s">
        <v>87</v>
      </c>
      <c r="L64" s="47" t="str">
        <f t="shared" si="22"/>
        <v>Tropical</v>
      </c>
      <c r="N64" s="44" t="s">
        <v>85</v>
      </c>
      <c r="O64" s="6"/>
      <c r="P64" s="47"/>
    </row>
    <row r="65" spans="2:20" x14ac:dyDescent="0.2">
      <c r="B65" s="71" t="s">
        <v>47</v>
      </c>
      <c r="C65" s="21">
        <v>44358</v>
      </c>
      <c r="D65" s="8" t="s">
        <v>152</v>
      </c>
      <c r="E65" s="7" t="s">
        <v>82</v>
      </c>
      <c r="F65" s="47" t="str">
        <f t="shared" si="20"/>
        <v>benthopelagic</v>
      </c>
      <c r="G65" s="8"/>
      <c r="H65" s="6" t="s">
        <v>173</v>
      </c>
      <c r="I65" s="47" t="str">
        <f t="shared" si="21"/>
        <v>elongated</v>
      </c>
      <c r="K65" s="6" t="s">
        <v>83</v>
      </c>
      <c r="L65" s="47" t="str">
        <f t="shared" si="22"/>
        <v>Subtropical</v>
      </c>
      <c r="N65" s="44" t="s">
        <v>90</v>
      </c>
      <c r="O65" s="66" t="s">
        <v>315</v>
      </c>
      <c r="P65" s="64">
        <v>1149.24</v>
      </c>
      <c r="Q65" s="53" t="s">
        <v>316</v>
      </c>
      <c r="R65" s="56" t="s">
        <v>274</v>
      </c>
    </row>
    <row r="66" spans="2:20" x14ac:dyDescent="0.2">
      <c r="B66" s="71" t="s">
        <v>48</v>
      </c>
      <c r="C66" s="21">
        <v>44358</v>
      </c>
      <c r="D66" s="8" t="s">
        <v>149</v>
      </c>
      <c r="E66" s="7" t="s">
        <v>94</v>
      </c>
      <c r="F66" s="47" t="str">
        <f t="shared" si="20"/>
        <v>demersal</v>
      </c>
      <c r="G66" s="8"/>
      <c r="H66" s="6" t="s">
        <v>173</v>
      </c>
      <c r="I66" s="47" t="str">
        <f t="shared" si="21"/>
        <v>elongated</v>
      </c>
      <c r="K66" s="6" t="s">
        <v>83</v>
      </c>
      <c r="L66" s="47" t="str">
        <f t="shared" si="22"/>
        <v>Subtropical</v>
      </c>
      <c r="N66" s="44" t="s">
        <v>90</v>
      </c>
      <c r="O66" s="6"/>
      <c r="P66" s="47"/>
    </row>
    <row r="67" spans="2:20" x14ac:dyDescent="0.2">
      <c r="B67" s="71" t="s">
        <v>49</v>
      </c>
      <c r="C67" s="21">
        <v>44358</v>
      </c>
      <c r="D67" s="8" t="s">
        <v>150</v>
      </c>
      <c r="E67" s="7" t="s">
        <v>82</v>
      </c>
      <c r="F67" s="47" t="str">
        <f t="shared" si="20"/>
        <v>benthopelagic</v>
      </c>
      <c r="G67" s="8"/>
      <c r="H67" s="6" t="s">
        <v>172</v>
      </c>
      <c r="I67" s="47" t="str">
        <f t="shared" si="21"/>
        <v>fusiform</v>
      </c>
      <c r="K67" s="6" t="s">
        <v>89</v>
      </c>
      <c r="L67" s="47" t="str">
        <f t="shared" si="22"/>
        <v>Temperate</v>
      </c>
      <c r="N67" s="44" t="s">
        <v>81</v>
      </c>
      <c r="O67" s="66" t="s">
        <v>317</v>
      </c>
      <c r="P67" s="64">
        <v>0.25</v>
      </c>
      <c r="Q67" s="53" t="s">
        <v>318</v>
      </c>
      <c r="R67" s="56" t="s">
        <v>274</v>
      </c>
    </row>
    <row r="68" spans="2:20" x14ac:dyDescent="0.2">
      <c r="B68" s="71" t="s">
        <v>50</v>
      </c>
      <c r="C68" s="21">
        <v>44358</v>
      </c>
      <c r="D68" s="8" t="s">
        <v>151</v>
      </c>
      <c r="E68" s="7" t="s">
        <v>94</v>
      </c>
      <c r="F68" s="47" t="str">
        <f t="shared" si="20"/>
        <v>demersal</v>
      </c>
      <c r="G68" s="8"/>
      <c r="H68" s="6" t="s">
        <v>172</v>
      </c>
      <c r="I68" s="47" t="str">
        <f t="shared" si="21"/>
        <v>fusiform</v>
      </c>
      <c r="K68" s="6" t="s">
        <v>83</v>
      </c>
      <c r="L68" s="47" t="str">
        <f t="shared" si="22"/>
        <v>Subtropical</v>
      </c>
      <c r="N68" s="44" t="s">
        <v>93</v>
      </c>
      <c r="O68" s="66" t="s">
        <v>319</v>
      </c>
      <c r="P68" s="64">
        <v>1.01</v>
      </c>
      <c r="Q68" s="53" t="s">
        <v>320</v>
      </c>
      <c r="R68" s="56">
        <v>54</v>
      </c>
      <c r="S68" t="s">
        <v>280</v>
      </c>
      <c r="T68" t="s">
        <v>281</v>
      </c>
    </row>
    <row r="69" spans="2:20" x14ac:dyDescent="0.2">
      <c r="B69" s="71" t="s">
        <v>51</v>
      </c>
      <c r="C69" s="21">
        <v>44358</v>
      </c>
      <c r="D69" s="23" t="s">
        <v>153</v>
      </c>
      <c r="E69" s="7" t="s">
        <v>82</v>
      </c>
      <c r="F69" s="47" t="str">
        <f t="shared" si="20"/>
        <v>benthopelagic</v>
      </c>
      <c r="G69" s="8"/>
      <c r="H69" s="6" t="s">
        <v>172</v>
      </c>
      <c r="I69" s="47" t="str">
        <f t="shared" si="21"/>
        <v>fusiform</v>
      </c>
      <c r="K69" s="6" t="s">
        <v>83</v>
      </c>
      <c r="L69" s="47" t="str">
        <f t="shared" si="22"/>
        <v>Subtropical</v>
      </c>
      <c r="N69" s="44" t="s">
        <v>81</v>
      </c>
      <c r="O69" s="64" t="s">
        <v>175</v>
      </c>
      <c r="P69" s="64" t="s">
        <v>175</v>
      </c>
      <c r="Q69" s="53" t="s">
        <v>175</v>
      </c>
      <c r="R69" s="56" t="s">
        <v>274</v>
      </c>
    </row>
    <row r="70" spans="2:20" x14ac:dyDescent="0.2">
      <c r="B70" s="71" t="s">
        <v>75</v>
      </c>
      <c r="C70" s="21">
        <v>44358</v>
      </c>
      <c r="D70" s="8" t="s">
        <v>155</v>
      </c>
      <c r="E70" s="7" t="s">
        <v>82</v>
      </c>
      <c r="F70" s="47" t="str">
        <f t="shared" si="20"/>
        <v>benthopelagic</v>
      </c>
      <c r="G70" s="8"/>
      <c r="H70" s="6" t="s">
        <v>172</v>
      </c>
      <c r="I70" s="47" t="str">
        <f t="shared" si="21"/>
        <v>fusiform</v>
      </c>
      <c r="K70" s="6" t="s">
        <v>83</v>
      </c>
      <c r="L70" s="47" t="str">
        <f t="shared" si="22"/>
        <v>Subtropical</v>
      </c>
      <c r="N70" s="44" t="s">
        <v>81</v>
      </c>
      <c r="O70" s="64" t="s">
        <v>175</v>
      </c>
      <c r="P70" s="64" t="s">
        <v>175</v>
      </c>
      <c r="Q70" s="53" t="s">
        <v>175</v>
      </c>
      <c r="R70" s="56">
        <v>52</v>
      </c>
    </row>
    <row r="71" spans="2:20" x14ac:dyDescent="0.2">
      <c r="B71" s="71" t="s">
        <v>52</v>
      </c>
      <c r="C71" s="21">
        <v>44358</v>
      </c>
      <c r="D71" s="8" t="s">
        <v>154</v>
      </c>
      <c r="E71" s="7" t="s">
        <v>82</v>
      </c>
      <c r="F71" s="47" t="str">
        <f t="shared" ref="F71:F76" si="23">E71</f>
        <v>benthopelagic</v>
      </c>
      <c r="G71" s="8"/>
      <c r="H71" s="6" t="s">
        <v>172</v>
      </c>
      <c r="I71" s="47" t="str">
        <f t="shared" ref="I71:I76" si="24">H71</f>
        <v>fusiform</v>
      </c>
      <c r="K71" s="6" t="s">
        <v>89</v>
      </c>
      <c r="L71" s="47" t="str">
        <f t="shared" ref="L71:L76" si="25">K71</f>
        <v>Temperate</v>
      </c>
      <c r="N71" s="44" t="s">
        <v>93</v>
      </c>
    </row>
    <row r="72" spans="2:20" ht="51" x14ac:dyDescent="0.2">
      <c r="B72" s="71" t="s">
        <v>53</v>
      </c>
      <c r="C72" s="21">
        <v>44358</v>
      </c>
      <c r="D72" s="8" t="s">
        <v>156</v>
      </c>
      <c r="E72" s="7" t="s">
        <v>157</v>
      </c>
      <c r="F72" s="48" t="s">
        <v>129</v>
      </c>
      <c r="G72" s="26" t="s">
        <v>183</v>
      </c>
      <c r="H72" s="6" t="s">
        <v>172</v>
      </c>
      <c r="I72" s="47" t="str">
        <f t="shared" si="24"/>
        <v>fusiform</v>
      </c>
      <c r="K72" s="6" t="s">
        <v>83</v>
      </c>
      <c r="L72" s="47" t="str">
        <f t="shared" si="25"/>
        <v>Subtropical</v>
      </c>
      <c r="N72" s="44" t="s">
        <v>93</v>
      </c>
    </row>
    <row r="73" spans="2:20" x14ac:dyDescent="0.2">
      <c r="B73" s="71" t="s">
        <v>54</v>
      </c>
      <c r="C73" s="21">
        <v>44358</v>
      </c>
      <c r="D73" s="8" t="s">
        <v>158</v>
      </c>
      <c r="E73" s="7" t="s">
        <v>82</v>
      </c>
      <c r="F73" s="47" t="str">
        <f t="shared" si="23"/>
        <v>benthopelagic</v>
      </c>
      <c r="G73" s="8"/>
      <c r="H73" s="6" t="s">
        <v>172</v>
      </c>
      <c r="I73" s="47" t="str">
        <f t="shared" si="24"/>
        <v>fusiform</v>
      </c>
      <c r="K73" s="6" t="s">
        <v>89</v>
      </c>
      <c r="L73" s="47" t="str">
        <f t="shared" si="25"/>
        <v>Temperate</v>
      </c>
      <c r="N73" s="44" t="s">
        <v>93</v>
      </c>
    </row>
    <row r="74" spans="2:20" x14ac:dyDescent="0.2">
      <c r="B74" s="71" t="s">
        <v>76</v>
      </c>
      <c r="C74" s="21">
        <v>44358</v>
      </c>
      <c r="D74" s="8" t="s">
        <v>159</v>
      </c>
      <c r="E74" s="7" t="s">
        <v>82</v>
      </c>
      <c r="F74" s="47" t="str">
        <f t="shared" si="23"/>
        <v>benthopelagic</v>
      </c>
      <c r="G74" s="8"/>
      <c r="H74" s="6" t="s">
        <v>172</v>
      </c>
      <c r="I74" s="47" t="str">
        <f t="shared" si="24"/>
        <v>fusiform</v>
      </c>
      <c r="K74" s="6" t="s">
        <v>83</v>
      </c>
      <c r="L74" s="47" t="str">
        <f t="shared" si="25"/>
        <v>Subtropical</v>
      </c>
      <c r="N74" s="44" t="s">
        <v>90</v>
      </c>
      <c r="O74" s="64" t="s">
        <v>175</v>
      </c>
      <c r="P74" s="64" t="s">
        <v>175</v>
      </c>
      <c r="Q74" s="53" t="s">
        <v>175</v>
      </c>
      <c r="R74" s="56">
        <v>52</v>
      </c>
    </row>
    <row r="75" spans="2:20" x14ac:dyDescent="0.2">
      <c r="B75" s="71" t="s">
        <v>55</v>
      </c>
      <c r="C75" s="21">
        <v>44358</v>
      </c>
      <c r="D75" s="8" t="s">
        <v>162</v>
      </c>
      <c r="E75" s="7" t="s">
        <v>82</v>
      </c>
      <c r="F75" s="47" t="str">
        <f t="shared" si="23"/>
        <v>benthopelagic</v>
      </c>
      <c r="G75" s="8"/>
      <c r="H75" s="6" t="s">
        <v>173</v>
      </c>
      <c r="I75" s="47" t="str">
        <f t="shared" si="24"/>
        <v>elongated</v>
      </c>
      <c r="K75" s="6" t="s">
        <v>83</v>
      </c>
      <c r="L75" s="47" t="str">
        <f t="shared" si="25"/>
        <v>Subtropical</v>
      </c>
      <c r="N75" s="44" t="s">
        <v>90</v>
      </c>
      <c r="O75" s="64" t="s">
        <v>175</v>
      </c>
      <c r="P75" s="64" t="s">
        <v>175</v>
      </c>
      <c r="Q75" s="53" t="s">
        <v>175</v>
      </c>
      <c r="R75" s="56" t="s">
        <v>270</v>
      </c>
    </row>
    <row r="76" spans="2:20" x14ac:dyDescent="0.2">
      <c r="B76" s="71" t="s">
        <v>196</v>
      </c>
      <c r="D76" s="20" t="s">
        <v>222</v>
      </c>
      <c r="E76" s="7" t="s">
        <v>94</v>
      </c>
      <c r="F76" s="47" t="str">
        <f t="shared" si="23"/>
        <v>demersal</v>
      </c>
      <c r="H76" s="6" t="s">
        <v>172</v>
      </c>
      <c r="I76" s="47" t="str">
        <f t="shared" si="24"/>
        <v>fusiform</v>
      </c>
      <c r="K76" s="6" t="s">
        <v>83</v>
      </c>
      <c r="L76" s="47" t="str">
        <f t="shared" si="25"/>
        <v>Subtropical</v>
      </c>
      <c r="N76" s="44" t="s">
        <v>97</v>
      </c>
    </row>
    <row r="77" spans="2:20" x14ac:dyDescent="0.2">
      <c r="B77" s="71" t="s">
        <v>56</v>
      </c>
      <c r="C77" s="21">
        <v>44358</v>
      </c>
      <c r="D77" s="8" t="s">
        <v>160</v>
      </c>
      <c r="E77" s="7" t="s">
        <v>94</v>
      </c>
      <c r="F77" s="47" t="str">
        <f t="shared" ref="F77:F85" si="26">E77</f>
        <v>demersal</v>
      </c>
      <c r="G77" s="8"/>
      <c r="H77" s="6" t="s">
        <v>173</v>
      </c>
      <c r="I77" s="47" t="str">
        <f>H77</f>
        <v>elongated</v>
      </c>
      <c r="K77" s="6" t="s">
        <v>83</v>
      </c>
      <c r="L77" s="47" t="str">
        <f>K77</f>
        <v>Subtropical</v>
      </c>
      <c r="N77" s="44" t="s">
        <v>90</v>
      </c>
      <c r="O77" s="64" t="s">
        <v>175</v>
      </c>
      <c r="P77" s="64" t="s">
        <v>175</v>
      </c>
      <c r="Q77" s="53" t="s">
        <v>175</v>
      </c>
      <c r="R77" s="56">
        <v>54</v>
      </c>
    </row>
    <row r="78" spans="2:20" ht="34" x14ac:dyDescent="0.2">
      <c r="B78" s="71" t="s">
        <v>57</v>
      </c>
      <c r="C78" s="21">
        <v>44358</v>
      </c>
      <c r="D78" s="8" t="s">
        <v>161</v>
      </c>
      <c r="E78" s="7" t="s">
        <v>82</v>
      </c>
      <c r="F78" s="47" t="str">
        <f t="shared" si="26"/>
        <v>benthopelagic</v>
      </c>
      <c r="G78" s="8"/>
      <c r="H78" s="11" t="s">
        <v>175</v>
      </c>
      <c r="I78" s="30" t="s">
        <v>172</v>
      </c>
      <c r="J78" s="29" t="s">
        <v>186</v>
      </c>
      <c r="K78" s="6" t="s">
        <v>89</v>
      </c>
      <c r="L78" s="47" t="str">
        <f>K78</f>
        <v>Temperate</v>
      </c>
      <c r="N78" s="44" t="s">
        <v>90</v>
      </c>
      <c r="O78" s="64" t="s">
        <v>175</v>
      </c>
      <c r="P78" s="64" t="s">
        <v>175</v>
      </c>
      <c r="Q78" s="53" t="s">
        <v>175</v>
      </c>
      <c r="R78" s="56">
        <v>54</v>
      </c>
    </row>
    <row r="79" spans="2:20" x14ac:dyDescent="0.2">
      <c r="B79" s="71" t="s">
        <v>58</v>
      </c>
      <c r="C79" s="21">
        <v>44358</v>
      </c>
      <c r="D79" s="8" t="s">
        <v>163</v>
      </c>
      <c r="E79" s="7" t="s">
        <v>82</v>
      </c>
      <c r="F79" s="47" t="str">
        <f t="shared" si="26"/>
        <v>benthopelagic</v>
      </c>
      <c r="G79" s="8"/>
      <c r="H79" s="6" t="s">
        <v>174</v>
      </c>
      <c r="I79" s="47" t="str">
        <f t="shared" ref="I79:I86" si="27">H79</f>
        <v>short/deep</v>
      </c>
      <c r="K79" s="6" t="s">
        <v>89</v>
      </c>
      <c r="L79" s="47" t="str">
        <f>K79</f>
        <v>Temperate</v>
      </c>
      <c r="N79" s="44" t="s">
        <v>90</v>
      </c>
      <c r="O79" s="66" t="s">
        <v>289</v>
      </c>
      <c r="P79" s="53">
        <v>141</v>
      </c>
      <c r="Q79" s="53" t="s">
        <v>321</v>
      </c>
      <c r="R79" s="56">
        <v>54</v>
      </c>
    </row>
    <row r="80" spans="2:20" ht="85" x14ac:dyDescent="0.2">
      <c r="B80" s="71" t="s">
        <v>59</v>
      </c>
      <c r="C80" s="21">
        <v>44358</v>
      </c>
      <c r="D80" s="8" t="s">
        <v>165</v>
      </c>
      <c r="E80" s="7" t="s">
        <v>82</v>
      </c>
      <c r="F80" s="47" t="str">
        <f t="shared" si="26"/>
        <v>benthopelagic</v>
      </c>
      <c r="G80" s="8"/>
      <c r="H80" s="6" t="s">
        <v>173</v>
      </c>
      <c r="I80" s="47" t="str">
        <f t="shared" si="27"/>
        <v>elongated</v>
      </c>
      <c r="K80" s="6" t="s">
        <v>166</v>
      </c>
      <c r="L80" s="48" t="s">
        <v>99</v>
      </c>
      <c r="M80" s="26" t="s">
        <v>187</v>
      </c>
      <c r="N80" s="44" t="s">
        <v>97</v>
      </c>
      <c r="O80" s="66" t="s">
        <v>337</v>
      </c>
      <c r="P80" s="53">
        <v>723782.6</v>
      </c>
      <c r="Q80" s="53" t="s">
        <v>338</v>
      </c>
      <c r="R80" s="56">
        <v>75</v>
      </c>
    </row>
    <row r="81" spans="1:18" x14ac:dyDescent="0.2">
      <c r="B81" s="71" t="s">
        <v>60</v>
      </c>
      <c r="C81" s="21">
        <v>44358</v>
      </c>
      <c r="D81" s="8" t="s">
        <v>164</v>
      </c>
      <c r="E81" s="7" t="s">
        <v>82</v>
      </c>
      <c r="F81" s="47" t="str">
        <f t="shared" si="26"/>
        <v>benthopelagic</v>
      </c>
      <c r="G81" s="8"/>
      <c r="H81" s="6" t="s">
        <v>173</v>
      </c>
      <c r="I81" s="47" t="str">
        <f t="shared" si="27"/>
        <v>elongated</v>
      </c>
      <c r="K81" s="6" t="s">
        <v>83</v>
      </c>
      <c r="L81" s="47" t="str">
        <f t="shared" ref="L81:L85" si="28">K81</f>
        <v>Subtropical</v>
      </c>
      <c r="N81" s="44" t="s">
        <v>90</v>
      </c>
      <c r="O81" s="64" t="s">
        <v>175</v>
      </c>
      <c r="P81" s="64" t="s">
        <v>175</v>
      </c>
      <c r="Q81" s="64" t="s">
        <v>175</v>
      </c>
      <c r="R81" s="56" t="s">
        <v>270</v>
      </c>
    </row>
    <row r="82" spans="1:18" ht="17" x14ac:dyDescent="0.2">
      <c r="A82" s="17" t="s">
        <v>276</v>
      </c>
      <c r="B82" s="71" t="s">
        <v>271</v>
      </c>
      <c r="C82" s="21" t="s">
        <v>272</v>
      </c>
      <c r="D82" s="8" t="s">
        <v>273</v>
      </c>
      <c r="E82" s="7" t="s">
        <v>94</v>
      </c>
      <c r="F82" s="47" t="str">
        <f t="shared" si="26"/>
        <v>demersal</v>
      </c>
      <c r="G82" s="8"/>
      <c r="H82" s="6" t="s">
        <v>173</v>
      </c>
      <c r="I82" s="47" t="str">
        <f t="shared" si="27"/>
        <v>elongated</v>
      </c>
      <c r="K82" s="6" t="s">
        <v>83</v>
      </c>
      <c r="L82" s="47" t="str">
        <f t="shared" si="28"/>
        <v>Subtropical</v>
      </c>
      <c r="N82" s="44" t="s">
        <v>90</v>
      </c>
      <c r="O82" s="66" t="s">
        <v>322</v>
      </c>
      <c r="P82" s="64">
        <v>41.3</v>
      </c>
      <c r="Q82" s="53" t="s">
        <v>323</v>
      </c>
      <c r="R82" s="56">
        <v>54</v>
      </c>
    </row>
    <row r="83" spans="1:18" x14ac:dyDescent="0.2">
      <c r="A83" s="17" t="s">
        <v>277</v>
      </c>
      <c r="B83" s="71" t="s">
        <v>61</v>
      </c>
      <c r="C83" s="21">
        <v>44358</v>
      </c>
      <c r="D83" s="8" t="s">
        <v>168</v>
      </c>
      <c r="E83" s="7" t="s">
        <v>94</v>
      </c>
      <c r="F83" s="47" t="str">
        <f t="shared" si="26"/>
        <v>demersal</v>
      </c>
      <c r="G83" s="8"/>
      <c r="H83" s="6" t="s">
        <v>173</v>
      </c>
      <c r="I83" s="47" t="str">
        <f t="shared" si="27"/>
        <v>elongated</v>
      </c>
      <c r="K83" s="6" t="s">
        <v>89</v>
      </c>
      <c r="L83" s="47" t="str">
        <f t="shared" si="28"/>
        <v>Temperate</v>
      </c>
      <c r="N83" s="44" t="s">
        <v>81</v>
      </c>
      <c r="O83" s="64" t="s">
        <v>175</v>
      </c>
      <c r="P83" s="64" t="s">
        <v>175</v>
      </c>
      <c r="Q83" s="64" t="s">
        <v>175</v>
      </c>
      <c r="R83" s="56">
        <v>54</v>
      </c>
    </row>
    <row r="84" spans="1:18" x14ac:dyDescent="0.2">
      <c r="B84" s="71" t="s">
        <v>62</v>
      </c>
      <c r="C84" s="21">
        <v>44358</v>
      </c>
      <c r="D84" s="8" t="s">
        <v>167</v>
      </c>
      <c r="E84" s="7" t="s">
        <v>86</v>
      </c>
      <c r="F84" s="47" t="str">
        <f t="shared" si="26"/>
        <v>reef-associated</v>
      </c>
      <c r="G84" s="8"/>
      <c r="H84" s="6" t="s">
        <v>172</v>
      </c>
      <c r="I84" s="47" t="str">
        <f t="shared" si="27"/>
        <v>fusiform</v>
      </c>
      <c r="K84" s="6" t="s">
        <v>89</v>
      </c>
      <c r="L84" s="47" t="str">
        <f t="shared" si="28"/>
        <v>Temperate</v>
      </c>
      <c r="N84" s="44" t="s">
        <v>85</v>
      </c>
    </row>
    <row r="85" spans="1:18" x14ac:dyDescent="0.2">
      <c r="B85" s="71" t="s">
        <v>63</v>
      </c>
      <c r="C85" s="21">
        <v>44358</v>
      </c>
      <c r="D85" s="8" t="s">
        <v>169</v>
      </c>
      <c r="E85" s="7" t="s">
        <v>86</v>
      </c>
      <c r="F85" s="47" t="str">
        <f t="shared" si="26"/>
        <v>reef-associated</v>
      </c>
      <c r="G85" s="8"/>
      <c r="H85" s="6" t="s">
        <v>172</v>
      </c>
      <c r="I85" s="47" t="str">
        <f t="shared" si="27"/>
        <v>fusiform</v>
      </c>
      <c r="K85" s="6" t="s">
        <v>83</v>
      </c>
      <c r="L85" s="47" t="str">
        <f t="shared" si="28"/>
        <v>Subtropical</v>
      </c>
      <c r="N85" s="44" t="s">
        <v>85</v>
      </c>
    </row>
    <row r="86" spans="1:18" s="18" customFormat="1" x14ac:dyDescent="0.2">
      <c r="B86" s="72" t="s">
        <v>205</v>
      </c>
      <c r="C86" s="21">
        <v>44373</v>
      </c>
      <c r="D86" s="22" t="s">
        <v>209</v>
      </c>
      <c r="E86" s="25" t="s">
        <v>133</v>
      </c>
      <c r="F86" s="31" t="s">
        <v>129</v>
      </c>
      <c r="G86" s="22" t="s">
        <v>208</v>
      </c>
      <c r="H86" s="25" t="s">
        <v>172</v>
      </c>
      <c r="I86" s="18" t="str">
        <f t="shared" si="27"/>
        <v>fusiform</v>
      </c>
      <c r="J86" s="22"/>
      <c r="K86" s="25" t="s">
        <v>83</v>
      </c>
      <c r="L86" s="18" t="s">
        <v>83</v>
      </c>
      <c r="M86" s="22"/>
      <c r="N86" s="45" t="s">
        <v>97</v>
      </c>
      <c r="O86" s="25"/>
      <c r="R86" s="58"/>
    </row>
    <row r="87" spans="1:18" s="18" customFormat="1" x14ac:dyDescent="0.2">
      <c r="B87" s="72" t="s">
        <v>202</v>
      </c>
      <c r="C87" s="21">
        <v>44373</v>
      </c>
      <c r="D87" s="22" t="s">
        <v>207</v>
      </c>
      <c r="E87" s="25" t="s">
        <v>157</v>
      </c>
      <c r="F87" s="31" t="s">
        <v>129</v>
      </c>
      <c r="G87" s="22" t="s">
        <v>206</v>
      </c>
      <c r="H87" s="25" t="s">
        <v>172</v>
      </c>
      <c r="I87" s="18" t="s">
        <v>172</v>
      </c>
      <c r="J87" s="22"/>
      <c r="K87" s="25" t="s">
        <v>83</v>
      </c>
      <c r="L87" s="18" t="str">
        <f t="shared" ref="L87" si="29">K87</f>
        <v>Subtropical</v>
      </c>
      <c r="M87" s="22"/>
      <c r="N87" s="45" t="s">
        <v>85</v>
      </c>
      <c r="O87" s="66" t="s">
        <v>342</v>
      </c>
      <c r="P87" s="76">
        <v>98.93</v>
      </c>
      <c r="Q87" s="76" t="s">
        <v>343</v>
      </c>
      <c r="R87" s="77" t="s">
        <v>344</v>
      </c>
    </row>
    <row r="88" spans="1:18" x14ac:dyDescent="0.2">
      <c r="B88" s="71" t="s">
        <v>64</v>
      </c>
      <c r="C88" s="21">
        <v>44358</v>
      </c>
      <c r="D88" s="8" t="s">
        <v>170</v>
      </c>
      <c r="E88" s="7" t="s">
        <v>94</v>
      </c>
      <c r="F88" s="47" t="str">
        <f>E88</f>
        <v>demersal</v>
      </c>
      <c r="G88" s="8"/>
      <c r="H88" s="6" t="s">
        <v>172</v>
      </c>
      <c r="I88" s="47" t="str">
        <f>H88</f>
        <v>fusiform</v>
      </c>
      <c r="K88" s="6" t="s">
        <v>99</v>
      </c>
      <c r="L88" s="47" t="str">
        <f t="shared" ref="L88:L97" si="30">K88</f>
        <v>Polar</v>
      </c>
      <c r="N88" s="44" t="s">
        <v>85</v>
      </c>
    </row>
    <row r="89" spans="1:18" x14ac:dyDescent="0.2">
      <c r="B89" s="71" t="s">
        <v>65</v>
      </c>
      <c r="C89" s="21">
        <v>44358</v>
      </c>
      <c r="D89" s="8" t="s">
        <v>171</v>
      </c>
      <c r="E89" s="7" t="s">
        <v>94</v>
      </c>
      <c r="F89" s="47" t="str">
        <f>E89</f>
        <v>demersal</v>
      </c>
      <c r="G89" s="8"/>
      <c r="H89" s="6" t="s">
        <v>173</v>
      </c>
      <c r="I89" s="47" t="str">
        <f>H89</f>
        <v>elongated</v>
      </c>
      <c r="K89" s="6" t="s">
        <v>83</v>
      </c>
      <c r="L89" s="47" t="str">
        <f t="shared" si="30"/>
        <v>Subtropical</v>
      </c>
      <c r="N89" s="44" t="s">
        <v>90</v>
      </c>
      <c r="O89" s="64" t="s">
        <v>175</v>
      </c>
      <c r="P89" s="64" t="s">
        <v>175</v>
      </c>
      <c r="Q89" s="64" t="s">
        <v>175</v>
      </c>
      <c r="R89" s="56">
        <v>54</v>
      </c>
    </row>
    <row r="90" spans="1:18" x14ac:dyDescent="0.2">
      <c r="B90" s="71" t="s">
        <v>66</v>
      </c>
      <c r="C90" s="21">
        <v>44358</v>
      </c>
      <c r="D90" s="8" t="s">
        <v>179</v>
      </c>
      <c r="E90" s="7" t="s">
        <v>82</v>
      </c>
      <c r="F90" s="47" t="str">
        <f>E90</f>
        <v>benthopelagic</v>
      </c>
      <c r="G90" s="8"/>
      <c r="H90" s="6" t="s">
        <v>172</v>
      </c>
      <c r="I90" s="47" t="str">
        <f>H90</f>
        <v>fusiform</v>
      </c>
      <c r="K90" s="6" t="s">
        <v>83</v>
      </c>
      <c r="L90" s="47" t="str">
        <f t="shared" si="30"/>
        <v>Subtropical</v>
      </c>
      <c r="N90" s="44" t="s">
        <v>90</v>
      </c>
      <c r="O90" s="64" t="s">
        <v>175</v>
      </c>
      <c r="P90" s="64" t="s">
        <v>175</v>
      </c>
      <c r="Q90" s="64" t="s">
        <v>175</v>
      </c>
      <c r="R90" s="56" t="s">
        <v>274</v>
      </c>
    </row>
    <row r="91" spans="1:18" x14ac:dyDescent="0.2">
      <c r="B91" s="71" t="s">
        <v>223</v>
      </c>
      <c r="C91" s="24">
        <v>44642</v>
      </c>
      <c r="D91" s="20" t="s">
        <v>229</v>
      </c>
      <c r="E91" s="19" t="s">
        <v>82</v>
      </c>
      <c r="F91" t="s">
        <v>82</v>
      </c>
      <c r="H91" s="6" t="s">
        <v>174</v>
      </c>
      <c r="I91" s="47" t="str">
        <f t="shared" ref="I91" si="31">H91</f>
        <v>short/deep</v>
      </c>
      <c r="K91" s="19" t="s">
        <v>83</v>
      </c>
      <c r="L91" s="47" t="str">
        <f t="shared" si="30"/>
        <v>Subtropical</v>
      </c>
      <c r="N91" s="44" t="s">
        <v>85</v>
      </c>
    </row>
    <row r="92" spans="1:18" x14ac:dyDescent="0.2">
      <c r="B92" s="71" t="s">
        <v>225</v>
      </c>
      <c r="C92" s="24">
        <v>44642</v>
      </c>
      <c r="D92" s="20" t="s">
        <v>230</v>
      </c>
      <c r="E92" s="19" t="s">
        <v>82</v>
      </c>
      <c r="F92" t="s">
        <v>82</v>
      </c>
      <c r="H92" s="19" t="s">
        <v>173</v>
      </c>
      <c r="I92" t="s">
        <v>173</v>
      </c>
      <c r="K92" s="6" t="s">
        <v>83</v>
      </c>
      <c r="L92" s="47" t="str">
        <f t="shared" si="30"/>
        <v>Subtropical</v>
      </c>
      <c r="N92" s="44" t="s">
        <v>97</v>
      </c>
      <c r="O92" s="52" t="s">
        <v>175</v>
      </c>
      <c r="P92" s="53" t="s">
        <v>175</v>
      </c>
      <c r="Q92" s="53" t="s">
        <v>175</v>
      </c>
      <c r="R92" s="56">
        <v>410</v>
      </c>
    </row>
    <row r="93" spans="1:18" ht="17" x14ac:dyDescent="0.2">
      <c r="B93" s="71" t="s">
        <v>226</v>
      </c>
      <c r="C93" s="24">
        <v>44642</v>
      </c>
      <c r="D93" s="20" t="s">
        <v>231</v>
      </c>
      <c r="E93" s="19" t="s">
        <v>82</v>
      </c>
      <c r="F93" t="s">
        <v>82</v>
      </c>
      <c r="H93" s="19" t="s">
        <v>193</v>
      </c>
      <c r="I93" s="49" t="s">
        <v>173</v>
      </c>
      <c r="J93" s="29" t="s">
        <v>232</v>
      </c>
      <c r="K93" s="6" t="s">
        <v>89</v>
      </c>
      <c r="L93" s="47" t="str">
        <f t="shared" si="30"/>
        <v>Temperate</v>
      </c>
      <c r="N93" s="44" t="s">
        <v>93</v>
      </c>
      <c r="O93" s="66" t="s">
        <v>307</v>
      </c>
      <c r="P93" s="53">
        <v>0.72</v>
      </c>
      <c r="Q93" s="53" t="s">
        <v>348</v>
      </c>
      <c r="R93" s="56">
        <v>403</v>
      </c>
    </row>
    <row r="94" spans="1:18" x14ac:dyDescent="0.2">
      <c r="B94" s="71" t="s">
        <v>227</v>
      </c>
      <c r="C94" s="24">
        <v>44642</v>
      </c>
      <c r="D94" s="20" t="s">
        <v>233</v>
      </c>
      <c r="E94" s="19" t="s">
        <v>82</v>
      </c>
      <c r="F94" t="s">
        <v>82</v>
      </c>
      <c r="H94" s="19" t="s">
        <v>193</v>
      </c>
      <c r="I94" t="s">
        <v>172</v>
      </c>
      <c r="K94" s="6" t="s">
        <v>87</v>
      </c>
      <c r="L94" s="47" t="str">
        <f t="shared" si="30"/>
        <v>Tropical</v>
      </c>
      <c r="N94" s="44" t="s">
        <v>90</v>
      </c>
    </row>
    <row r="95" spans="1:18" x14ac:dyDescent="0.2">
      <c r="B95" s="71" t="s">
        <v>228</v>
      </c>
      <c r="C95" s="24">
        <v>44642</v>
      </c>
      <c r="D95" s="20" t="s">
        <v>234</v>
      </c>
      <c r="E95" s="19" t="s">
        <v>94</v>
      </c>
      <c r="F95" t="s">
        <v>94</v>
      </c>
      <c r="H95" s="19" t="s">
        <v>193</v>
      </c>
      <c r="I95" s="47" t="s">
        <v>172</v>
      </c>
      <c r="K95" s="6" t="s">
        <v>99</v>
      </c>
      <c r="L95" s="47" t="str">
        <f t="shared" si="30"/>
        <v>Polar</v>
      </c>
      <c r="N95" s="44" t="s">
        <v>97</v>
      </c>
      <c r="O95" s="66" t="s">
        <v>350</v>
      </c>
      <c r="P95" s="53">
        <v>86.74</v>
      </c>
      <c r="Q95" s="53" t="s">
        <v>351</v>
      </c>
      <c r="R95" s="56">
        <v>413</v>
      </c>
    </row>
    <row r="96" spans="1:18" s="38" customFormat="1" x14ac:dyDescent="0.2">
      <c r="B96" s="73" t="s">
        <v>224</v>
      </c>
      <c r="C96" s="35">
        <v>44642</v>
      </c>
      <c r="D96" s="36" t="s">
        <v>235</v>
      </c>
      <c r="E96" s="37" t="s">
        <v>157</v>
      </c>
      <c r="F96" s="38" t="s">
        <v>129</v>
      </c>
      <c r="G96" s="36"/>
      <c r="H96" s="37" t="s">
        <v>173</v>
      </c>
      <c r="I96" s="38" t="s">
        <v>173</v>
      </c>
      <c r="J96" s="36"/>
      <c r="K96" s="39" t="s">
        <v>83</v>
      </c>
      <c r="L96" s="40" t="str">
        <f t="shared" si="30"/>
        <v>Subtropical</v>
      </c>
      <c r="M96" s="36"/>
      <c r="N96" s="46" t="s">
        <v>97</v>
      </c>
      <c r="O96" s="37"/>
      <c r="R96" s="60"/>
    </row>
    <row r="97" spans="2:18" x14ac:dyDescent="0.2">
      <c r="B97" s="74" t="s">
        <v>237</v>
      </c>
      <c r="C97" s="24">
        <v>46033</v>
      </c>
      <c r="D97" s="20" t="s">
        <v>240</v>
      </c>
      <c r="E97" s="19" t="s">
        <v>82</v>
      </c>
      <c r="F97" t="s">
        <v>82</v>
      </c>
      <c r="H97" s="19" t="s">
        <v>193</v>
      </c>
      <c r="I97" s="47" t="s">
        <v>172</v>
      </c>
      <c r="K97" s="19" t="s">
        <v>89</v>
      </c>
      <c r="L97" s="47" t="str">
        <f t="shared" si="30"/>
        <v>Temperate</v>
      </c>
      <c r="N97" s="44" t="s">
        <v>81</v>
      </c>
      <c r="O97" s="52" t="s">
        <v>175</v>
      </c>
      <c r="P97" s="53" t="s">
        <v>175</v>
      </c>
      <c r="Q97" s="53" t="s">
        <v>175</v>
      </c>
      <c r="R97" s="56">
        <v>1002</v>
      </c>
    </row>
    <row r="98" spans="2:18" x14ac:dyDescent="0.2">
      <c r="B98" s="68" t="s">
        <v>239</v>
      </c>
      <c r="C98" s="24">
        <v>46033</v>
      </c>
      <c r="D98" s="20" t="s">
        <v>238</v>
      </c>
      <c r="E98" s="7" t="s">
        <v>86</v>
      </c>
      <c r="F98" s="47" t="str">
        <f t="shared" ref="F98" si="32">E98</f>
        <v>reef-associated</v>
      </c>
      <c r="H98" s="19" t="s">
        <v>193</v>
      </c>
      <c r="I98" s="47" t="s">
        <v>172</v>
      </c>
      <c r="K98" s="6" t="s">
        <v>87</v>
      </c>
      <c r="L98" s="47" t="str">
        <f t="shared" ref="L98" si="33">K98</f>
        <v>Tropical</v>
      </c>
      <c r="N98" s="44" t="s">
        <v>85</v>
      </c>
      <c r="O98" s="52" t="s">
        <v>175</v>
      </c>
      <c r="P98" s="53" t="s">
        <v>175</v>
      </c>
      <c r="Q98" s="53" t="s">
        <v>175</v>
      </c>
      <c r="R98" s="56" t="s">
        <v>286</v>
      </c>
    </row>
    <row r="99" spans="2:18" x14ac:dyDescent="0.2">
      <c r="B99" s="68" t="s">
        <v>242</v>
      </c>
      <c r="C99" s="24">
        <v>46033</v>
      </c>
      <c r="D99" s="20" t="s">
        <v>241</v>
      </c>
      <c r="E99" s="7" t="s">
        <v>86</v>
      </c>
      <c r="F99" s="47" t="str">
        <f t="shared" ref="F99:F100" si="34">E99</f>
        <v>reef-associated</v>
      </c>
      <c r="H99" s="19" t="s">
        <v>193</v>
      </c>
      <c r="I99" s="47" t="s">
        <v>172</v>
      </c>
      <c r="K99" s="6" t="s">
        <v>87</v>
      </c>
      <c r="L99" s="47" t="str">
        <f t="shared" ref="L99" si="35">K99</f>
        <v>Tropical</v>
      </c>
      <c r="N99" s="44" t="s">
        <v>93</v>
      </c>
      <c r="O99" s="66" t="s">
        <v>324</v>
      </c>
      <c r="P99" s="53">
        <v>184.32</v>
      </c>
      <c r="Q99" s="53" t="s">
        <v>325</v>
      </c>
      <c r="R99" s="56">
        <v>1006</v>
      </c>
    </row>
    <row r="100" spans="2:18" x14ac:dyDescent="0.2">
      <c r="B100" s="68" t="s">
        <v>244</v>
      </c>
      <c r="C100" s="24">
        <v>46033</v>
      </c>
      <c r="D100" s="20" t="s">
        <v>243</v>
      </c>
      <c r="E100" s="7" t="s">
        <v>86</v>
      </c>
      <c r="F100" s="47" t="str">
        <f t="shared" si="34"/>
        <v>reef-associated</v>
      </c>
      <c r="H100" s="6" t="s">
        <v>174</v>
      </c>
      <c r="I100" s="47" t="str">
        <f t="shared" ref="I100" si="36">H100</f>
        <v>short/deep</v>
      </c>
      <c r="K100" s="6" t="s">
        <v>87</v>
      </c>
      <c r="L100" s="47" t="str">
        <f t="shared" ref="L100:L105" si="37">K100</f>
        <v>Tropical</v>
      </c>
      <c r="N100" s="44" t="s">
        <v>85</v>
      </c>
    </row>
    <row r="101" spans="2:18" x14ac:dyDescent="0.2">
      <c r="B101" s="68" t="s">
        <v>246</v>
      </c>
      <c r="C101" s="24">
        <v>46033</v>
      </c>
      <c r="D101" s="20" t="s">
        <v>245</v>
      </c>
      <c r="E101" s="19" t="s">
        <v>94</v>
      </c>
      <c r="F101" t="s">
        <v>94</v>
      </c>
      <c r="H101" s="19" t="s">
        <v>173</v>
      </c>
      <c r="I101" s="47" t="s">
        <v>173</v>
      </c>
      <c r="K101" s="19" t="s">
        <v>89</v>
      </c>
      <c r="L101" s="47" t="str">
        <f t="shared" si="37"/>
        <v>Temperate</v>
      </c>
      <c r="N101" s="44" t="s">
        <v>93</v>
      </c>
    </row>
    <row r="102" spans="2:18" x14ac:dyDescent="0.2">
      <c r="B102" s="68" t="s">
        <v>248</v>
      </c>
      <c r="C102" s="24">
        <v>46033</v>
      </c>
      <c r="D102" s="20" t="s">
        <v>247</v>
      </c>
      <c r="E102" s="19" t="s">
        <v>94</v>
      </c>
      <c r="F102" t="s">
        <v>94</v>
      </c>
      <c r="H102" s="19" t="s">
        <v>174</v>
      </c>
      <c r="I102" s="47" t="s">
        <v>174</v>
      </c>
      <c r="K102" s="19" t="s">
        <v>89</v>
      </c>
      <c r="L102" s="47" t="str">
        <f t="shared" si="37"/>
        <v>Temperate</v>
      </c>
      <c r="N102" s="44" t="s">
        <v>90</v>
      </c>
    </row>
    <row r="103" spans="2:18" x14ac:dyDescent="0.2">
      <c r="B103" s="68" t="s">
        <v>249</v>
      </c>
      <c r="C103" s="24">
        <v>46033</v>
      </c>
      <c r="D103" s="20" t="s">
        <v>250</v>
      </c>
      <c r="E103" s="19" t="s">
        <v>94</v>
      </c>
      <c r="F103" t="s">
        <v>94</v>
      </c>
      <c r="H103" s="19" t="s">
        <v>194</v>
      </c>
      <c r="I103" s="47" t="s">
        <v>174</v>
      </c>
      <c r="K103" s="19" t="s">
        <v>87</v>
      </c>
      <c r="L103" s="47" t="str">
        <f t="shared" si="37"/>
        <v>Tropical</v>
      </c>
      <c r="N103" s="44" t="s">
        <v>85</v>
      </c>
      <c r="O103" s="66" t="s">
        <v>326</v>
      </c>
      <c r="P103" s="62">
        <v>144.09</v>
      </c>
      <c r="Q103" s="62" t="s">
        <v>327</v>
      </c>
      <c r="R103" s="63">
        <v>1019</v>
      </c>
    </row>
    <row r="104" spans="2:18" x14ac:dyDescent="0.2">
      <c r="B104" s="68" t="s">
        <v>354</v>
      </c>
      <c r="C104" s="24">
        <v>46033</v>
      </c>
      <c r="D104" s="20" t="s">
        <v>251</v>
      </c>
      <c r="E104" s="19" t="s">
        <v>94</v>
      </c>
      <c r="F104" t="s">
        <v>94</v>
      </c>
      <c r="H104" s="19" t="s">
        <v>193</v>
      </c>
      <c r="I104" s="47" t="s">
        <v>172</v>
      </c>
      <c r="K104" s="19" t="s">
        <v>89</v>
      </c>
      <c r="L104" s="47" t="str">
        <f t="shared" ref="L104" si="38">K104</f>
        <v>Temperate</v>
      </c>
      <c r="N104" s="44" t="s">
        <v>93</v>
      </c>
    </row>
    <row r="105" spans="2:18" x14ac:dyDescent="0.2">
      <c r="B105" s="68" t="s">
        <v>252</v>
      </c>
      <c r="C105" s="24">
        <v>46033</v>
      </c>
      <c r="D105" s="20" t="s">
        <v>251</v>
      </c>
      <c r="E105" s="19" t="s">
        <v>94</v>
      </c>
      <c r="F105" t="s">
        <v>94</v>
      </c>
      <c r="H105" s="19" t="s">
        <v>193</v>
      </c>
      <c r="I105" s="47" t="s">
        <v>172</v>
      </c>
      <c r="K105" s="19" t="s">
        <v>89</v>
      </c>
      <c r="L105" s="47" t="str">
        <f t="shared" si="37"/>
        <v>Temperate</v>
      </c>
      <c r="N105" s="44" t="s">
        <v>93</v>
      </c>
    </row>
    <row r="106" spans="2:18" x14ac:dyDescent="0.2">
      <c r="B106" s="68" t="s">
        <v>253</v>
      </c>
      <c r="C106" s="24">
        <v>46033</v>
      </c>
      <c r="D106" s="20" t="s">
        <v>254</v>
      </c>
      <c r="E106" s="19" t="s">
        <v>94</v>
      </c>
      <c r="F106" t="s">
        <v>94</v>
      </c>
      <c r="H106" s="19" t="s">
        <v>193</v>
      </c>
      <c r="I106" s="47" t="s">
        <v>172</v>
      </c>
      <c r="K106" s="19" t="s">
        <v>166</v>
      </c>
      <c r="L106" s="47" t="s">
        <v>99</v>
      </c>
      <c r="N106" s="44" t="s">
        <v>97</v>
      </c>
      <c r="O106" s="66" t="s">
        <v>328</v>
      </c>
      <c r="P106" s="62">
        <v>3493.69</v>
      </c>
      <c r="Q106" s="62" t="s">
        <v>329</v>
      </c>
      <c r="R106" s="63">
        <v>1023</v>
      </c>
    </row>
    <row r="107" spans="2:18" x14ac:dyDescent="0.2">
      <c r="B107" s="68" t="s">
        <v>256</v>
      </c>
      <c r="C107" s="24">
        <v>46033</v>
      </c>
      <c r="D107" s="20" t="s">
        <v>255</v>
      </c>
      <c r="E107" s="19" t="s">
        <v>94</v>
      </c>
      <c r="F107" t="s">
        <v>94</v>
      </c>
      <c r="H107" s="19" t="s">
        <v>193</v>
      </c>
      <c r="I107" s="47" t="s">
        <v>172</v>
      </c>
      <c r="K107" s="19" t="s">
        <v>83</v>
      </c>
      <c r="L107" t="s">
        <v>83</v>
      </c>
      <c r="N107" s="44" t="s">
        <v>85</v>
      </c>
      <c r="O107" s="75" t="s">
        <v>331</v>
      </c>
      <c r="P107" s="62">
        <v>463.99</v>
      </c>
      <c r="Q107" s="62" t="s">
        <v>330</v>
      </c>
      <c r="R107" s="63">
        <v>1026</v>
      </c>
    </row>
    <row r="108" spans="2:18" x14ac:dyDescent="0.2">
      <c r="B108" s="68" t="s">
        <v>64</v>
      </c>
      <c r="C108" s="24">
        <v>46033</v>
      </c>
      <c r="D108" s="20" t="s">
        <v>257</v>
      </c>
      <c r="E108" s="19" t="s">
        <v>94</v>
      </c>
      <c r="F108" t="s">
        <v>94</v>
      </c>
      <c r="H108" s="19" t="s">
        <v>193</v>
      </c>
      <c r="I108" s="47" t="s">
        <v>172</v>
      </c>
      <c r="K108" s="19" t="s">
        <v>99</v>
      </c>
      <c r="L108" t="s">
        <v>99</v>
      </c>
      <c r="N108" s="44" t="s">
        <v>85</v>
      </c>
    </row>
    <row r="109" spans="2:18" x14ac:dyDescent="0.2">
      <c r="B109" s="68" t="s">
        <v>259</v>
      </c>
      <c r="C109" s="24">
        <v>46033</v>
      </c>
      <c r="D109" s="20" t="s">
        <v>258</v>
      </c>
      <c r="E109" s="19" t="s">
        <v>82</v>
      </c>
      <c r="F109" t="s">
        <v>82</v>
      </c>
      <c r="H109" s="19" t="s">
        <v>175</v>
      </c>
      <c r="I109" s="49" t="s">
        <v>174</v>
      </c>
      <c r="J109" s="20" t="s">
        <v>262</v>
      </c>
      <c r="K109" s="19" t="s">
        <v>87</v>
      </c>
      <c r="L109" s="47" t="s">
        <v>87</v>
      </c>
      <c r="N109" s="44" t="s">
        <v>90</v>
      </c>
      <c r="O109" s="52" t="s">
        <v>175</v>
      </c>
      <c r="P109" s="53" t="s">
        <v>175</v>
      </c>
      <c r="Q109" s="53" t="s">
        <v>175</v>
      </c>
      <c r="R109" s="56">
        <v>1016</v>
      </c>
    </row>
    <row r="110" spans="2:18" x14ac:dyDescent="0.2">
      <c r="B110" s="68" t="s">
        <v>261</v>
      </c>
      <c r="C110" s="24">
        <v>46033</v>
      </c>
      <c r="D110" s="20" t="s">
        <v>260</v>
      </c>
      <c r="E110" s="19" t="s">
        <v>129</v>
      </c>
      <c r="F110" t="s">
        <v>129</v>
      </c>
      <c r="H110" s="19" t="s">
        <v>175</v>
      </c>
      <c r="I110" s="49" t="s">
        <v>172</v>
      </c>
      <c r="J110" s="20" t="s">
        <v>263</v>
      </c>
      <c r="K110" s="19" t="s">
        <v>87</v>
      </c>
      <c r="L110" s="47" t="s">
        <v>87</v>
      </c>
      <c r="N110" s="44" t="s">
        <v>90</v>
      </c>
      <c r="O110" s="52" t="s">
        <v>175</v>
      </c>
      <c r="P110" s="53" t="s">
        <v>175</v>
      </c>
      <c r="Q110" s="53" t="s">
        <v>175</v>
      </c>
      <c r="R110" s="56">
        <v>1016</v>
      </c>
    </row>
  </sheetData>
  <mergeCells count="5">
    <mergeCell ref="L1:L2"/>
    <mergeCell ref="C1:C2"/>
    <mergeCell ref="D1:D2"/>
    <mergeCell ref="I1:J1"/>
    <mergeCell ref="O1:R1"/>
  </mergeCells>
  <hyperlinks>
    <hyperlink ref="D69" r:id="rId1" xr:uid="{B5A9923D-E15B-BD49-A930-18B81886058A}"/>
    <hyperlink ref="Q3" r:id="rId2" xr:uid="{B3B8C9EB-D7DE-4F45-881D-9A94F49DE19E}"/>
    <hyperlink ref="O34" r:id="rId3" display="https://fishbase.se/Reproduction/MaturityList.php?ID=4752" xr:uid="{E9D4810E-F3F0-9E47-B892-CB8EDECB3C02}"/>
    <hyperlink ref="O35" r:id="rId4" display="https://fishbase.se/Reproduction/MaturityList.php?ID=4755" xr:uid="{ADD744FC-1AC7-3C49-8CA4-32BA9BD1C979}"/>
    <hyperlink ref="O3" r:id="rId5" display="https://www.fishbase.se/Reproduction/MaturityList.php?ID=22903" xr:uid="{C77D3730-A005-AC45-8FB0-76B60A3670D1}"/>
    <hyperlink ref="O16" r:id="rId6" display="https://fishbase.se/Reproduction/MaturityList.php?ID=4799" xr:uid="{59F55E7B-E8E9-6D4F-8131-AD617A65B1A3}"/>
    <hyperlink ref="O20" r:id="rId7" display="https://fishbase.se/Reproduction/MaturityList.php?ID=79" xr:uid="{662E4EED-504F-F645-A486-D8583C3DF75F}"/>
    <hyperlink ref="O21" r:id="rId8" display="https://fishbase.se/Reproduction/MaturityList.php?ID=1450" xr:uid="{DCB440C3-C562-1649-86FA-69061EB637DF}"/>
    <hyperlink ref="O29" r:id="rId9" display="https://www.fishbase.se/Reproduction/MaturityList.php?ID=2420" xr:uid="{282FF721-7F83-3444-A2D1-4A2857EFECF4}"/>
    <hyperlink ref="O37" r:id="rId10" display="https://www.fishbase.se/Reproduction/MaturityList.php?ID=274" xr:uid="{8EB996A5-503C-3144-9976-9F828B63DE5F}"/>
    <hyperlink ref="O38" r:id="rId11" display="https://www.fishbase.se/Reproduction/MaturityList.php?ID=275" xr:uid="{777B9FD6-02B2-9844-9AB5-69ADC754CF65}"/>
    <hyperlink ref="O44" r:id="rId12" display="https://www.fishbase.se/Reproduction/MaturityList.php?ID=4602" xr:uid="{CFE8650A-CBEE-1A43-B4E7-AB13479B8E2F}"/>
    <hyperlink ref="Q44" r:id="rId13" xr:uid="{673B0F13-AF0F-1D43-8290-87979A162848}"/>
    <hyperlink ref="O46" r:id="rId14" display="https://www.fishbase.se/Reproduction/MaturityList.php?ID=12019" xr:uid="{DA7B981A-C3B8-2044-A7F8-2413823862D7}"/>
    <hyperlink ref="O55" r:id="rId15" display="https://fishbase.se/Reproduction/MaturityList.php?ID=282" xr:uid="{7B8FDAE0-42F8-F942-8DCE-255D8945FF99}"/>
    <hyperlink ref="O57" r:id="rId16" display="https://www.fishbase.se/Reproduction/MaturityList.php?ID=358" xr:uid="{ADAF5E79-E473-DE41-9BE7-0BBB5BD2B21F}"/>
    <hyperlink ref="O59" r:id="rId17" display="https://www.fishbase.se/Reproduction/MaturityList.php?ID=4661" xr:uid="{812466FC-261F-CE44-BB10-9F5E0886D885}"/>
    <hyperlink ref="O65" r:id="rId18" display="https://fishbase.se/Reproduction/MaturityList.php?ID=55401" xr:uid="{755D6F5A-1765-BB40-9E3C-84FBB5D3C306}"/>
    <hyperlink ref="O67" r:id="rId19" display="https://www.fishbase.se/Reproduction/MaturityList.php?ID=4691" xr:uid="{13738D92-1BBD-BA46-8AA0-B474FAB686F7}"/>
    <hyperlink ref="O68" r:id="rId20" display="https://fishbase.se/Reproduction/MaturityList.php?ID=15825" xr:uid="{0DEB5170-754D-DA49-A219-75F1D1E3C5A2}"/>
    <hyperlink ref="O79" r:id="rId21" display="https://fishbase.se/Reproduction/MaturityList.php?ID=28054" xr:uid="{52E1F93B-DEAD-8442-89ED-10A322D76456}"/>
    <hyperlink ref="O82" r:id="rId22" display="https://www.fishbase.se/Reproduction/MaturityList.php?ID=50950" xr:uid="{C8C17956-BF2F-F64D-B75F-959064EF61F7}"/>
    <hyperlink ref="O99" r:id="rId23" display="https://fishbase.se/Reproduction/MaturityList.php?ID=262" xr:uid="{8C259E52-ED97-C44E-9CF6-9BF134BB742E}"/>
    <hyperlink ref="O103" r:id="rId24" display="https://www.fishbase.se/Reproduction/MaturityList.php?ID=5529" xr:uid="{5E023FA2-AA39-EF43-B533-3D3EE9F6A5AA}"/>
    <hyperlink ref="O106" r:id="rId25" display="https://www.fishbase.se/Reproduction/MaturityList.php?ID=308" xr:uid="{EF510FC6-5C40-8546-9FA8-C86CBB783947}"/>
    <hyperlink ref="O10" r:id="rId26" display="https://www.fishbase.se/Reproduction/MaturityList.php?ID=35" xr:uid="{FC4B954A-1015-EC4F-8D53-89E3289E0166}"/>
    <hyperlink ref="O47" r:id="rId27" display="https://fishbase.se/Reproduction/MaturityList.php?ID=468" xr:uid="{947164C7-5F43-1541-833D-2C05BA7F286E}"/>
    <hyperlink ref="O80" r:id="rId28" display="https://fishbase.se/Reproduction/MaturityList.php?ID=138" xr:uid="{2E5156E2-2372-3542-9B99-08D3E2FA5755}"/>
    <hyperlink ref="O54" r:id="rId29" display="https://fishbase.se/Reproduction/MaturityList.php?ID=2" xr:uid="{1B47C648-02B5-3E42-BD54-E073D49B4D55}"/>
    <hyperlink ref="O87" r:id="rId30" display="https://fishbase.se/Reproduction/MaturityList.php?ID=1365" xr:uid="{380DEB50-F494-A54B-821C-E239C3192C8E}"/>
    <hyperlink ref="O61" r:id="rId31" display="https://www.fishbase.se/Reproduction/MaturityList.php?ID=1341" xr:uid="{366345D9-0194-084F-8499-ECD8CD5EE007}"/>
    <hyperlink ref="O93" r:id="rId32" display="https://www.fishbase.se/Reproduction/MaturityList.php?ID=3192" xr:uid="{67F6075C-7CCE-F34E-B9BE-236DCBD5FCF6}"/>
    <hyperlink ref="O95" r:id="rId33" display="https://www.fishbase.se/Reproduction/MaturityList.php?ID=1329" xr:uid="{E6C2F638-D75B-F548-94C6-2FCCECFC8DF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to.csv</vt:lpstr>
      <vt:lpstr>review.curate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Krista Kraskura</cp:lastModifiedBy>
  <dcterms:created xsi:type="dcterms:W3CDTF">2021-06-11T22:39:59Z</dcterms:created>
  <dcterms:modified xsi:type="dcterms:W3CDTF">2026-02-28T18:55:11Z</dcterms:modified>
</cp:coreProperties>
</file>