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kristakraskura/Github_repositories/KK_etal_synthesis_fish_temp_scaling/Data/"/>
    </mc:Choice>
  </mc:AlternateContent>
  <xr:revisionPtr revIDLastSave="0" documentId="13_ncr:1_{9FA4E7BC-1732-5943-B5F7-5140EAE6D740}" xr6:coauthVersionLast="47" xr6:coauthVersionMax="47" xr10:uidLastSave="{00000000-0000-0000-0000-000000000000}"/>
  <bookViews>
    <workbookView xWindow="3420" yWindow="500" windowWidth="25380" windowHeight="17500" activeTab="4" xr2:uid="{F0A9AA15-4CBC-F74A-B4FF-B69873D376A4}"/>
  </bookViews>
  <sheets>
    <sheet name="export.fishbase" sheetId="6" r:id="rId1"/>
    <sheet name="to.csv" sheetId="4" r:id="rId2"/>
    <sheet name="review.curate" sheetId="5" r:id="rId3"/>
    <sheet name="suppl.material" sheetId="7" r:id="rId4"/>
    <sheet name="archive.misc" sheetId="8" r:id="rId5"/>
    <sheet name="archive.suppl.CJFAS" sheetId="3" r:id="rId6"/>
    <sheet name="archive.Sheet2" sheetId="2" r:id="rId7"/>
    <sheet name="archive.Sheet1" sheetId="1" r:id="rId8"/>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 i="7" l="1"/>
  <c r="Z3" i="7"/>
  <c r="Y3" i="7"/>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3" i="7"/>
  <c r="Y94" i="7"/>
  <c r="Y95" i="7"/>
  <c r="Y96"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Z4"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L97" i="5"/>
  <c r="L96" i="5"/>
  <c r="L95" i="5"/>
  <c r="L94" i="5"/>
  <c r="I92" i="5"/>
  <c r="L93" i="5"/>
  <c r="L92" i="5"/>
  <c r="L77" i="5"/>
  <c r="F77" i="5"/>
  <c r="L37" i="5"/>
  <c r="F37" i="5"/>
  <c r="L27" i="5"/>
  <c r="F27" i="5"/>
  <c r="F18" i="5"/>
  <c r="F16" i="5"/>
  <c r="L14" i="5"/>
  <c r="F14" i="5"/>
  <c r="L62" i="5"/>
  <c r="F62" i="5"/>
  <c r="L88" i="5"/>
  <c r="F87" i="5"/>
  <c r="L87" i="5"/>
  <c r="I86" i="5"/>
  <c r="I77" i="5"/>
  <c r="I62" i="5"/>
  <c r="I37" i="5"/>
  <c r="I27" i="5"/>
  <c r="L91" i="5"/>
  <c r="I91" i="5"/>
  <c r="F91" i="5"/>
  <c r="L90" i="5"/>
  <c r="I90" i="5"/>
  <c r="F90" i="5"/>
  <c r="L89" i="5"/>
  <c r="I89" i="5"/>
  <c r="F89" i="5"/>
  <c r="L85" i="5"/>
  <c r="I85" i="5"/>
  <c r="F85" i="5"/>
  <c r="L84" i="5"/>
  <c r="I84" i="5"/>
  <c r="F84" i="5"/>
  <c r="L83" i="5"/>
  <c r="I83" i="5"/>
  <c r="F83" i="5"/>
  <c r="L82" i="5"/>
  <c r="I82" i="5"/>
  <c r="F82" i="5"/>
  <c r="I81" i="5"/>
  <c r="F81" i="5"/>
  <c r="L80" i="5"/>
  <c r="I80" i="5"/>
  <c r="F80" i="5"/>
  <c r="L79" i="5"/>
  <c r="F79" i="5"/>
  <c r="L78" i="5"/>
  <c r="I78" i="5"/>
  <c r="F78" i="5"/>
  <c r="L76" i="5"/>
  <c r="I76" i="5"/>
  <c r="F76" i="5"/>
  <c r="L75" i="5"/>
  <c r="I75" i="5"/>
  <c r="F75" i="5"/>
  <c r="L74" i="5"/>
  <c r="I74" i="5"/>
  <c r="F74" i="5"/>
  <c r="L73" i="5"/>
  <c r="I73" i="5"/>
  <c r="L72" i="5"/>
  <c r="I72" i="5"/>
  <c r="F72" i="5"/>
  <c r="L71" i="5"/>
  <c r="I71" i="5"/>
  <c r="F71" i="5"/>
  <c r="L70" i="5"/>
  <c r="I70" i="5"/>
  <c r="F70" i="5"/>
  <c r="L69" i="5"/>
  <c r="I69" i="5"/>
  <c r="F69" i="5"/>
  <c r="L68" i="5"/>
  <c r="I68" i="5"/>
  <c r="F68" i="5"/>
  <c r="L67" i="5"/>
  <c r="I67" i="5"/>
  <c r="F67" i="5"/>
  <c r="L66" i="5"/>
  <c r="I66" i="5"/>
  <c r="F66" i="5"/>
  <c r="L65" i="5"/>
  <c r="I65" i="5"/>
  <c r="F65" i="5"/>
  <c r="L63" i="5"/>
  <c r="I63" i="5"/>
  <c r="F63" i="5"/>
  <c r="L61" i="5"/>
  <c r="I61" i="5"/>
  <c r="F61" i="5"/>
  <c r="L64" i="5"/>
  <c r="I64" i="5"/>
  <c r="F64" i="5"/>
  <c r="L60" i="5"/>
  <c r="I60" i="5"/>
  <c r="F60" i="5"/>
  <c r="L59" i="5"/>
  <c r="I59" i="5"/>
  <c r="F59" i="5"/>
  <c r="L58" i="5"/>
  <c r="I58" i="5"/>
  <c r="F58" i="5"/>
  <c r="L57" i="5"/>
  <c r="I57" i="5"/>
  <c r="F57" i="5"/>
  <c r="L56" i="5"/>
  <c r="I56" i="5"/>
  <c r="F56" i="5"/>
  <c r="L55" i="5"/>
  <c r="I55" i="5"/>
  <c r="F55" i="5"/>
  <c r="L54" i="5"/>
  <c r="I54" i="5"/>
  <c r="F54" i="5"/>
  <c r="L53" i="5"/>
  <c r="I53" i="5"/>
  <c r="F53" i="5"/>
  <c r="L52" i="5"/>
  <c r="I52" i="5"/>
  <c r="F52" i="5"/>
  <c r="L51" i="5"/>
  <c r="I51" i="5"/>
  <c r="L50" i="5"/>
  <c r="I50" i="5"/>
  <c r="F50" i="5"/>
  <c r="L49" i="5"/>
  <c r="I49" i="5"/>
  <c r="F49" i="5"/>
  <c r="L48" i="5"/>
  <c r="I48" i="5"/>
  <c r="F48" i="5"/>
  <c r="L47" i="5"/>
  <c r="I47" i="5"/>
  <c r="F47" i="5"/>
  <c r="L46" i="5"/>
  <c r="I46" i="5"/>
  <c r="F46" i="5"/>
  <c r="L45" i="5"/>
  <c r="I45" i="5"/>
  <c r="F45" i="5"/>
  <c r="L44" i="5"/>
  <c r="I44" i="5"/>
  <c r="F44" i="5"/>
  <c r="L43" i="5"/>
  <c r="I43" i="5"/>
  <c r="F43" i="5"/>
  <c r="L42" i="5"/>
  <c r="F42" i="5"/>
  <c r="L41" i="5"/>
  <c r="I41" i="5"/>
  <c r="F41" i="5"/>
  <c r="L40" i="5"/>
  <c r="I40" i="5"/>
  <c r="F40" i="5"/>
  <c r="L39" i="5"/>
  <c r="I39" i="5"/>
  <c r="F39" i="5"/>
  <c r="L38" i="5"/>
  <c r="I38" i="5"/>
  <c r="F38" i="5"/>
  <c r="L36" i="5"/>
  <c r="I36" i="5"/>
  <c r="F36" i="5"/>
  <c r="L35" i="5"/>
  <c r="I35" i="5"/>
  <c r="F35" i="5"/>
  <c r="L34" i="5"/>
  <c r="I34" i="5"/>
  <c r="F34" i="5"/>
  <c r="L33" i="5"/>
  <c r="I33" i="5"/>
  <c r="F33" i="5"/>
  <c r="L32" i="5"/>
  <c r="I32" i="5"/>
  <c r="F32" i="5"/>
  <c r="L31" i="5"/>
  <c r="F31" i="5"/>
  <c r="L30" i="5"/>
  <c r="I30" i="5"/>
  <c r="F30" i="5"/>
  <c r="L29" i="5"/>
  <c r="I29" i="5"/>
  <c r="F29" i="5"/>
  <c r="L28" i="5"/>
  <c r="I28" i="5"/>
  <c r="F28" i="5"/>
  <c r="L26" i="5"/>
  <c r="I26" i="5"/>
  <c r="F26" i="5"/>
  <c r="L25" i="5"/>
  <c r="I25" i="5"/>
  <c r="F25" i="5"/>
  <c r="L24" i="5"/>
  <c r="I24" i="5"/>
  <c r="F24" i="5"/>
  <c r="L23" i="5"/>
  <c r="I23" i="5"/>
  <c r="F23" i="5"/>
  <c r="L22" i="5"/>
  <c r="I22" i="5"/>
  <c r="F22" i="5"/>
  <c r="L21" i="5"/>
  <c r="I21" i="5"/>
  <c r="F21" i="5"/>
  <c r="L20" i="5"/>
  <c r="I20" i="5"/>
  <c r="F20" i="5"/>
  <c r="L19" i="5"/>
  <c r="I19" i="5"/>
  <c r="F19" i="5"/>
  <c r="L17" i="5"/>
  <c r="I17" i="5"/>
  <c r="F17" i="5"/>
  <c r="L15" i="5"/>
  <c r="I15" i="5"/>
  <c r="F15" i="5"/>
  <c r="L13" i="5"/>
  <c r="I13" i="5"/>
  <c r="F13" i="5"/>
  <c r="L12" i="5"/>
  <c r="I12" i="5"/>
  <c r="F12" i="5"/>
  <c r="L11" i="5"/>
  <c r="I11" i="5"/>
  <c r="F11" i="5"/>
  <c r="L10" i="5"/>
  <c r="I10" i="5"/>
  <c r="F10" i="5"/>
  <c r="L9" i="5"/>
  <c r="I9" i="5"/>
  <c r="F9" i="5"/>
  <c r="L6" i="5"/>
  <c r="I6" i="5"/>
  <c r="F6" i="5"/>
  <c r="L5" i="5"/>
  <c r="I5" i="5"/>
  <c r="F5" i="5"/>
  <c r="L4" i="5"/>
  <c r="I4" i="5"/>
  <c r="F4" i="5"/>
  <c r="K4" i="1"/>
  <c r="N79" i="1"/>
  <c r="N78" i="1"/>
  <c r="N77" i="1"/>
  <c r="N76" i="1"/>
  <c r="N75" i="1"/>
  <c r="N74" i="1"/>
  <c r="N73"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0" i="1"/>
  <c r="N9" i="1"/>
  <c r="N8" i="1"/>
  <c r="N7" i="1"/>
  <c r="N6" i="1"/>
  <c r="N5" i="1"/>
  <c r="N4" i="1"/>
  <c r="N11" i="1"/>
  <c r="K79" i="1"/>
  <c r="K78" i="1"/>
  <c r="K77" i="1"/>
  <c r="K76" i="1"/>
  <c r="K75" i="1"/>
  <c r="K74" i="1"/>
  <c r="K73" i="1"/>
  <c r="K72" i="1"/>
  <c r="K71"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4" i="1"/>
  <c r="K33" i="1"/>
  <c r="K32" i="1"/>
  <c r="K31" i="1"/>
  <c r="K30" i="1"/>
  <c r="K29" i="1"/>
  <c r="K28" i="1"/>
  <c r="K27" i="1"/>
  <c r="K26" i="1"/>
  <c r="H26" i="1"/>
  <c r="K24" i="1"/>
  <c r="K23" i="1"/>
  <c r="K22" i="1"/>
  <c r="K21" i="1"/>
  <c r="K20" i="1"/>
  <c r="K19" i="1"/>
  <c r="K18" i="1"/>
  <c r="K17" i="1"/>
  <c r="K16" i="1"/>
  <c r="K15" i="1"/>
  <c r="K14" i="1"/>
  <c r="K13" i="1"/>
  <c r="K12" i="1"/>
  <c r="K11" i="1"/>
  <c r="K10" i="1"/>
  <c r="K9" i="1"/>
  <c r="K8" i="1"/>
  <c r="K6" i="1"/>
  <c r="K7" i="1"/>
  <c r="K5" i="1"/>
  <c r="H79" i="1"/>
  <c r="H78" i="1"/>
  <c r="H77" i="1"/>
  <c r="H76" i="1"/>
  <c r="H75" i="1"/>
  <c r="H74" i="1"/>
  <c r="H73" i="1"/>
  <c r="H72" i="1"/>
  <c r="H71" i="1"/>
  <c r="H70" i="1"/>
  <c r="H69" i="1"/>
  <c r="H68" i="1"/>
  <c r="H67" i="1"/>
  <c r="H66" i="1"/>
  <c r="H46" i="1"/>
  <c r="H47" i="1"/>
  <c r="H48" i="1"/>
  <c r="H49" i="1"/>
  <c r="H50" i="1"/>
  <c r="H51" i="1"/>
  <c r="H52" i="1"/>
  <c r="H53" i="1"/>
  <c r="H54" i="1"/>
  <c r="H55" i="1"/>
  <c r="H56" i="1"/>
  <c r="H57" i="1"/>
  <c r="H58" i="1"/>
  <c r="H59" i="1"/>
  <c r="H60" i="1"/>
  <c r="H61" i="1"/>
  <c r="H62" i="1"/>
  <c r="H63" i="1"/>
  <c r="H64" i="1"/>
  <c r="H45" i="1"/>
  <c r="H5" i="1"/>
  <c r="H6" i="1"/>
  <c r="H7" i="1"/>
  <c r="H8" i="1"/>
  <c r="H9" i="1"/>
  <c r="H10" i="1"/>
  <c r="H11" i="1"/>
  <c r="H12" i="1"/>
  <c r="H13" i="1"/>
  <c r="H14" i="1"/>
  <c r="H15" i="1"/>
  <c r="H16" i="1"/>
  <c r="H17" i="1"/>
  <c r="H18" i="1"/>
  <c r="H19" i="1"/>
  <c r="H20" i="1"/>
  <c r="H21" i="1"/>
  <c r="H22" i="1"/>
  <c r="H23" i="1"/>
  <c r="H24" i="1"/>
  <c r="H25" i="1"/>
  <c r="H27" i="1"/>
  <c r="H28" i="1"/>
  <c r="H29" i="1"/>
  <c r="H30" i="1"/>
  <c r="H31" i="1"/>
  <c r="H32" i="1"/>
  <c r="H33" i="1"/>
  <c r="H34" i="1"/>
  <c r="H35" i="1"/>
  <c r="H36" i="1"/>
  <c r="H37" i="1"/>
  <c r="H38" i="1"/>
  <c r="H39" i="1"/>
  <c r="H40" i="1"/>
  <c r="H41" i="1"/>
  <c r="H42" i="1"/>
  <c r="H43" i="1"/>
  <c r="H4" i="1"/>
</calcChain>
</file>

<file path=xl/sharedStrings.xml><?xml version="1.0" encoding="utf-8"?>
<sst xmlns="http://schemas.openxmlformats.org/spreadsheetml/2006/main" count="11399" uniqueCount="1010">
  <si>
    <t>species</t>
  </si>
  <si>
    <t>studies</t>
  </si>
  <si>
    <t>trials</t>
  </si>
  <si>
    <t>min_size</t>
  </si>
  <si>
    <t>max_size</t>
  </si>
  <si>
    <t>min_temp</t>
  </si>
  <si>
    <t>max_temp</t>
  </si>
  <si>
    <t>N</t>
  </si>
  <si>
    <t>Acanthochromis polyacanthus</t>
  </si>
  <si>
    <t>27, 38</t>
  </si>
  <si>
    <t>Acrossocheilus monticola</t>
  </si>
  <si>
    <t>Amphiprion melanopus</t>
  </si>
  <si>
    <t>Amphiprion percula</t>
  </si>
  <si>
    <t>Anguilla anguilla</t>
  </si>
  <si>
    <t>Bellapiscis medius</t>
  </si>
  <si>
    <t>Boreogadus saida</t>
  </si>
  <si>
    <t>Carassius auratus</t>
  </si>
  <si>
    <t>42, 54, 71</t>
  </si>
  <si>
    <t>Channa argus</t>
  </si>
  <si>
    <t>Chromis viridis</t>
  </si>
  <si>
    <t>Clarias gariepinus</t>
  </si>
  <si>
    <t>Ctenopharyngodon idella</t>
  </si>
  <si>
    <t>Cyprinus carpio</t>
  </si>
  <si>
    <t>Dicentrarchus labrax</t>
  </si>
  <si>
    <t>Discogobio yunnanensis</t>
  </si>
  <si>
    <t>Enteromius neumayeri</t>
  </si>
  <si>
    <t>Forsterygion lapillum</t>
  </si>
  <si>
    <t>16, 17</t>
  </si>
  <si>
    <t>Gadus morhua</t>
  </si>
  <si>
    <t>Gambusia holbrooki</t>
  </si>
  <si>
    <t>Gasterosteus aculeatus</t>
  </si>
  <si>
    <t>15, 30, 72</t>
  </si>
  <si>
    <t>Gobiocypris rarus</t>
  </si>
  <si>
    <t>Halichoeres melanurus</t>
  </si>
  <si>
    <t>Halichoeres miniatus</t>
  </si>
  <si>
    <t>Hemibagrus macropterus</t>
  </si>
  <si>
    <t>Hemibarbus maculatus</t>
  </si>
  <si>
    <t>Hypophthalmichthys molitrix</t>
  </si>
  <si>
    <t>Hypophthalmichthys nobilis</t>
  </si>
  <si>
    <t>Lates calcarifer</t>
  </si>
  <si>
    <t>5, 9, 10, 22</t>
  </si>
  <si>
    <t>Lates niloticus</t>
  </si>
  <si>
    <t>33, 35</t>
  </si>
  <si>
    <t>Megalobrama pellegrini</t>
  </si>
  <si>
    <t>Metahomaloptera omeiensis</t>
  </si>
  <si>
    <t>Misgurnus anguillicaudatus</t>
  </si>
  <si>
    <t>Mylopharyngodon piceus</t>
  </si>
  <si>
    <t>54, 76, 77</t>
  </si>
  <si>
    <t>Myxocyprinus asiaticus</t>
  </si>
  <si>
    <t>Neogobius melanostomus</t>
  </si>
  <si>
    <t>Notothenia rossii</t>
  </si>
  <si>
    <t>Oncorhynchus kisutch</t>
  </si>
  <si>
    <t>Oncorhynchus mykiss</t>
  </si>
  <si>
    <t>12, 18, 43</t>
  </si>
  <si>
    <t>Oncorhynchus nerka</t>
  </si>
  <si>
    <t>Oncorhynchus tshawytscha</t>
  </si>
  <si>
    <t>Paralichthys olivaceus</t>
  </si>
  <si>
    <t>Perca fluviatilis</t>
  </si>
  <si>
    <t>70, 204</t>
  </si>
  <si>
    <t>Percocypris pingi</t>
  </si>
  <si>
    <t>Phoxinus phoxinus</t>
  </si>
  <si>
    <t>4, 6, 40</t>
  </si>
  <si>
    <t>Polyprion oxygeneios</t>
  </si>
  <si>
    <t>11, 14</t>
  </si>
  <si>
    <t>Pomacentrus amboinensis</t>
  </si>
  <si>
    <t>Procypris rabaudi</t>
  </si>
  <si>
    <t>Pseudobagrus vachellii</t>
  </si>
  <si>
    <t>Pseudorasbora parva</t>
  </si>
  <si>
    <t>Rhinogobius giurinus</t>
  </si>
  <si>
    <t>Rhodeus ocellatus</t>
  </si>
  <si>
    <t>Salmo salar</t>
  </si>
  <si>
    <t>13, 24</t>
  </si>
  <si>
    <t>Salmo trutta</t>
  </si>
  <si>
    <t>2, 19, 20, 203</t>
  </si>
  <si>
    <t>Salvelinus alpinus</t>
  </si>
  <si>
    <t>Schizothorax wangchiachii</t>
  </si>
  <si>
    <t>Silurus meridionalis</t>
  </si>
  <si>
    <t>Sinibrama taeniatus</t>
  </si>
  <si>
    <t>Siniperca chuatsi</t>
  </si>
  <si>
    <t>Somniosus microcephalus</t>
  </si>
  <si>
    <t>Spinibarbus sinensis</t>
  </si>
  <si>
    <t>Tachysurus dumerili</t>
  </si>
  <si>
    <t>Tautogolabrus adspersus</t>
  </si>
  <si>
    <t>Thalassoma amblycephalum</t>
  </si>
  <si>
    <t>Trematomus bernacchii</t>
  </si>
  <si>
    <t>Triplophysa rosa</t>
  </si>
  <si>
    <t>54, 78</t>
  </si>
  <si>
    <t>Zacco platypus</t>
  </si>
  <si>
    <t>Abbottina rivularis</t>
  </si>
  <si>
    <t>42, 52, 54</t>
  </si>
  <si>
    <t>52, 54</t>
  </si>
  <si>
    <t>15, 72</t>
  </si>
  <si>
    <t>Hemiculter leucisculus</t>
  </si>
  <si>
    <t>5, 9</t>
  </si>
  <si>
    <t>52, 54, 200</t>
  </si>
  <si>
    <t>Onychostoma simum</t>
  </si>
  <si>
    <t>Opsariichthys bidens</t>
  </si>
  <si>
    <t>Oreochromis niloticus</t>
  </si>
  <si>
    <t>Parabramis pekinensis</t>
  </si>
  <si>
    <t>56, 70, 204</t>
  </si>
  <si>
    <t>4, 6</t>
  </si>
  <si>
    <t>Piaractus mesopotamicus</t>
  </si>
  <si>
    <t>Poecilia reticulata</t>
  </si>
  <si>
    <t>Rhodeus sinensis</t>
  </si>
  <si>
    <t>19, 20, 203</t>
  </si>
  <si>
    <t>Sarcocheilichthys parvus</t>
  </si>
  <si>
    <t>RMR</t>
  </si>
  <si>
    <t>MMR</t>
  </si>
  <si>
    <t xml:space="preserve">Salinty </t>
  </si>
  <si>
    <t>Climate</t>
  </si>
  <si>
    <t>Morphology</t>
  </si>
  <si>
    <t>Lifestyle</t>
  </si>
  <si>
    <t>https://www.fishbase.de/summary/Abbottina-rivularis.html</t>
  </si>
  <si>
    <t>Freshwater; brackish</t>
  </si>
  <si>
    <t>benthopelagic</t>
  </si>
  <si>
    <t>Subtropical</t>
  </si>
  <si>
    <t>https://www.fishbase.se/summary/6655</t>
  </si>
  <si>
    <t>Marine</t>
  </si>
  <si>
    <t>reef-associated</t>
  </si>
  <si>
    <t>Tropical</t>
  </si>
  <si>
    <t>https://www.fishbase.se/summary/55155</t>
  </si>
  <si>
    <t>Temperate</t>
  </si>
  <si>
    <t>Freshwater</t>
  </si>
  <si>
    <t>https://www.fishbase.se/summary/Amphiprion-melanopus</t>
  </si>
  <si>
    <t>https://www.fishbase.de/summary/amphiprion-percula.html</t>
  </si>
  <si>
    <t>Marine; freshwater; brackish</t>
  </si>
  <si>
    <t>demersal</t>
  </si>
  <si>
    <t>https://www.fishbase.se/summary/Bellapiscis-medius.html</t>
  </si>
  <si>
    <t>https://www.fishbase.se/summary/Anguilla-anguilla.html</t>
  </si>
  <si>
    <t>Marine; brackish</t>
  </si>
  <si>
    <t>https://www.fishbase.se/summary/Boreogadus-saida.html</t>
  </si>
  <si>
    <t>Polar</t>
  </si>
  <si>
    <t>https://www.fishbase.se/summary/271</t>
  </si>
  <si>
    <t>https://www.fishbase.de/summary/4799</t>
  </si>
  <si>
    <t>https://www.fishbase.se/summary/Ctenopharyngodon-idella.html</t>
  </si>
  <si>
    <t>https://www.fishbase.se/summary/clarias-gariepinus.html</t>
  </si>
  <si>
    <t>https://www.fishbase.se/summary/cyprinus-carpio.html</t>
  </si>
  <si>
    <t>https://www.fishbase.se/summary/Dicentrarchus-labrax.html</t>
  </si>
  <si>
    <t>https://www.fishbase.se/summary/Discogobio-yunnanensis</t>
  </si>
  <si>
    <t>https://www.fishbase.se/summary/11430</t>
  </si>
  <si>
    <t>https://www.fishbase.se/summary/12940</t>
  </si>
  <si>
    <t>https://www.fishbase.se/summary/gadus-morhua.html</t>
  </si>
  <si>
    <t>https://www.fishbase.de/summary/gambusia-holbrooki.html</t>
  </si>
  <si>
    <t>https://www.fishbase.de/summary/Gasterosteus-aculeatus.html</t>
  </si>
  <si>
    <t>https://www.fishbase.se/summary/Gobiocypris-rarus.html</t>
  </si>
  <si>
    <t>https://www.fishbase.de/summary/4858</t>
  </si>
  <si>
    <t>https://www.fishbase.in/summary/6614</t>
  </si>
  <si>
    <t>https://www.fishbase.se/summary/hemibagrus-macropterus.html</t>
  </si>
  <si>
    <t>https://www.fishbase.de/summary/Hemibarbus-maculatus</t>
  </si>
  <si>
    <t>https://www.fishbase.se/summary/4755</t>
  </si>
  <si>
    <t>https://www.fishbase.de/summary/274</t>
  </si>
  <si>
    <t>https://www.fishbase.se/summary/Hypophthalmichthys-nobilis.html</t>
  </si>
  <si>
    <t>https://www.fishbase.se/summary/Lates-calcarifer.html</t>
  </si>
  <si>
    <t>https://www.fishbase.se/summary/lates-niloticus.html</t>
  </si>
  <si>
    <t>https://www.fishbase.in/summary/Megalobrama-pellegrini.html</t>
  </si>
  <si>
    <t>https://www.fishbase.se/summary/Metahomaloptera-omeiensis.html</t>
  </si>
  <si>
    <t>https://www.fishbase.se/summary/3016</t>
  </si>
  <si>
    <t>https://www.fishbase.se/summary/Mylopharyngodon-piceus.html</t>
  </si>
  <si>
    <t>https://www.fishbase.se/summary/12304</t>
  </si>
  <si>
    <t>https://www.fishbase.de/summary/neogobius-melanostomus.html</t>
  </si>
  <si>
    <t>https://www.fishbase.se/summary/468</t>
  </si>
  <si>
    <t>pelagic</t>
  </si>
  <si>
    <t>https://www.fishbase.se/summary/245</t>
  </si>
  <si>
    <t>https://www.fishbase.de/summary/oncorhynchus-mykiss.html</t>
  </si>
  <si>
    <t>https://www.fishbase.se/summary/oncorhynchus-nerka.html</t>
  </si>
  <si>
    <t>pelagic-oceanic</t>
  </si>
  <si>
    <t>https://www.fishbase.de/summary/244</t>
  </si>
  <si>
    <t>Date last accessed</t>
  </si>
  <si>
    <t>https://www.fishbase.in/summary/Onychostoma-simum</t>
  </si>
  <si>
    <t>https://www.fishbase.se/summary/27264</t>
  </si>
  <si>
    <t>https://www.fishbase.se/summary/oreochromis-niloticus.html</t>
  </si>
  <si>
    <t>tropical</t>
  </si>
  <si>
    <t>https://www.fishbase.se/summary/Paralichthys-olivaceus.html</t>
  </si>
  <si>
    <t>https://www.fishbase.in/summary/Parabramis-pekinensis</t>
  </si>
  <si>
    <t>https://www.fishbase.se/summary/56074</t>
  </si>
  <si>
    <t>https://www.fishbase.se/summary/perca-fluviatilis.html</t>
  </si>
  <si>
    <t>https://www.fishbase.de/summary/Phoxinus-phoxinus.html</t>
  </si>
  <si>
    <t>https://www.fishbase.se/summary/55383</t>
  </si>
  <si>
    <t>https://www.fishbase.se/summary/350</t>
  </si>
  <si>
    <t>https://www.fishbase.se/summary/5715</t>
  </si>
  <si>
    <t>https://www.fishbase.de/summary/3228</t>
  </si>
  <si>
    <t>https://www.fishbase.se/summary/50950</t>
  </si>
  <si>
    <t>https://www.fishbase.de/summary/4691</t>
  </si>
  <si>
    <t>https://www.fishbase.se/summary/Rhinogobius-giurinus</t>
  </si>
  <si>
    <t>https://www.fishbase.in/summary/Procypris-rabaudi.html</t>
  </si>
  <si>
    <t>https://www.fishbase.se/summary/Rhodeus-ocellatus.html</t>
  </si>
  <si>
    <t>https://www.fishbase.se/summary/salmo-salar.html</t>
  </si>
  <si>
    <t>https://www.fishbase.se/summary/Rhodeus-sinensis.html</t>
  </si>
  <si>
    <t>https://www.fishbase.se/summary/Salmo-trutta.html</t>
  </si>
  <si>
    <t>pelagic-neritic</t>
  </si>
  <si>
    <t>https://www.fishbase.de/summary/Salvelinus-alpinus.html</t>
  </si>
  <si>
    <t>https://www.fishbase.se/summary/Sarcocheilichthys-parvus.html</t>
  </si>
  <si>
    <t>https://www.fishbase.de/summary/Silurus-meridionalis.html</t>
  </si>
  <si>
    <t>https://www.fishbase.se/summary/Sinibrama-taeniatus.html</t>
  </si>
  <si>
    <t>https://www.fishbase.se/summary/Schizothorax-wangchiachii.html</t>
  </si>
  <si>
    <t>https://www.fishbase.de/summary/Siniperca-chuatsi.html</t>
  </si>
  <si>
    <t>https://www.fishbase.de/summary/62460</t>
  </si>
  <si>
    <t>https://www.fishbase.de/summary/Somniosus-microcephalus.html</t>
  </si>
  <si>
    <t>Boreal</t>
  </si>
  <si>
    <t>https://www.fishbase.se/summary/Tautogolabrus-adspersus.html</t>
  </si>
  <si>
    <t>https://www.fishbase.de/summary/50980</t>
  </si>
  <si>
    <t>https://www.fishbase.de/summary/5642</t>
  </si>
  <si>
    <t>https://www.fishbase.se/summary/7053</t>
  </si>
  <si>
    <t>https://www.fishbase.se/summary/62957</t>
  </si>
  <si>
    <t>fusiform</t>
  </si>
  <si>
    <t>elongated</t>
  </si>
  <si>
    <t>short/deep</t>
  </si>
  <si>
    <t>NA</t>
  </si>
  <si>
    <t>eel-like</t>
  </si>
  <si>
    <t>(source link)</t>
  </si>
  <si>
    <t>(source R fishbase)</t>
  </si>
  <si>
    <t>LINK</t>
  </si>
  <si>
    <t>https://www.fishbase.in/summary/Zacco-platypus.html</t>
  </si>
  <si>
    <t xml:space="preserve">RMR </t>
  </si>
  <si>
    <t>AMR</t>
  </si>
  <si>
    <t>https://www.fishbase.in/fishonline/english/fol_biodiversityandmorphology.htm</t>
  </si>
  <si>
    <t>Justification of any change from Fishbase.org</t>
  </si>
  <si>
    <t>Suggested categorisation (changed hi-lighted)</t>
  </si>
  <si>
    <t>This species was previously categorised as pelagic in its standalone group by Killen et al Am Nat 2016 (https://doi.org/10.1086/685893)</t>
  </si>
  <si>
    <t xml:space="preserve">fusiform </t>
  </si>
  <si>
    <r>
      <rPr>
        <b/>
        <sz val="12"/>
        <color theme="1"/>
        <rFont val="Calibri (Body)"/>
      </rPr>
      <t>Two references:</t>
    </r>
    <r>
      <rPr>
        <sz val="12"/>
        <color theme="1"/>
        <rFont val="Calibri (Body)"/>
      </rPr>
      <t xml:space="preserve"> 1) Xiong, D., Xie, C. &amp; Xia, L. Threatened fishes of the world: Gobiocypris rarus Ye and Fu, 1983 (Cypinidae). Environ Biol Fish 86, 107 (2009). 2) Yan Shao, Jianwei Wang, Ye Qiao, Yongfeng He, Wenxuan Cao "Morphological Variability Between Wild Populations and Inbred Stocks of a Chinese Minnow, Gobiocypris rarus," Zoological Science, 24(11), 1094-1102, (1 November 2007)</t>
    </r>
  </si>
  <si>
    <r>
      <t>Chen, J., Guo, J., Wang, Z.-Q. and Wang, W.-M.</t>
    </r>
    <r>
      <rPr>
        <sz val="12"/>
        <color theme="1"/>
        <rFont val="Calibri"/>
        <family val="2"/>
        <scheme val="minor"/>
      </rPr>
      <t xml:space="preserve"> (2020). Morphological variation among the four Megalobrama species inferred by X-ray photography. </t>
    </r>
    <r>
      <rPr>
        <i/>
        <sz val="12"/>
        <color theme="1"/>
        <rFont val="Calibri"/>
        <family val="2"/>
        <scheme val="minor"/>
      </rPr>
      <t>Aquaculture Research</t>
    </r>
    <r>
      <rPr>
        <sz val="12"/>
        <color theme="1"/>
        <rFont val="Calibri"/>
        <family val="2"/>
        <scheme val="minor"/>
      </rPr>
      <t xml:space="preserve"> </t>
    </r>
    <r>
      <rPr>
        <b/>
        <sz val="12"/>
        <color theme="1"/>
        <rFont val="Calibri"/>
        <family val="2"/>
        <scheme val="minor"/>
      </rPr>
      <t>51</t>
    </r>
    <r>
      <rPr>
        <sz val="12"/>
        <color theme="1"/>
        <rFont val="Calibri"/>
        <family val="2"/>
        <scheme val="minor"/>
      </rPr>
      <t>, 3999–4010.</t>
    </r>
  </si>
  <si>
    <t>Xie, Z.-gui., Xie, C-xin, Zhang, E. (2003). Morphological Variations Among the Chinese Species of Sinibrama (Pisces：Teleostei: Cyprinidae), with Comments on Their Species Validities.  ISSN 0254—5853</t>
  </si>
  <si>
    <t>Classified as polar by the original authors from where the metabolic rate data are obtained: Qiuoted sentence: "large polar ectotherm such as the Greenland shark (…)".  Ste-Marie, E., Watanabe, Y. Y., Semmens, J. M., Marcoux, M. and Hussey, N. E. (2020). A first look at the metabolic rate of Greenland sharks (Somniosus microcephalus) in the Canadian Arctic. Sci Rep 10, 19297.</t>
  </si>
  <si>
    <t xml:space="preserve">USE THESE FOR THE MANUSCRIPT </t>
  </si>
  <si>
    <t>Suggested categorisation (changed from Fishbase are hi-lighted)</t>
  </si>
  <si>
    <t>Suggested categorisation (changed  from Fishbase.org are hi-lighted)</t>
  </si>
  <si>
    <t>Source: Fishbase online (see source link column )</t>
  </si>
  <si>
    <t xml:space="preserve">Fishabes.org species information url. </t>
  </si>
  <si>
    <t>y</t>
  </si>
  <si>
    <t xml:space="preserve">Any Changes from the online and corresponding justification. </t>
  </si>
  <si>
    <t xml:space="preserve">Morphology justification. Was not available via Fishbase R interface. Classified following the reference: Xie, Z.-gui., Xie, C-xin, Zhang, E. (2003). Morphological Variations Among the Chinese Species of Sinibrama (Pisces：Teleostei: Cyprinidae), with Comments on Their Species Validities.  ISSN 0254—5853 </t>
  </si>
  <si>
    <t>Morphology justification. Was not available via Fishbase R interface. Classified following the reference: Chen, J., Guo, J., Wang, Z.-Q. and Wang, W.-M. (2020). Morphological variation among the four Megalobrama species inferred by X-ray photography. Aquaculture Research 51, 3999–4010.</t>
  </si>
  <si>
    <t>Lifestyle classification: Fishbase.org classified as pelagic-oceanic. This species was previously categorised as pelagic in its standalone group by Killen et al Am Nat 2016 (https://doi.org/10.1086/685893)</t>
  </si>
  <si>
    <t>Lifestyle classification. Fishbase.org classified as pelagic-neritic.This species was previously categorised as pelagic in its standalone group by Killen et al Am Nat 2016 (https://doi.org/10.1086/685893)</t>
  </si>
  <si>
    <t>Sourced online from fishbase.org</t>
  </si>
  <si>
    <t>Sourced from database: 'rfishbase' package in R</t>
  </si>
  <si>
    <t>SALINITY</t>
  </si>
  <si>
    <t>CLIMATE</t>
  </si>
  <si>
    <t>LIFESTYLE</t>
  </si>
  <si>
    <t>Species latin name</t>
  </si>
  <si>
    <t>Fishabes.org species information url. (all last accessed in June 11, 2021)</t>
  </si>
  <si>
    <t>MORPHO-LOGY</t>
  </si>
  <si>
    <t xml:space="preserve">fusiform  </t>
  </si>
  <si>
    <t xml:space="preserve">Morphology justification. Was not available via Fishbase R interface. Classified following two references: 1) Xiong, D., Xie, C. &amp; Xia, L. Threatened fishes of the world: Gobiocypris rarus Ye and Fu, 1983 (Cypinidae). Environ Biol Fish 86, 107 (2009). 2) Yan Shao, Jianwei Wang, Ye Qiao, Yongfeng He, Wenxuan Cao "Morphological Variability Between Wild Populations and Inbred Stocks of a Chinese Minnow, Gobiocypris rarus," Zoological Science, 24(11), 1094-1102, (1 November 2007) </t>
  </si>
  <si>
    <t>Climate classification. Fishbase.org classified as boreal. Classified as polar by the original authors from where the metabolic rate data are obtained: Qiuoted sentence: "large polar ectotherm such as the Greenland shark (…)".  Ste-Marie, E., Watanabe, Y. Y., Semmens, J. M., Marcoux, M. and Hussey, N. E. (2020). A first look at the metabolic rate of Greenland sharks (Somniosus microcephalus) in the Canadian Arctic. Sci Rep 10, 19297.</t>
  </si>
  <si>
    <r>
      <rPr>
        <b/>
        <sz val="12"/>
        <color theme="1"/>
        <rFont val="Times New Roman"/>
        <family val="1"/>
      </rPr>
      <t xml:space="preserve">Morphology justification. Was not available via Fishbase R interface. Classified following </t>
    </r>
    <r>
      <rPr>
        <sz val="12"/>
        <color theme="1"/>
        <rFont val="Times New Roman"/>
        <family val="1"/>
      </rPr>
      <t xml:space="preserve">two references: 1) Xiong, D., Xie, C. &amp; Xia, L. Threatened fishes of the world: Gobiocypris rarus Ye and Fu, 1983 (Cypinidae). Environ Biol Fish 86, 107 (2009). 2) Yan Shao, Jianwei Wang, Ye Qiao, Yongfeng He, Wenxuan Cao "Morphological Variability Between Wild Populations and Inbred Stocks of a Chinese Minnow, Gobiocypris rarus," Zoological Science, 24(11), 1094-1102, (1 November 2007) </t>
    </r>
  </si>
  <si>
    <r>
      <rPr>
        <b/>
        <sz val="12"/>
        <color theme="1"/>
        <rFont val="Times New Roman"/>
        <family val="1"/>
      </rPr>
      <t>Morphology justification. Was not available via Fishbase R interface. Classified following the reference:</t>
    </r>
    <r>
      <rPr>
        <sz val="12"/>
        <color theme="1"/>
        <rFont val="Times New Roman"/>
        <family val="1"/>
      </rPr>
      <t xml:space="preserve"> Chen, J., Guo, J., Wang, Z.-Q. and Wang, W.-M. (2020). Morphological variation among the four Megalobrama species inferred by X-ray photography. Aquaculture Research 51, 3999–4010.</t>
    </r>
  </si>
  <si>
    <r>
      <rPr>
        <b/>
        <sz val="12"/>
        <color theme="1"/>
        <rFont val="Times New Roman"/>
        <family val="1"/>
      </rPr>
      <t xml:space="preserve">Climate classification. Fishbase.org classified as boreal. </t>
    </r>
    <r>
      <rPr>
        <sz val="12"/>
        <color theme="1"/>
        <rFont val="Times New Roman"/>
        <family val="1"/>
      </rPr>
      <t>Classified as polar by the original authors from where the metabolic rate data are obtained: Qiuoted sentence: "large polar ectotherm such as the Greenland shark (…)".  Ste-Marie, E., Watanabe, Y. Y., Semmens, J. M., Marcoux, M. and Hussey, N. E. (2020). A first look at the metabolic rate of Greenland sharks (Somniosus microcephalus) in the Canadian Arctic. Sci Rep 10, 19297.</t>
    </r>
  </si>
  <si>
    <t xml:space="preserve">N </t>
  </si>
  <si>
    <t>fusiform-normal</t>
  </si>
  <si>
    <t>short and-or deep</t>
  </si>
  <si>
    <t>Chromis atripectoralis</t>
  </si>
  <si>
    <t>Sciaenops ocellatus</t>
  </si>
  <si>
    <t>Caesio cuning</t>
  </si>
  <si>
    <t>Fundulus grandis</t>
  </si>
  <si>
    <t>Centropristis striata</t>
  </si>
  <si>
    <t>Hemiscyllium ocellatum</t>
  </si>
  <si>
    <t>Platichthys flesus</t>
  </si>
  <si>
    <t>Trachurus trachurus</t>
  </si>
  <si>
    <t>Torpedo marmorata</t>
  </si>
  <si>
    <t>other</t>
  </si>
  <si>
    <t>Amphiprion chrysopterus</t>
  </si>
  <si>
    <t>Amatitlania nigrofasciata</t>
  </si>
  <si>
    <t>Thunnus orientalis</t>
  </si>
  <si>
    <t>https://www.fishbase.se/summary/Torpedo-marmorata.html</t>
  </si>
  <si>
    <t>Species clasification categorised in a greater already existing group 'Pelagic' in place of 'pelagic-neritic'</t>
  </si>
  <si>
    <t>https://www.fishbase.se/summary/Trachurus-trachurus.html</t>
  </si>
  <si>
    <t>Dorsoventrallly flattenend fish, ray</t>
  </si>
  <si>
    <t>Species clasification categorised in a greater already existing group 'Pelagic' in place of 'pelagic-oceanic'</t>
  </si>
  <si>
    <t>https://www.fishbase.de/summary/14290</t>
  </si>
  <si>
    <t>dorsoventr. flattened</t>
  </si>
  <si>
    <t>https://www.fishbase.de/summary/platichthys-flesus.html</t>
  </si>
  <si>
    <t>https://www.fishbase.se/summary/amatitlania-nigrofasciata.html</t>
  </si>
  <si>
    <t>https://www.fishbase.se/summary/Caesio-cuning.html</t>
  </si>
  <si>
    <t>https://www.fishbase.in/summary/Amphiprion-chrysopterus.html</t>
  </si>
  <si>
    <t>https://www.fishbase.se/summary/Centropristis-striata.html</t>
  </si>
  <si>
    <t>https://www.fishbase.se/summary/chromis-atripectoralis.html</t>
  </si>
  <si>
    <t>https://www.fishbase.in/summary/Fundulus-grandis.html</t>
  </si>
  <si>
    <t>https://www.fishbase.de/summary/Hemiscyllium-ocellatum.html</t>
  </si>
  <si>
    <t>lifestyle</t>
  </si>
  <si>
    <t>climate</t>
  </si>
  <si>
    <t>morphology</t>
  </si>
  <si>
    <t>salinity</t>
  </si>
  <si>
    <t>in CJFAS</t>
  </si>
  <si>
    <t>https://www.fishbase.de/summary/1191</t>
  </si>
  <si>
    <t>dorsoventr flattened</t>
  </si>
  <si>
    <t>SpecCode</t>
  </si>
  <si>
    <t>Genus</t>
  </si>
  <si>
    <t>SpeciesRefNo</t>
  </si>
  <si>
    <t>Author</t>
  </si>
  <si>
    <t>FBname</t>
  </si>
  <si>
    <t>PicPreferredName</t>
  </si>
  <si>
    <t>PicPreferredNameM</t>
  </si>
  <si>
    <t>PicPreferredNameF</t>
  </si>
  <si>
    <t>PicPreferredNameJ</t>
  </si>
  <si>
    <t>FamCode</t>
  </si>
  <si>
    <t>Subfamily</t>
  </si>
  <si>
    <t>GenCode</t>
  </si>
  <si>
    <t>SubGenCode</t>
  </si>
  <si>
    <t>BodyShapeI</t>
  </si>
  <si>
    <t>Source</t>
  </si>
  <si>
    <t>AuthorRef</t>
  </si>
  <si>
    <t>Remark</t>
  </si>
  <si>
    <t>TaxIssue</t>
  </si>
  <si>
    <t>Fresh</t>
  </si>
  <si>
    <t>Brack</t>
  </si>
  <si>
    <t>Saltwater</t>
  </si>
  <si>
    <t>DemersPelag</t>
  </si>
  <si>
    <t>Amphibious</t>
  </si>
  <si>
    <t>AmphibiousRef</t>
  </si>
  <si>
    <t>AnaCat</t>
  </si>
  <si>
    <t>MigratRef</t>
  </si>
  <si>
    <t>DepthRangeShallow</t>
  </si>
  <si>
    <t>DepthRangeDeep</t>
  </si>
  <si>
    <t>DepthRangeRef</t>
  </si>
  <si>
    <t>DepthRangeComShallow</t>
  </si>
  <si>
    <t>DepthRangeComDeep</t>
  </si>
  <si>
    <t>DepthComRef</t>
  </si>
  <si>
    <t>LongevityWild</t>
  </si>
  <si>
    <t>LongevityWildRef</t>
  </si>
  <si>
    <t>LongevityCaptive</t>
  </si>
  <si>
    <t>LongevityCapRef</t>
  </si>
  <si>
    <t>Vulnerability</t>
  </si>
  <si>
    <t>Length</t>
  </si>
  <si>
    <t>LTypeMaxM</t>
  </si>
  <si>
    <t>LengthFemale</t>
  </si>
  <si>
    <t>LTypeMaxF</t>
  </si>
  <si>
    <t>MaxLengthRef</t>
  </si>
  <si>
    <t>CommonLength</t>
  </si>
  <si>
    <t>LTypeComM</t>
  </si>
  <si>
    <t>CommonLengthF</t>
  </si>
  <si>
    <t>LTypeComF</t>
  </si>
  <si>
    <t>CommonLengthRef</t>
  </si>
  <si>
    <t>Weight</t>
  </si>
  <si>
    <t>WeightFemale</t>
  </si>
  <si>
    <t>MaxWeightRef</t>
  </si>
  <si>
    <t>Pic</t>
  </si>
  <si>
    <t>PictureFemale</t>
  </si>
  <si>
    <t>LarvaPic</t>
  </si>
  <si>
    <t>EggPic</t>
  </si>
  <si>
    <t>ImportanceRef</t>
  </si>
  <si>
    <t>Importance</t>
  </si>
  <si>
    <t>PriceCateg</t>
  </si>
  <si>
    <t>PriceReliability</t>
  </si>
  <si>
    <t>Remarks7</t>
  </si>
  <si>
    <t>LandingStatistics</t>
  </si>
  <si>
    <t>Landings</t>
  </si>
  <si>
    <t>MainCatchingMethod</t>
  </si>
  <si>
    <t>II</t>
  </si>
  <si>
    <t>MSeines</t>
  </si>
  <si>
    <t>MGillnets</t>
  </si>
  <si>
    <t>MCastnets</t>
  </si>
  <si>
    <t>MTraps</t>
  </si>
  <si>
    <t>MSpears</t>
  </si>
  <si>
    <t>MTrawls</t>
  </si>
  <si>
    <t>MDredges</t>
  </si>
  <si>
    <t>MLiftnets</t>
  </si>
  <si>
    <t>MHooksLines</t>
  </si>
  <si>
    <t>MOther</t>
  </si>
  <si>
    <t>UsedforAquaculture</t>
  </si>
  <si>
    <t>LifeCycle</t>
  </si>
  <si>
    <t>AquacultureRef</t>
  </si>
  <si>
    <t>UsedasBait</t>
  </si>
  <si>
    <t>BaitRef</t>
  </si>
  <si>
    <t>Aquarium</t>
  </si>
  <si>
    <t>AquariumFishII</t>
  </si>
  <si>
    <t>AquariumRef</t>
  </si>
  <si>
    <t>GameFish</t>
  </si>
  <si>
    <t>GameRef</t>
  </si>
  <si>
    <t>Dangerous</t>
  </si>
  <si>
    <t>DangerousRef</t>
  </si>
  <si>
    <t>Electrogenic</t>
  </si>
  <si>
    <t>ElectroRef</t>
  </si>
  <si>
    <t>Complete</t>
  </si>
  <si>
    <t>GoogleImage</t>
  </si>
  <si>
    <t>Comments</t>
  </si>
  <si>
    <t>Profile</t>
  </si>
  <si>
    <t>PD50</t>
  </si>
  <si>
    <t>Emblematic</t>
  </si>
  <si>
    <t>Entered</t>
  </si>
  <si>
    <t>DateEntered</t>
  </si>
  <si>
    <t>Modified</t>
  </si>
  <si>
    <t>DateModified</t>
  </si>
  <si>
    <t>Expert</t>
  </si>
  <si>
    <t>DateChecked</t>
  </si>
  <si>
    <t>TS</t>
  </si>
  <si>
    <t>Tautogolabrus</t>
  </si>
  <si>
    <t>(Walbaum, 1792)</t>
  </si>
  <si>
    <t>Cunner</t>
  </si>
  <si>
    <t>Taads_u0.jpg</t>
  </si>
  <si>
    <t>O</t>
  </si>
  <si>
    <t>TL</t>
  </si>
  <si>
    <t>very high</t>
  </si>
  <si>
    <t>Reliable: based on ex-vessel price for this species</t>
  </si>
  <si>
    <t>seines</t>
  </si>
  <si>
    <t>never/rarely</t>
  </si>
  <si>
    <t>commercial</t>
  </si>
  <si>
    <t>based mainly on capture</t>
  </si>
  <si>
    <t>harmless</t>
  </si>
  <si>
    <t>no special ability</t>
  </si>
  <si>
    <t>Inhabits shallow, inshore waters, living on or near the bottom, often congregating in masses around wharves, wrecks and submerged seaweed.  During winter they become torpid and remain inshore under rocks in shallow water (Ref. 5951).</t>
  </si>
  <si>
    <t>Neogobius</t>
  </si>
  <si>
    <t>(Pallas, 1814)</t>
  </si>
  <si>
    <t>Round goby</t>
  </si>
  <si>
    <t>Nemel_uc.jpg</t>
  </si>
  <si>
    <t>Nemel_j3.jpg</t>
  </si>
  <si>
    <t>Gobiinae</t>
  </si>
  <si>
    <t>amphidromous</t>
  </si>
  <si>
    <t>Very questionable: based on ex-vessel price for species in this family</t>
  </si>
  <si>
    <t>Consumed as food.</t>
  </si>
  <si>
    <t xml:space="preserve"> </t>
  </si>
  <si>
    <t>occasionally</t>
  </si>
  <si>
    <t>potential pest</t>
  </si>
  <si>
    <t>Prefer shallow, brackish waters but also occur in fresh waters (Ref. 36771); in lagoons and lakes, large rivers, harbors, on sand or rock bottom; mostly found on well vegetated or rock bottom (Ref. 59043).  Can tolerate a temperature range of 0 to 30¬∞C, but mainly thrive in warm _x000D_
temperate waters; able to tolerate low oxygen content waters for several days (Ref. 36771).  Oviparous, with demersal eggs (Ref. 36771).  Longevity up to 4 years.  Males reproduce for the first time at 3-4 years, females at 2-3 years. Spawning season in April to September; females may repeat spawning during a season, every 18-20 days; body of males entirely black during this season.  Adhesive eggs deposited on stones, shells and aquatic plants; males guard eggs until hatching and usually die after spawning season.  Egg clutches are supposed to be occasionally transported attached to the hull of ships, facilitating introduction to other areas.  Feeds on a wide variety of invertebrates and small fish, mostly on molluscs (Ref. 59043). Due to its large size, it has a major commercial value in some areas, especially in Azov Sea. It is usually salted, dried and consumed with beer (Ref. 92840).</t>
  </si>
  <si>
    <t>Phoxinus</t>
  </si>
  <si>
    <t>(Linnaeus, 1758)</t>
  </si>
  <si>
    <t>Eurasian minnow</t>
  </si>
  <si>
    <t>Phpho_u8.jpg</t>
  </si>
  <si>
    <t>Phoxininae</t>
  </si>
  <si>
    <t>potamodromous</t>
  </si>
  <si>
    <t>PHPHO_U0</t>
  </si>
  <si>
    <t>minor commercial</t>
  </si>
  <si>
    <t>unknown</t>
  </si>
  <si>
    <t>usually</t>
  </si>
  <si>
    <t>based mainly on breeding</t>
  </si>
  <si>
    <t>Gregarious (Ref. 2196).  Found in a wide range of cold and well oxygenated habitats from small, fast-flowing streams to large Nordic lowland rivers and from small upland lakes to large oligotrophic lakes.  Usually occurs in association with salmonid fishes (Ref. 59043).  Feeds on algae, plant debris (in rivers), mollusks, crustaceans and insects (Ref. 30578).  Spawns over clean gravel areas in flowing water or on wave-washed shores of lakes.  Overwinters in coarse substrate or in deep pools with low current (Ref. 59043).  Migrates upstream for spawning in shallow gravel areas.  Important laboratory fish, for research on sensory organs of fishes.  Mean maximum age is 6 years (Ref. 41616).  Locally threatened due to pollution and excessive stocking of species of &lt;i&gt;Salmo&lt;/i&gt; (Ref. 59043).</t>
  </si>
  <si>
    <t>Lates</t>
  </si>
  <si>
    <t>(Bloch, 1790)</t>
  </si>
  <si>
    <t>Barramundi</t>
  </si>
  <si>
    <t>Lacal_u6.jpg</t>
  </si>
  <si>
    <t>catadromous</t>
  </si>
  <si>
    <t>NG</t>
  </si>
  <si>
    <t>LACAL_U1</t>
  </si>
  <si>
    <t>highly commercial</t>
  </si>
  <si>
    <t>from 10,000 to 50,000</t>
  </si>
  <si>
    <t>gillnets</t>
  </si>
  <si>
    <t>life cycle closed in commercial culture</t>
  </si>
  <si>
    <t>public aquariums</t>
  </si>
  <si>
    <t>Found in coastal waters, estuaries and lagoons, in clear to turbid water (Ref. 5259, 44894).  A diadromous fish, inhabiting rivers before returning to the estuaries to spawn.  A protandrous hermaphrodite (Ref. 32209).  Larvae and young juveniles live in brackish temporary swamps associated with estuaries, and older juveniles inhabit the upper reaches of rivers (Ref. 6390, 44894).  Have preference for cover on undercut banks, submerged logs and overhanging vegetation (Ref. 44894).  Feed on fishes and crustaceans.  They reach 1500-3000 g in one year in ponds under optimum conditions (Ref. 11046, 44894).  Juveniles also eat insects (Ref. 44894).  Sold fresh and frozen; consumed steamed, pan-fried, broiled and baked (Ref. 9987).  A very popular and sought-after fish of very considerable economic importance (Ref. 9799).  Presently used for aquaculture in Thailand, Indonesia and Australia (Ref. 9799).  Australia's most important commercial fish and one of the most popular angling species (Ref. 44894).</t>
  </si>
  <si>
    <t>Boreogadus</t>
  </si>
  <si>
    <t>(Lepechin, 1774)</t>
  </si>
  <si>
    <t>Polar cod</t>
  </si>
  <si>
    <t>Bosai_u0.jpg</t>
  </si>
  <si>
    <t>R</t>
  </si>
  <si>
    <t>oceanodromous</t>
  </si>
  <si>
    <t>BOSAI_U0</t>
  </si>
  <si>
    <t>high</t>
  </si>
  <si>
    <t>Catches are declining.</t>
  </si>
  <si>
    <t>from 50,000 to 100,000</t>
  </si>
  <si>
    <t>from USSR in area 61</t>
  </si>
  <si>
    <t>trawls</t>
  </si>
  <si>
    <t>unspecified bottom trawls (TB)</t>
  </si>
  <si>
    <t>Occurs in coastal habitats during summer and winter (Ref. 1371).  Cryopelagic or epontic, from surface down to 1383 m (Ref. 58426).  In the Beaufort Sea, it may also be found in brackish lagoons and in almost fresh water in river mouths (Ref. 1371).  Although associated with the occurrence of ice (White Sea), it is present in ice-free near-shore waters (Alaska) (Ref. 1371).  Onshore-offshore movements are associated with spawning and movements of the ice (Ref. 27547).  Feeds mostly on epibenthic mysids, also amphipods, copepods and fishes (Ref. 1371).  Also caught with mid-water trawls (Ref. 1371).  Utilized as fishmeal and source of oil (Ref. 1371).  Euryhaline and eurythermic.</t>
  </si>
  <si>
    <t>Gasterosteus</t>
  </si>
  <si>
    <t>Linnaeus, 1758</t>
  </si>
  <si>
    <t>Three-spined stickleback</t>
  </si>
  <si>
    <t>Gaacu_u1.jpg</t>
  </si>
  <si>
    <t>Gaacu_m0.jpg</t>
  </si>
  <si>
    <t>Gaacu_f0.jpg</t>
  </si>
  <si>
    <t>Gaacu_j0.gif</t>
  </si>
  <si>
    <t>anadromous</t>
  </si>
  <si>
    <t>GAACU_U0</t>
  </si>
  <si>
    <t>Scandinavia</t>
  </si>
  <si>
    <t>Adults occur in fresh waters, estuaries and coastal seas (Ref. 4119).  Anadromous, with numerous non-anadromous populations in brackish or pure freshwater, rarely in marine waters.  In the sea, confined to coastal waters.  In freshwater, adults prefer to live in small stream but may occur in a variety of habitats including lakes and large rivers (Ref. 59043).  Inhabit shallow vegetated areas, usually over mud or sand (Ref. 5723).  Form schools.  Young associated with drifting seaweed (Ref. 12114, 12115).  Juveniles move to the sea (anadromous populations) or to deeper, larger water bodies (freshwater populations) in July-August, forming large feeding schools (Ref. 59043).  Feed on worms, crustaceans, larvae and adult aquatic insects, drowned aerial insects, and small fishes; has also been reported to feed on their own fry and eggs (Ref. 1998).  Eggs are found in nests constructed from plant material (Ref. 41678).  Males build, guard and aerate the nest where the eggs are deposited (Ref. 205).  Maximum length in freshwater is 8 cm while in saltwater is 11 cm (Ref. 35388).  Occasionally taken commercially in Scandinavia and processed into fishmeal and oil (Ref. 28219, 28964).  Commonly used as a laboratory animal (Ref. 1998).  A large bibliography is available at www.geocities.com/CapeCanaveral/Hall/1345/stickbibl.html.</t>
  </si>
  <si>
    <t>Salmo</t>
  </si>
  <si>
    <t>Sea trout</t>
  </si>
  <si>
    <t>Satru_u2.jpg</t>
  </si>
  <si>
    <t>Satru_uc.jpg</t>
  </si>
  <si>
    <t>Salmoninae</t>
  </si>
  <si>
    <t>SL</t>
  </si>
  <si>
    <t>SATRU_U2</t>
  </si>
  <si>
    <t>from 1,000 to 10,000</t>
  </si>
  <si>
    <t>Finland in area 27</t>
  </si>
  <si>
    <t>Found in streams, ponds, rivers and lakes (Ref. 5951).  Individuals spend 1 to 5 years in fresh water and 6 months to 5 years in salt water (Ref. 51442).  Juveniles mature in 3-4 years (Ref. 6885).  Lacustrine populations undertake migration to tributaries and lake outlets to spawn, rarely spawning on stone, wave-washed lake shores.  Spawns in rivers and streams with swift current, usually characterized by downward movement of water intro gravel (Ref. 59043).  Spawning takes place normally more than one time (Ref. 51442).  They prefer cold, well-oxygenated upland waters although their tolerance limits are lower than those of rainbow trout and favors large streams in the mountainous areas with adequate cover in the form of submerged rocks, undercut banks, and overhanging vegetation (Ref. 6465).  Life history and spawning behavior is similar to the salmon &lt;i&gt;Salmo salar&lt;/i&gt; (Ref. 51442).  Each female produces about 10.000 eggs (Ref. 35388, Ref. 51442).  Mainly diurnal (Ref. 682).  Sea and lake trouts forage in pelagic and littoral habitats, while sea trouts mainly close to coast, not very far from estuary of natal river (Ref. 59043).  Juveniles feed mainly on aquatic and terrestrial insects; adults on mollusks, crustaceans and small fish (Ref. 26523, Ref. 51442).  Marketed fresh and smoked; eaten fried, broiled, boiled, cooked in microwave, and baked (Ref. 9988).</t>
  </si>
  <si>
    <t>Pomacentrus</t>
  </si>
  <si>
    <t>Bleeker, 1868</t>
  </si>
  <si>
    <t>Ambon damsel</t>
  </si>
  <si>
    <t>Poamb_u5.jpg</t>
  </si>
  <si>
    <t>Pomacentrinae</t>
  </si>
  <si>
    <t>An ubiquitous species found in lagoons, coastal reefs, passages and outer reef slopes.  Inhabits sandy areas around coral or rock outcrops or other protective shelter.  Adults are usually in small groups (Ref. 48636).  Feed primarily on algae, but also takes zooplankton.  Oviparous, distinct pairing during breeding (Ref. 205).  Eggs are demersal and adhere to the substrate (Ref. 205).  Males guard and aerate the eggs (Ref. 205).  Have been reared in captivity (Ref. 35404.</t>
  </si>
  <si>
    <t>Enteromius</t>
  </si>
  <si>
    <t>(Fischer, 1884)</t>
  </si>
  <si>
    <t>Neumayer's barb</t>
  </si>
  <si>
    <t>Baneu_u0.jpg</t>
  </si>
  <si>
    <t>Smiliogastrinae</t>
  </si>
  <si>
    <t>Nile perch</t>
  </si>
  <si>
    <t>Lanil_u2.jpg</t>
  </si>
  <si>
    <t>LANIL_U1</t>
  </si>
  <si>
    <t>from 100,000 to 500,000</t>
  </si>
  <si>
    <t>beach seines (SB)</t>
  </si>
  <si>
    <t>Inhabits channels, lakes and irrigation canals; adults inhabit deep water, while juveniles are found in shallow water (Ref. 81652).  Feeds on fish especially clupeids and &lt;i&gt;Alestes&lt;/i&gt; (Ref. 13851); smaller fish also feed on larger crustaceans and insects.  Juveniles are planktivorous (Ref. 28714).  Threatened due to over harvesting (Ref. 58490).  No length type given but assumed to be in TL.  Maximum reported size of 180.0 cm corresponding to a weight of 164 kg in Lake Albert (Ref. 81285).</t>
  </si>
  <si>
    <t>Halichoeres</t>
  </si>
  <si>
    <t>(Valenciennes, 1839)</t>
  </si>
  <si>
    <t>Circle-cheek wrasse</t>
  </si>
  <si>
    <t>Hamin_u4.jpg</t>
  </si>
  <si>
    <t>Corinae</t>
  </si>
  <si>
    <t>HAMIN_U2</t>
  </si>
  <si>
    <t>Found solitary or in small groups (Ref. 90102) in coastal, very shallow and usually algae-rocky coastal reefs (Ref. 48636).</t>
  </si>
  <si>
    <t>(Bleeker, 1851)</t>
  </si>
  <si>
    <t>Tail-spot wrasse</t>
  </si>
  <si>
    <t>Hamel_m9.jpg</t>
  </si>
  <si>
    <t>Hamel_m4.jpg</t>
  </si>
  <si>
    <t>Hamel_f2.jpg</t>
  </si>
  <si>
    <t>HAMEL_U3</t>
  </si>
  <si>
    <t>HAMEL_F1</t>
  </si>
  <si>
    <t>Found mostly on shallow coral reefs and rocky shores (Ref. 9823).  Found solitary or in small groups on sheltered reefs over 15 m depth (Ref. 90102). Feed on small invertebrates such as polychaetes, copepods, isopods and forams (Ref. 1602).</t>
  </si>
  <si>
    <t>Thalassoma</t>
  </si>
  <si>
    <t>(Bleeker, 1856)</t>
  </si>
  <si>
    <t>Bluntheaded wrasse</t>
  </si>
  <si>
    <t>Thamb_m2.jpg</t>
  </si>
  <si>
    <t>of no interest</t>
  </si>
  <si>
    <t>Occurs in aggregations over shallow lagoon and seaward reefs (Ref. 9710) and on reef flats (Ref. 9823).  Feeds mainly on crustacean zooplankton (Ref. 1602).  Spawns at dusk above reefs (Ref. 90102).  Rarely marketed (Ref. 2334).</t>
  </si>
  <si>
    <t>Chromis</t>
  </si>
  <si>
    <t>Welander &amp; Schultz, 1951</t>
  </si>
  <si>
    <t>Black-axil chromis</t>
  </si>
  <si>
    <t>Chatr_uh.jpg</t>
  </si>
  <si>
    <t>non-migratory</t>
  </si>
  <si>
    <t>CHATR_U1</t>
  </si>
  <si>
    <t>subsistence fisheries</t>
  </si>
  <si>
    <t>Adults inhabit clear lagoons, passages, and seaward reef slopes, in thickets of live or dead coral.  They occur in large aggregations feeding above staghorn &lt;i&gt;Acropora&lt;/i&gt; corals (Ref. 9710).  Stomach contents of individuals examined included mainly copepods, amphipods, and zoea.  Diurnal species (Ref. 54980; 113699).  Oviparous, distinct pairing during breeding (Ref. 205).  Eggs are demersal and adhere to the substrate (Ref. 205).  Males guard and aerate the eggs (Ref. 205).</t>
  </si>
  <si>
    <t>Acanthochromis</t>
  </si>
  <si>
    <t>(Bleeker, 1855)</t>
  </si>
  <si>
    <t>Spiny chromis</t>
  </si>
  <si>
    <t>Acpol_u0.jpg</t>
  </si>
  <si>
    <t>Acpol_j2.jpg</t>
  </si>
  <si>
    <t>ACPOL_U6</t>
  </si>
  <si>
    <t>Adults inhabit inshore and offshore coral reefs (Ref. 9710).  Also found in harbors, lagoons and outer reef slopes.  The only pomacentrid species that lacks a pelagic larval stage.  One of the very few marine fishes where fry are guarded by the parents (Ref. 9710, 48636).  School as they grow and sub-adults are usually seen in small groups.  Adults form pairs and are territorial when breeding (Ref. 48636).  Monogamous (Ref. 52884).  Oviparous (Ref. 205).  Eggs are demersal and adhere to the substrate (Ref. 205).  Males guard and aerate the eggs (Ref. 205).</t>
  </si>
  <si>
    <t>Oncorhynchus</t>
  </si>
  <si>
    <t>Rainbow trout</t>
  </si>
  <si>
    <t>Onmyk_f0.jpg</t>
  </si>
  <si>
    <t>ONMYK_U2</t>
  </si>
  <si>
    <t>low</t>
  </si>
  <si>
    <t>Important game fish.</t>
  </si>
  <si>
    <t>hooks and lines</t>
  </si>
  <si>
    <t>Inhabit clear, cold headwaters, creeks, small to large rivers, lakes, and intertidal areas (Ref. 86798).  Anadromous in coastal streams (Ref. 5723).  Stocked in almost all water bodies as lakes, rivers and streams, usually not stocked in water reaching summer temperatures above 25¬∞C or ponds with very low oxygen concentrations.  Feed on a variety of aquatic and terrestrial invertebrates and small fishes. At the sea, they prey on fish and cephalopods.  Mature individuals undertake short spawning migrations.  Anadromous and lake forms may migrate long distances to spawning streams (Ref. 59043). Utilized fresh, smoked, canned, and frozen; eaten steamed, fried, broiled, boiled, microwaved and baked (Ref. 9988).  Cultured in many countries and is often hatched and stocked into rivers and lakes especially to attract recreational fishers (Ref. 9988).</t>
  </si>
  <si>
    <t>Carassius</t>
  </si>
  <si>
    <t>Goldfish</t>
  </si>
  <si>
    <t>Caaurau1.jpg</t>
  </si>
  <si>
    <t>Cyprininae</t>
  </si>
  <si>
    <t>CAAUR_UA</t>
  </si>
  <si>
    <t>Inhabit rivers, lakes, ponds and ditches (Ref. 5258, 10294) with stagnant or slow-flowing water (Ref. 30578).  Occur in eutrophic waters, well vegetated ponds and canals (Ref. 59043).  Live better in cold water.  Feed mainly on plankton, benthic invertebrates, plant material and detritus (Ref. 59043).  Goldfish lay eggs on submerged vegetation.  Females spawn multiple times during the spawning period (Ref. 88808).  Oviparous, with pelagic larvae.  They last long in captivity (Ref. 7248).  Maximum recorded salinity is 17 ppt (Ref. 39171), but unable to withstand prolonged exposure above 15 ppt (Ref. 39172, 39174).  Used as an experimental species (Ref. 4537).  Valued as ornamental fish for ponds and aquaria; edible but rarely eaten (Ref. 9987).  Aquarium keeping:  in groups of 5 or more individuals; minimum aquarium size 100 cm (Ref. 51539).  Reported individual hooked by an angler in a lake in Poole, Dorset measured 40 cm (16 in), weighing 2.3 kg (Practical Fishkeeping, 2010).</t>
  </si>
  <si>
    <t>Dicentrarchus</t>
  </si>
  <si>
    <t>European seabass</t>
  </si>
  <si>
    <t>Dilab_u8.jpg</t>
  </si>
  <si>
    <t>DILAB_U0</t>
  </si>
  <si>
    <t>DILAB_L0</t>
  </si>
  <si>
    <t>Mainly FAO Fishing Areas 37 and 34.</t>
  </si>
  <si>
    <t>Adults manifest demersal behavior, inhabit coastal waters down to about 100 m depth but more common in shallow waters (Ref. 54221, 57391). Found in the littoral zone on various kinds of bottoms on estuaries, lagoons and occasionally rivers.  They enter coastal waters and river mouths in summer, but migrate offshore in colder weather and occur in deep water during winter in the northern range.  Young fish form school, but adults appear to be less gregarious (Ref. 9987).  Feed chiefly on shrimps and mollusks, also on fishes (Ref. 5990).  Juveniles feed on invertebrates, taking increasingly more fish with age. Adults piscivorous . (Ref. 59043).  Spawn in batches (Ref. 51846).  Spawning takes place in the spring near the British Isles, and earlier in its southern range.  Eggs are pelagic (Ref. 35388).  Marketed fresh or smoked (Ref. 9987).  Highly sought by sport fishermen (Ref. 30578).</t>
  </si>
  <si>
    <t>Onychostoma</t>
  </si>
  <si>
    <t>(Sauvage &amp; Dabry de Thiersant, 1874)</t>
  </si>
  <si>
    <t>Onsim_u0.jpg</t>
  </si>
  <si>
    <t>Acrossocheilinae</t>
  </si>
  <si>
    <t>Hypophthalmichthys</t>
  </si>
  <si>
    <t>(Valenciennes, 1844)</t>
  </si>
  <si>
    <t>Silver carp</t>
  </si>
  <si>
    <t>Hymol_u5.jpg</t>
  </si>
  <si>
    <t>HYMOL_U0</t>
  </si>
  <si>
    <t>more than 500,000</t>
  </si>
  <si>
    <t>Found in their natural range in rivers with marked water-level fluctuations and overwinters in middle and lower stretches, swimming just beneath the surface.  They feed in shallow (0.5-1.0 m deep) and warm (over 21¬∞C) backwaters, lakes and flooded areas with slow current on phytoplankton and zooplankton (Ref. 30578, 10294).  Bigger individuals from about 1.5 cm SL feed only on phytoplankton while larvae and small juveniles prey on zooplankton (Ref. 59043).  Adults breed in rivers or tributaries over shallow rapids with gravel or sand bottom, in upper water layer or even at surface during floods when the water level increases by 50-120 cm above normal level.  Conditions for spawning include high current (0.5-1.7 m/s), turbid water, temperatures above 15¬∞C (usually 18-26¬∞C)  and high oxygen concentrations (Ref. 59043).  Spawning ceases if conditions change (especially sensitive to water-level fall) and resumes again when water level increases.  Juveniles and adults form large schools during spawning season.  Mature individuals undertake long distance upriver migration at start of a rapid flood and water-level increase, able to leap over obstacles up to 1 m.  After spawning, adults migrate to foraging habitats,  In autumn, adults move to deeper places in main course of river where they remain without feeding.  Larvae drift downstream and settle in floodplain lakes, shallow shores and backwaters with little or no current (Ref. 59043).  In aquaculture, it can survive brackish water (up to 7 ppt) when released into estuaries and coastal lakes (Ref. 59043).  Escape from fish farms are widely known even as they are stocked in large rivers and almost all still water bodies like lakes and ponds.  Utilized fresh for human consumption and also introduced to many countries where its ability to clean reservoirs and other waters of clogging algae is appreciated even more than its food value (Ref. 9987).  One of among 3 or 4 species of cyprinids whose world production in aquaculture exceeds 1 million tons per year (Ref. 30578).</t>
  </si>
  <si>
    <t>Rhodeus</t>
  </si>
  <si>
    <t>(Kner, 1866)</t>
  </si>
  <si>
    <t>Rosy bitterling</t>
  </si>
  <si>
    <t>Rhoce_u1.jpg</t>
  </si>
  <si>
    <t>RHOCE_M0</t>
  </si>
  <si>
    <t>RHOCE_F0</t>
  </si>
  <si>
    <t>Found in shallow ponds and marshes of plains, and adjacent irrigation canals (Ref. 41299).</t>
  </si>
  <si>
    <t>G√ºnther, 1868</t>
  </si>
  <si>
    <t>Rhsin_u1.jpg</t>
  </si>
  <si>
    <t>Utilized for animal feed (Ref. 89718).</t>
  </si>
  <si>
    <t>Ctenopharyngodon</t>
  </si>
  <si>
    <t>Grass carp</t>
  </si>
  <si>
    <t>Ctide_u4.jpg</t>
  </si>
  <si>
    <t>CTIDE_U0</t>
  </si>
  <si>
    <t>Adults occur in lakes, ponds, pools and backwaters of large rivers (Ref. 5723), preferring large, slow-flowing or standing water bodies with vegetation.  Tolerant of a wide range of temperatures from 0¬∞ to 38¬∞C, and salinities to as much as 10 ppt and oxygen levels down to 0.5 ppm.  Feed on higher aquatic plants and submerged grasses; takes also detritus, insects and other invertebrates.  One of the world's most important aquaculture species and also used for weed control in rivers, fish ponds and reservoirs (Ref. 9987).  Spawn on riverbeds with very strong current (Ref. 30578).  Utilized also fresh and eaten steamed, pan-fried, broiled and baked (Ref. 9987).  Considered as a pest in most countries because of the damages made to submerged vegetation (Ref. 43281).</t>
  </si>
  <si>
    <t>Hemiculter</t>
  </si>
  <si>
    <t>(Basilewsky, 1855)</t>
  </si>
  <si>
    <t>Sharpbelly</t>
  </si>
  <si>
    <t>Heleu_u7.jpg</t>
  </si>
  <si>
    <t>HELEU_U0</t>
  </si>
  <si>
    <t>The species is common in large streams and reservoirs in Hong Kong but not favored as a table fish because the flesh is unpalatable and very bony; abundant in China where it is canned.  The main bulk of the diet includes zooplankton, insects, crustaceans, algae and detritus.</t>
  </si>
  <si>
    <t>Abbottina</t>
  </si>
  <si>
    <t>Chinese false gudgeon</t>
  </si>
  <si>
    <t>Abriv_u2.jpg</t>
  </si>
  <si>
    <t>Adults inhabit shallow zones of lentic rivers and lakes with sandy or muddy bottoms (Ref. 12819).</t>
  </si>
  <si>
    <t>(Richardson, 1845)</t>
  </si>
  <si>
    <t>Bighead carp</t>
  </si>
  <si>
    <t>Arnob_u3.jpg</t>
  </si>
  <si>
    <t>ARNOB_U0</t>
  </si>
  <si>
    <t>In its natural environment, it occurs in rivers with marked water-level fluctuations, overwinters in middle and lower stretches.  Forages in shallow (0.5-1.5 m deep) and warm (over 24¬∞C) backwaters, lakes and flooded areas with slow current.  Feeds on zooplankton throughout its life under natural conditions (Ref. 120904). Breeds in very deep, very turbid and warm water above 18¬∞C (usually 22-30¬∞C), with high current (1.1-1.9 m/s) and high oxygen concentrations.  Stocked to large rivers and almost all still water bodies as lakes and ponds.  In aquaculture, adults can survive brackish water (up to 7 ppt) when released into estuaries and coastal lakes.  Feeds mainly on zooplankton, but also takes algae as food (Ref. 59043).  Bottom feeding fish (Ref. 6459).  Undertakes long distance upriver migration at start of a rapid flood and water-level increase (in April-July depending on locality). Spawns in upper water layer or even at surface during floods.  Spawning ceases if conditions change and resumes again when water level increases.  After spawning, adults migrate for foraging habitats,  Larvae drift downstream and settle in floodplain lakes, shallow shores and backwaters with little or no current.  During autumn-winter, when temperature drops to 10¬∞C, juveniles and adults form separate large schools and migrate downstream to deeper places in main course of river to overwinter (Ref. 59043). Marketed fresh and frozen.</t>
  </si>
  <si>
    <t>Schizothorax</t>
  </si>
  <si>
    <t>(Fang, 1936)</t>
  </si>
  <si>
    <t>Scwan_u0.jpg</t>
  </si>
  <si>
    <t>Schizothoracinae</t>
  </si>
  <si>
    <t>Adults inhabit rapid current in mountain streams (Ref. 9671).  Utilized for animal feed (Ref. 89718).</t>
  </si>
  <si>
    <t>Sarcocheilichthys</t>
  </si>
  <si>
    <t>Nichols, 1930</t>
  </si>
  <si>
    <t>Sapar_u3.jpg</t>
  </si>
  <si>
    <t>potential</t>
  </si>
  <si>
    <t>Pseudorasbora</t>
  </si>
  <si>
    <t>(Temminck &amp; Schlegel, 1846)</t>
  </si>
  <si>
    <t>Stone moroko</t>
  </si>
  <si>
    <t>Pspar_u1.jpg</t>
  </si>
  <si>
    <t>PSPAR_F0</t>
  </si>
  <si>
    <t>Found in a wide variety of habitats, most abundantly in well vegetated small channels, ponds and small lakes (Ref. 59043).  Adults occur in cool running water.  Feed on small insects, fish and fish eggs (Ref. 30578), and plant material (Ref. 59043).  Usually breed in habitats with still or very slow-flowing water (Ref. 59043).  Females spawn 3-4 times in a season (Ref. 59043).  Males clear the surface of the spawning site and guard the eggs until they hatch (Ref. 59043).  Regarded as pest which competes with the fry of other species due to its high reproductive rate (Ref. 1739).</t>
  </si>
  <si>
    <t>Cyprinus</t>
  </si>
  <si>
    <t>Common carp</t>
  </si>
  <si>
    <t>Cycar_ua.jpg</t>
  </si>
  <si>
    <t>Cycar_m0.jpg</t>
  </si>
  <si>
    <t>Cycar_u3.jpg</t>
  </si>
  <si>
    <t>CYCAR_U2</t>
  </si>
  <si>
    <t>In southeastern Europe.</t>
  </si>
  <si>
    <t>Inhabits warm, deep, slow-flowing and still waters such as lowland rivers and large, well vegetated lakes (Ref. 59043).  Hardy and tolerant of a wide variety of conditions but generally favor large water bodies with slow flowing or standing water and soft bottom sediments.  Thrive in large turbid rivers (Ref. 1998).   Most active at dusk and dawn.  Both adults and juveniles feed on a variety of benthic organisms and plant material.  Breeds along shores or in backwaters.  Adults often undertake considerable spawning migration to suitable backwaters and flooded meadows. Larvae survive only in very warm water among shallow submerged vegetation (Ref. 59043).  Occurs at depths of &lt;30m (Ref. 120613) and found sucking in floating insects at the surface (Ref. 120823). River regulation and hybridization with domesticated stocks, East Asian congeners and their hybrids have caused continuous decline of wild populations (Ref. 59043).  Utilized fresh and frozen (Ref. 9987).  Aquarium keeping:  in groups of 5 or more individuals; minimum aquarium size &gt;200 cm; not recommended for home aquariums (Ref. 51539).</t>
  </si>
  <si>
    <t>Spinibarbus</t>
  </si>
  <si>
    <t>(Bleeker, 1871)</t>
  </si>
  <si>
    <t>Spsin_u0.jpg</t>
  </si>
  <si>
    <t>Spinibarbinae</t>
  </si>
  <si>
    <t>Parabramis</t>
  </si>
  <si>
    <t>White amur bream</t>
  </si>
  <si>
    <t>Papek_u0.jpg</t>
  </si>
  <si>
    <t>Feeds on higher aquatic plants.  Its flesh is tasty but very bony.  One of the most important commercial fishes of China (Ref. 1441).</t>
  </si>
  <si>
    <t>Mylopharyngodon</t>
  </si>
  <si>
    <t>(Richardson, 1846)</t>
  </si>
  <si>
    <t>Black carp</t>
  </si>
  <si>
    <t>Mypic_u1.jpg</t>
  </si>
  <si>
    <t>MYPIC_U0</t>
  </si>
  <si>
    <t>Adults inhabit large lowland rivers and lakes, preferably with clear water and high oxygen concentrations.  Larvae feed on zooplankton, then on ostracods and aquatic insects. At about 120 mm SL, juveniles start to prey on small snails and clams while larger juveniles and adults feed almost entirely on molluscs. Undertake upriver migration and spawns in open waters. Deposit pelagic or semipelagic eggs which hatch while drifting downstream. Larvae settle into floodplain lakes and channels with little or no current (Ref. 59043). Maximum age probably exceeds 15 years; the figure of 20 years is not supported by data (Ref. 55930).</t>
  </si>
  <si>
    <t>Procypris</t>
  </si>
  <si>
    <t>(Tchang, 1930)</t>
  </si>
  <si>
    <t>Rock carp</t>
  </si>
  <si>
    <t>Prrab_u0.jpg</t>
  </si>
  <si>
    <t>Lives in slow flowing deep water in rocky substratum.  Carnivore, feeds mainly on zoobenthos (Ref. 45563).</t>
  </si>
  <si>
    <t>Zacco</t>
  </si>
  <si>
    <t>Freshwater minnow</t>
  </si>
  <si>
    <t>Zapla_u1.jpg</t>
  </si>
  <si>
    <t>ZAPLA_M0</t>
  </si>
  <si>
    <t>ZAPLA_F0</t>
  </si>
  <si>
    <t>Adults are common in streams and rivers with rapid water flow, but not deep or stagnant waters.  Feed on zooplankton, small crustaceans, macroscopic algae, small fish and detritus.</t>
  </si>
  <si>
    <t>Opsariichthys</t>
  </si>
  <si>
    <t>G√ºnther, 1873</t>
  </si>
  <si>
    <t>Opbid_u2.jpg</t>
  </si>
  <si>
    <t>Paralichthys</t>
  </si>
  <si>
    <t>Bastard halibut</t>
  </si>
  <si>
    <t>Paoli_u1.jpg</t>
  </si>
  <si>
    <t>Most highly prized of the Japanese flounders.</t>
  </si>
  <si>
    <t>Sinibrama</t>
  </si>
  <si>
    <t>(Nichols, 1941)</t>
  </si>
  <si>
    <t>Discogobio</t>
  </si>
  <si>
    <t>(Regan, 1907)</t>
  </si>
  <si>
    <t>Diyun_u0.jpg</t>
  </si>
  <si>
    <t>Labeoninae</t>
  </si>
  <si>
    <t>Adults inhabit torrential water of mountain area, clinging to the substrata on bottom by the sucking disc of mouth (Ref. 38450).  Local people claim that this fish feeds mainly on algae (Ref. 75176).</t>
  </si>
  <si>
    <t>Percocypris</t>
  </si>
  <si>
    <t>Pepin_u0.jpg</t>
  </si>
  <si>
    <t>Metahomaloptera</t>
  </si>
  <si>
    <t>Chang, 1944</t>
  </si>
  <si>
    <t>Meome_u0.jpg</t>
  </si>
  <si>
    <t>Pseudobagrus</t>
  </si>
  <si>
    <t>Pevac_j1.jpg</t>
  </si>
  <si>
    <t>Acrossocheilus</t>
  </si>
  <si>
    <t>(G√ºnther, 1888)</t>
  </si>
  <si>
    <t>Acmon_u6.jpg</t>
  </si>
  <si>
    <t>Hemibarbus</t>
  </si>
  <si>
    <t>Bleeker, 1871</t>
  </si>
  <si>
    <t>Spotted steed</t>
  </si>
  <si>
    <t>Hemac_u3.jpg</t>
  </si>
  <si>
    <t>Adults usually found in streams and creeks with moderate flow and sandy bottom (Ref. 43281).  Feed mainly on insects and mollusks in summer and on crustaceans in winter (Ref. 1441)</t>
  </si>
  <si>
    <t>Gobiocypris</t>
  </si>
  <si>
    <t>Ye &amp; Fu, 1983</t>
  </si>
  <si>
    <t>Lives in paddy fields, ditches, ponds, and rivulets.  Feeds on tiny aquatic invertebrates (Ref. 45563).</t>
  </si>
  <si>
    <t>Silurus</t>
  </si>
  <si>
    <t>Chen, 1977</t>
  </si>
  <si>
    <t>Chinese large-mouth catfish</t>
  </si>
  <si>
    <t>Simer_u0.jpg</t>
  </si>
  <si>
    <t>Siniperca</t>
  </si>
  <si>
    <t>Mandarin fish</t>
  </si>
  <si>
    <t>Sichu_u1.jpg</t>
  </si>
  <si>
    <t>Adults inhabit rivers (Ref. 26334).  Are demersal piscivores which have very specialized feeding habits--as soon as they start feeding, they feed solely on fry of other fish species.  Typical of stalking predators, they rely on vision for following the movement of prey before leaping forward and snapping at the victim.  Prey consist mostly of diurnal fishes whose eyes have color vision and high acuity but cannot function at night.  The habitat of the  Chinese perch is usually rich in macrophytes and might be very turbid during rainy season (Ref. 28033).</t>
  </si>
  <si>
    <t>Tachysurus</t>
  </si>
  <si>
    <t>(Bleeker, 1864)</t>
  </si>
  <si>
    <t>Chinese longsnout catfish</t>
  </si>
  <si>
    <t>Lelon_u0.jpg</t>
  </si>
  <si>
    <t>Megalobrama</t>
  </si>
  <si>
    <t>Hemibagrus</t>
  </si>
  <si>
    <t>Bleeker, 1870</t>
  </si>
  <si>
    <t>Mymac_u7.jpg</t>
  </si>
  <si>
    <t>Oviparous, distinct pairing possibly like other members of the same family (Ref. 205).</t>
  </si>
  <si>
    <t>Triplophysa</t>
  </si>
  <si>
    <t>Chen &amp; Yang, 2005</t>
  </si>
  <si>
    <t>Found in a pool,  581 m underground. The pool has an altitude of 314 m above sea level (Ref. 57680).</t>
  </si>
  <si>
    <t>Myxocyprinus</t>
  </si>
  <si>
    <t>Chinese sucker</t>
  </si>
  <si>
    <t>Myasi_u4.jpg</t>
  </si>
  <si>
    <t>Myxocyprininae</t>
  </si>
  <si>
    <t>Rhinogobius</t>
  </si>
  <si>
    <t>(Rutter, 1897)</t>
  </si>
  <si>
    <t>Rhgiu_u1.jpg</t>
  </si>
  <si>
    <t>Gobionellinae</t>
  </si>
  <si>
    <t>This species is synonym of &lt;i&gt;Rhinogobius similis&lt;/i&gt; Gill, 1859 according to Suzuki et al., 2015 (Ref. 104791).  The species page will be removed.</t>
  </si>
  <si>
    <t>RHGIU_U0</t>
  </si>
  <si>
    <t>Found both upstream and in estuaries.  Carnivorous.  Spawning season from July to October.  Eggs are laid under stones in river shoals.  Larvae travel in both river and the sea, and return to rivers from September to November.  Caught by small trap nets in rivers, but not in abundance.</t>
  </si>
  <si>
    <t>Channa</t>
  </si>
  <si>
    <t>(Cantor, 1842)</t>
  </si>
  <si>
    <t>Snakehead</t>
  </si>
  <si>
    <t>Charg_u7.jpg</t>
  </si>
  <si>
    <t>Can stay out of the water for 3 to 4 days at temperatures ranging from 10 to 15¬∞C (Ref. 37350).  Is a typical ambush predator that lies in wait for its prey on the bottom.  Hunts mainly in the morning and in the evening, feeding primarily on fish (Ref. 12569).  Matures at the age of 2 years and length of 30 cm.  Spawns in June and July (Ref. 56557).  Eggs are pelagic.  Utilized for human consumption.</t>
  </si>
  <si>
    <t>Misgurnus</t>
  </si>
  <si>
    <t>Pond loach</t>
  </si>
  <si>
    <t>Miang_u2.jpg</t>
  </si>
  <si>
    <t>MIANG_U0</t>
  </si>
  <si>
    <t>Occurs in rivers, lakes and ponds. Also in swamps and ricefields (Ref. 27732, 119549). Prefers muddy bottoms, where they hide in the muck and leaf litter with only their heads sticking out; prefers muddy bottoms of streams and ponds; in Hawaii, can also be found under mats of honohono (&lt;i&gt;Commelina diffusa&lt;/i&gt; and California grass (&lt;i&gt;Brachiara nuatica&lt;/i&gt;); feeds on worms, small crustaceans, insects, insect larvae, and other small aquatic organisms (Ref. 44091).</t>
  </si>
  <si>
    <t>Poecilia</t>
  </si>
  <si>
    <t>Peters, 1859</t>
  </si>
  <si>
    <t>Guppy</t>
  </si>
  <si>
    <t>Poret_ue.jpg</t>
  </si>
  <si>
    <t>Poret_m4.jpg</t>
  </si>
  <si>
    <t>Poret_f1.jpg</t>
  </si>
  <si>
    <t>Poeciliinae</t>
  </si>
  <si>
    <t>PORET_U6</t>
  </si>
  <si>
    <t>PORET_F0</t>
  </si>
  <si>
    <t>Inhabits warm springs and their effluents, weedy ditches and canals (Ref. 5723).  Found in various habitats, ranging from highly turbid water in ponds, canals and ditches at low elevations to pristine mountain streams at high elevations (Ref. 11225).  Occurs in wide variety of habitats with low predation pressure, usually in very small streams and densely vegetated lakes and springs (Ref. 59043).  Has a wide salinity range but requires fairly warm temperatures (23-24 ¬∞C) and quiet vegetated water for survival (Ref. 7248, 44894, 79840).  Feeds on zooplankton, small insects and detritus.  One of the most popular aquarium fishes with many standardized varieties.  Used in genetics research.  Female reaches 5 cm SL (Ref. 2847).  Males mature at 2 months and females at 3 months of age (Ref. 1672).  Aquarium keeping:  in groups of 5 or more individuals; minimum aquarium size 60 cm (Ref. 51539).  A very popular and widely available species in the aquarium trade.  In Australia, wild populations were established prior to the 1970s, undoubtedly the result of thoughtless aquarists discarding unwanted pets (Ref. 44894).  Maximum length for female taken from Ref. 43281.</t>
  </si>
  <si>
    <t>Perca</t>
  </si>
  <si>
    <t>European perch</t>
  </si>
  <si>
    <t>Peflu_ue.jpg</t>
  </si>
  <si>
    <t>Percinae</t>
  </si>
  <si>
    <t>PEFLU_U1</t>
  </si>
  <si>
    <t>Inhabits a very wide range of habitats from estuarine lagoons, lakes of all types to medium-sized streams.  Feeding larvae occur in open water.  This is an opportunistic diurnal feeder which preys mainly during sunrise and sunset, using all available prey. Larvae and small juveniles usually feed on planktonic invertebrates.  During first summer, many juveniles move near shores to feed on benthic prey.  Often feeds on fishes at about 12 cm SL.  May undertake short spawning migrations.  Males attain first sexual maturity at 1-2 years and females at 2-4 years of age.  Spawns in February-July (Ref. 59043).  Eggs grouped in long white ribbons (up to 1 m) are found over submerged objects (Ref. 41678).  Its flesh is excellent and not so bony.  Utilized fresh and frozen; eaten pan-fried and baked (Ref. 9988).  May be captured with natural or artificial bait (Ref. 30578).</t>
  </si>
  <si>
    <t>Sockeye salmon</t>
  </si>
  <si>
    <t>Onner_f0.jpg</t>
  </si>
  <si>
    <t>ONNER_M0</t>
  </si>
  <si>
    <t>ONNER_F0</t>
  </si>
  <si>
    <t>Questionable: based on ex-vessel price for species in this genus</t>
  </si>
  <si>
    <t>Epipelagic (Ref. 58426).  Occurs in open ocean and lakes and migrates up to coastal streams to spawn (Ref. 86798). There are two forms, the anadromous form known as the sockeye and the landlocked form (with a much smaller maximum size) known as the kokanee (Ref. 27547).  Upon emergence from gravel, fry at first tends to avoid light, hiding during the day and emerging at night (Ref. 27547).  In some populations, sockeye fry go to the sea during their first summer but most spend one or two (rarely three or four) years in a lake before migrating (Ref. 30333).  In a few streams of the Copper River drainage in Alaska, young sockeye stay in the stream (Ref. 27547).  Once in the lake, the young spend a few weeks inshore, feeding largely on ostracods, cladocerans and insect larvae.  The fish then become pelagic and move offshore, where they feed on plankton in the upper 20 m or so (Ref. 27547).  Seaward migration follows with the young individuals first staying fairly close to shore, feeding mainly on zooplankton, but also on small fishes and insects (Ref. 30343, 30346).  With growth, they head out to sea and fish become important in the diet (Ref. 27547).  Kokanee are confined to lake-stream systems, and most of its life is spent in the lake (Ref. 27547).  They feed mainly on plankton, but also take insects and bottom organisms (Ref. 1998).  Kokanee, wherever they are native, have been derived from anadromous populations, and each kokanee population apparently has evolved independently from a particular sockeye run (Ref. 30338, 30339).  Offspring of kokanee occasionally become anadromous, and sockeye offspring occasionally remain in freshwater (Ref. 27547).  Lifespan of the kokanee varies from two to seven years in different stocks (Ref. 27547).  The sockeye is one of the most commercially important Pacific salmons; the kokanee is primarily a sport fish but also makes excellent food and in some areas well regarded as food for large trout (Ref. 27547).  Marketed fresh, dried or salted, smoked, canned, and frozen; eaten steamed, fried, broiled, microwaved, and baked (Ref. 9988).</t>
  </si>
  <si>
    <t>Coho salmon</t>
  </si>
  <si>
    <t>Onkis_m3.jpg</t>
  </si>
  <si>
    <t>ONKIS_U0</t>
  </si>
  <si>
    <t>medium</t>
  </si>
  <si>
    <t>The fish occur in the ocean or in lakes; adults return to the rivers where they were born (Ref. 27547).  The young fish emerge in springtime and they usually live in fresh water for 1-2 years (sometimes up to 4 years, Ref. 27547); later they migrate at night to freshwater lakes or to the sea (Ref. 1998).  Epipelagic (Ref. 58426).  The fish that stay more than two years in fresh water and become sexually ripe without ever going to sea, are called residuals; they never spawn (Ref. 27547). Young fish in lakes and rivers eat mainly insects; they stay almost entirely in deep parts of the river and soon become strongly territorial (Ref. 27547). Upon reaching the sea, the smolts remain close to the coast for a certain time, eating planktonic crustaceans (Ref. 27547). As they grow, they migrate farther out into the sea and hunt larger organisms (Ref. 27547) such as jellyfish, squids and fishes (Ref. 58426).  They are hunted by various fishes, birds (mergansers, loons and kingfishers), mammals and lampreys (Ref. 1998).  This kind is traded as fresh fish, dried or salted, smoked, canned, preserved and frozen (Ref. 9988).  They are steamed, grilled, broiled, cooked in the microwave and baked (Ref. 9988).</t>
  </si>
  <si>
    <t>Chinook salmon</t>
  </si>
  <si>
    <t>Ontsh_m1.jpg</t>
  </si>
  <si>
    <t>ONTSH_U1</t>
  </si>
  <si>
    <t>Canada (Ref. 9988)</t>
  </si>
  <si>
    <t>Adults return to natal streams from the sea  to spawn (Ref. 27547).  Fry may migrate to the sea after only 3 months in fresh water, some may stay for as long as 3 years, but generally most stay a year in the stream before migrating (Ref. 27547).  Some individuals remain close inshore throughout their lives, but some make extensive migrations (Ref. 27547, 44894).  Also found in lakes (Ref. 1998).  Possibly up to 375 m depth (Ref. 6793).  Epipelagic (Ref. 58426).  Food in streams is mainly terrestrial insects and small crustaceans; in the sea, major food items include fishes, crustaceans, and other invertebrates (Ref. 27547).  Young are preyed upon by fishes and birds (such as mergansers and kingfishers); adults are prey of large mammals and large birds (Ref. 1998).  Highly regarded game fish (Ref. 27547).  Flesh is usually red, but some are white; the red meat commands a higher price (Ref. 27547).  Marketed fresh, smoked, frozen, and canned.  Eaten steamed, fried, broiled, boiled, microwaved, and baked (Ref. 9988).  Viscera said to contain high vitamin A content and used successfully as food for hatchery fish (Ref. 28971, 28977).</t>
  </si>
  <si>
    <t>Oreochromis</t>
  </si>
  <si>
    <t>Nile tilapia</t>
  </si>
  <si>
    <t>Ornil_u6.jpg</t>
  </si>
  <si>
    <t>Ornil_m1.jpg</t>
  </si>
  <si>
    <t>Ornil_f0.jpg</t>
  </si>
  <si>
    <t>Ornil_j0.jpg</t>
  </si>
  <si>
    <t>Pseudocrenilabrinae</t>
  </si>
  <si>
    <t>ORNIL_U0</t>
  </si>
  <si>
    <t>ORNIL_F0</t>
  </si>
  <si>
    <t>Occurs in a wide variety of freshwater habitats like rivers, lakes, sewage canals and irrigation channels (Ref. 28714). Does not do well in pure salt water, but is able to survive in brackish water (Ref. 52307). Mainly diurnal. Feeds mainly on phytoplankton or benthic algae. Additionally, insect larvae are of some importance, as are aufwuchs and detritus; juveniles tend to be more omnivorous than adults (Ref. 52307). Oviparous (Ref. 205), ovophilic (Ref. 52307). A maternal mouthbrooder (Ref. 2, 52307, 118638), males dig simple pits in shallow water (Ref. 118638). Globally, the most important tilapia species in fish farming and supports major capture fisheries where established (Ref. 118638). It is generally highly invasive (Ref. 118638) and it is known to hybridise with many other &lt;i&gt;Oreochromis&lt;/i&gt; species and for this reason further stocking has been banned in a number of countries, e.g. South Africa, Malawi and Zambia (Ref. 118638). Extended temperature range 8-42 ¬∞C, natural temperature range 13.5 - 33 ¬∞C (Ref. 3). Maximum depth from Ref. 34290. Marketed fresh and frozen (Ref. 9987).</t>
  </si>
  <si>
    <t>Piaractus</t>
  </si>
  <si>
    <t>(Holmberg, 1887)</t>
  </si>
  <si>
    <t>Pacu</t>
  </si>
  <si>
    <t>Pimes_u0.jpg</t>
  </si>
  <si>
    <t>Colossomatinae</t>
  </si>
  <si>
    <t>See G√©ry (1986: 102) for more detail.</t>
  </si>
  <si>
    <t>Invades the flooded forests to feed on nuts and seeds which fall from trees (Ref. 32894).  Reaches around 50.0 cm SL (Ref. 81048).</t>
  </si>
  <si>
    <t>Somniosus</t>
  </si>
  <si>
    <t>(Bloch &amp; Schneider, 1801)</t>
  </si>
  <si>
    <t>Greenland shark</t>
  </si>
  <si>
    <t>Somic_u0.gif</t>
  </si>
  <si>
    <t>Somic_j0.jpg</t>
  </si>
  <si>
    <t>Somic_u0.jpg</t>
  </si>
  <si>
    <t>SOMIC_U0</t>
  </si>
  <si>
    <t>Mainly used for its liver oil.</t>
  </si>
  <si>
    <t>up to 1,000 tons/year</t>
  </si>
  <si>
    <t>31 tons by Iceland in area 27</t>
  </si>
  <si>
    <t>poisonous to eat</t>
  </si>
  <si>
    <t>electrosensing only</t>
  </si>
  <si>
    <t>Found on continental and insular shelves and upper slopes down to at least 1,200 m (Ref. 247) and to as deep as 2,200  m (Ref. 55584).  Epibenthic-pelagic (Ref. 58426).  In the  Arctic and boreal Atlantic, it occurs inshore in the  intertidal and at the surface in shallow bays and river mouths during colder months, retreating to depths of 180-550 m when the temperature rises (Ref. 247).  Reported to be found in temperatures from -1.8¬∞ to 17.2¬∞C but commonly below 5¬∞C  at with salinity range of 29.4-35.5.  It is capable of undertaking long migrations (Ref. 119696).  Feeds on  pelagic and bottom fishes (herring, Atlantic salmon, Arctic char, capelin, redfish, sculpins, lumpfish, cod, haddock,  Atlantic halibut, Greenland halibut and skates (Ref. _x000D_
5951)), sharks and skates (Ref. 5578), seals and small cetaceans, sea birds, squids, crabs, amphipods, marine snails, brittle stars, sea urchins, and jellyfish (Ref. 247, 58240).  Radiocarbon dating of eye lens nuclei from 28 caught female Greenland sharks (81-502 cm TL) revealed a  life span of at least 272 years, the oldest being nearly 400 years; age of sexual maturity is about 150 years.  This  large species is slow-growing (Ref. 110949).  _x000D_
&lt;i&gt;Petromyzon marinus&lt;/i&gt; was reported to have been attached to &lt;i&gt;S. microcephalus&lt;/i&gt; (Ref. 58185).  Ovoviviparous (Ref. 205).  Utilized fresh and dried for human and sled-dog food (flesh is said to be toxic when fresh); Eskimos also used the skin to make boots, and the _x000D_
sharp lower dental bands as knives for cutting hair (Ref. 247).  A very sluggish shark (Ref. 28609). Reports in literature of lengths exceeding 640 cm TL (e.g. up to 730 cm TL in Ref. 247) remain unverified. Common length  244-427 cm TL (Ref. 119696).</t>
  </si>
  <si>
    <t>Gambusia</t>
  </si>
  <si>
    <t>Girard, 1859</t>
  </si>
  <si>
    <t>Eastern mosquitofish</t>
  </si>
  <si>
    <t>Gahol_f0.jpg</t>
  </si>
  <si>
    <t>GAHOL_F0</t>
  </si>
  <si>
    <t>Mosquito control.</t>
  </si>
  <si>
    <t>Adults occur in standing to slow-flowing water, mostly in vegetated ponds and lakes, backwaters and quiet pools of steams (Ref. 5723), typically seen shoaling at the edges (Ref. 44894).  They also frequent brackish water (Ref. 5723).  Adults feed on small terrestrial insects usually in the drift and amongst aquatic plants, actively selecting very small prey (Ref. 6154).  Also observed to take in mosquito larvae (Ref. 41168).  Introduced worldwide.  Introductions to Europe have seriously threatened many endemic species (Ref. 59043).  It is now widely accepted that their effect has been minimal and even may have exacerbated the problem due to their voracious appetite for natural invertebrate predators of mosquito larvae (Ref. 44894).</t>
  </si>
  <si>
    <t>Sciaenops</t>
  </si>
  <si>
    <t>(Linnaeus, 1766)</t>
  </si>
  <si>
    <t>Red drum</t>
  </si>
  <si>
    <t>Scoce_u0.jpg</t>
  </si>
  <si>
    <t>SCOCE_U0</t>
  </si>
  <si>
    <t>Sportfish.</t>
  </si>
  <si>
    <t>USA only in area 21 &amp; 31</t>
  </si>
  <si>
    <t>Occurs usually over sand and sandy mud bottoms in coastal waters and estuaries.  Abundant in surf zone.  Feeds mainly on crustaceans, mollusks and fishes.  Utilized fresh and frozen; can be pan-fried, broiled and baked (Ref. 9988).</t>
  </si>
  <si>
    <t>Caesio</t>
  </si>
  <si>
    <t>(Bloch, 1791)</t>
  </si>
  <si>
    <t>Redbelly yellowtail fusilier</t>
  </si>
  <si>
    <t>Cacun_u5.jpg</t>
  </si>
  <si>
    <t>Caesioninae</t>
  </si>
  <si>
    <t>CACUN_U1</t>
  </si>
  <si>
    <t>various gears</t>
  </si>
  <si>
    <t>Often in silty areas with low visibility at 1-30 m depth (Ref. 90102).  Inhabits coastal areas, usually over rocky and coral reefs.  Forms schools in midwater and feeds on zooplankton.  Oviparous, with numerous, small pelagic eggs (Ref. 402).  Taken primarily by handline in Sri Lanka; caught mostly by fish traps in western Thailand and Malaysia; caught in trawls in the Gulf of Thailand; caught by a variety of methods including drive-in nets, fish traps and gill nets in Indonesia, the Philippines and Papua New Guinea.  The most ancestral living caesionid species.</t>
  </si>
  <si>
    <t>Fundulus</t>
  </si>
  <si>
    <t>Baird &amp; Girard, 1853</t>
  </si>
  <si>
    <t>Gulf killifish</t>
  </si>
  <si>
    <t>Fugra_u2.jpg</t>
  </si>
  <si>
    <t>Fugra_m1.jpg</t>
  </si>
  <si>
    <t>Fugra_f0.jpg</t>
  </si>
  <si>
    <t>Prefers grassy bays, canals and nearby fresh water, avoiding tidal flats.  Also found in marginal fresh waters.  18 cm max TL (Ref. 7251).  Not a seasonal killifish.  Is difficult to maintain in aquarium (Ref. 27139).  Feeds on small crustaceans and other invertebrates (Ref. 26938).</t>
  </si>
  <si>
    <t>Centropristis</t>
  </si>
  <si>
    <t>Black seabass</t>
  </si>
  <si>
    <t>Cestr_u4.jpg</t>
  </si>
  <si>
    <t>Serraninae</t>
  </si>
  <si>
    <t>CESTR_U0</t>
  </si>
  <si>
    <t>USA only in area 31</t>
  </si>
  <si>
    <t>venomous</t>
  </si>
  <si>
    <t>Commonly found around rock jetties and on rocky bottoms in shallow water.  Marketed fresh and eaten fried, broiled and baked (Ref. 9988).</t>
  </si>
  <si>
    <t>Hemiscyllium</t>
  </si>
  <si>
    <t>(Bonnaterre, 1788)</t>
  </si>
  <si>
    <t>Epaulette shark</t>
  </si>
  <si>
    <t>Heoce_u0.gif</t>
  </si>
  <si>
    <t>HEOCE_U0</t>
  </si>
  <si>
    <t>Commonly found in shallow water of coral reefs (Ref. 6871).  Often in tide pools (Ref. 13575).  Feeds mainly on benthic invertebrates (Ref. 6871).  Oviparous (Ref. 50449).  Squirms when captured but cannot readily escape (Ref. 247).  Survives well in aquariums (Ref. 6871). Has the ability to survive low oxygen conditions by switching of non-essential brain functions; apparently an adaption for hunting in tide-pools with low oxygen (Ref. 52022).</t>
  </si>
  <si>
    <t>Salvelinus</t>
  </si>
  <si>
    <t>Arctic char</t>
  </si>
  <si>
    <t>Saalp_f0.jpg</t>
  </si>
  <si>
    <t>The species &lt;i&gt;Salvelinus aureolus&lt;/i&gt; Bean, 1887 is considered as valid in Eschmeyer (CofF ver. May 2011: Ref. 86870) following Fuller et al. (1999: Ref. 87253).  Treated as synonym of &lt;i&gt;Salvelinus alpinus oquassa&lt;/i&gt; by Qadi (1974: Ref. 87252); and probably a synonym of &lt;i&gt;Salvelinus alpinus&lt;/i&gt; (see Nelson et al. 2004: Ref. 52299 for taxonomic issues).  Please send references, or more studies are needed.</t>
  </si>
  <si>
    <t>SAALP_U0</t>
  </si>
  <si>
    <t>Nerito-pelagic (Ref. 58426).  Occurs in the sea along coasts, estuaries, rivers, and lakes with cold, clear water (Ref. 59043). Found in deep runs and pools of medium to large rivers (Ref. 5723, 86798). Anadromous forms spend a considerable time of their lives at sea; non-migratory populations remain in lakes and rivers (Ref. 4779).  Anadromous populations enter rivers to breed during fall and winter (Ref. 86798). Freshwater populations feed on planktonic crustaceans, amphipods, mollusks, insects and fishes (Ref. 4479).  Anadromous individuals feed little in freshwater and never feed during migrations.  Spawning usually takes place on pebble to stone bottom in lakes.  Riverine stocks spawn in rivers with slow current (02.-0.8 m/s), but there are some riverine anadromous stocks (in Norway) which spawn yearly in fast-flowing waters of riffles (Ref. 59043).  Extremely sensitive to water pollution (cold water and oxygen oriented) (Ref. 2163).  Marketed fresh, smoked, canned (Ref. 27547), and frozen.  Eaten saut√©ed, broiled, fried, microwaved and baked (Ref. 9988).  Parasitized by tapeworm (Ref. 37032).</t>
  </si>
  <si>
    <t>Girella nigricans</t>
  </si>
  <si>
    <t>Girella</t>
  </si>
  <si>
    <t>(Ayres, 1860)</t>
  </si>
  <si>
    <t>Opaleye</t>
  </si>
  <si>
    <t>Ginig_u1.jpg</t>
  </si>
  <si>
    <t>GINIG_U0</t>
  </si>
  <si>
    <t>A resident intertidal species with homing behavior (Ref. 32612).  Can leave tide pools if aquatic conditions become inhospitable (Ref. 31184).  Also found near or over rocks and in kelp beds up to about 30 m depth.  Feed mainly on seaweed, occasionally takes invertebrates.  Form dense schools in spring in kelp beds.  Pelagic spawner (Ref. 56049).  Breathe air when out of water (Ref. 31184).  Considered an important game fish and may incidentally be caught in commercial fishing activities (Ref. 9310).  Marketed fresh (Ref. 9310).</t>
  </si>
  <si>
    <t>Coryphaena hippurus</t>
  </si>
  <si>
    <t>Coryphaena</t>
  </si>
  <si>
    <t>Common dolphinfish</t>
  </si>
  <si>
    <t>Cohip_ud.jpg</t>
  </si>
  <si>
    <t>COHIP_U0</t>
  </si>
  <si>
    <t>reports of ciguatera poisoning</t>
  </si>
  <si>
    <t>Adults are found in open waters but also near the coast (Ref. 9293, 11230).  Form schools.  Feed on almost all  forms of fish and zooplankton; also takes crustaceans and squid (Ref. 2850).  Sexual maturity is reached in 4-5 months (3 for captive fish) (Ref. 11441).  Spawn in the open sea and probably approximate to the coast when water temperature rises (Ref. 9293).  Eggs and larvae are pelagic (Ref. 6755).  Attracting devices such as floating bundles of bamboo reeds or cork planks are used to concentrate dolphin fish before the nets are set.  Marketed frozen (Ref. 9987) and fresh and is of high value (Ref. 9293). Caught by trolling and on tuna longlines; also occasionally with drift nets (Ref. 9846).</t>
  </si>
  <si>
    <t>Fundulus parvipinnis</t>
  </si>
  <si>
    <t>Girard, 1854</t>
  </si>
  <si>
    <t>California killifish</t>
  </si>
  <si>
    <t>Fupar_m0.jpg</t>
  </si>
  <si>
    <t>Commonly found in bays and salt marshes near shore, may enter freshwater (Ref. 36572).  Often used in laboratories for environmental studies.  Not a seasonal killifish.  Is very difficult to maintain in aquarium (Ref. 27139).  Oviparous, with micro-nektonic larvae (Ref. 36572).  Single demersal eggs are attached to spawning substrate via small weakly adhesive filaments (Ref. 36572).</t>
  </si>
  <si>
    <t>Anguilla</t>
  </si>
  <si>
    <t>European eel</t>
  </si>
  <si>
    <t>Anang_u6.jpg</t>
  </si>
  <si>
    <t>ANANG_U0</t>
  </si>
  <si>
    <t>Italy of Fishing Area 05</t>
  </si>
  <si>
    <t>traps</t>
  </si>
  <si>
    <t>Inhabits all types of benthic habitats from streams to shores of large rivers and lakes. Naturally found only in water bodies connected to the sea (Ref. 59043). Territorial and solitary species; 'schools' of young eels which are observed from time to time are a mass response to outward conditions and not of active assembling (Ref. 172). Amphihaline (Ref. 51442). Migrates to the depths of the Sargasso Sea to spawn (Ref. 172, 51442). Eel larvae (leptocephali) are transparent ribbon-like. They are brought to the coasts of Europe by the Gulf Stream in 7 to 11 months time (Ref. 51442) and can last for up to 3 years (Ref. 8994). They are transformed into glass eels (6-8 cm length, cylindrical in shape and transparent to slightly pigmented in colour). They enter the estuaries and colonize rivers and lakes (Ref. 11941, 51442); some individuals remain in estuaries and coastal waters to grow into adults (Ref. 88171). The glass eel stage is followed by a long feeding period (from the yellow to the silver eel stage) lasting 6-12 years in males (Ref. 6125) and 9-20 years in females (Ref. 6125). Yellow and silver eels are benthic, found under stones, buried in the mud or in crevices (Ref. 89138). Yellow eels eventually lose their pigmentation, becoming dark dorsally and silver ventrally (called silver eels). Silver eels are also characterized by a clear contrasting black lateral line and enlarged eyes (Ref. 6125). At the end of their growth period, they become sexually mature, migrate to the sea and cover great distances during their spawning migration (5,000-6,000 km); with extensive daily vertical migrations between 200 m at night and 600 m during day time, possibly for predator avoidance (Ref. 89140). Gametogenesis occurs entirely during spawning migration. Average life span is usually 15-20 years (Ref. 88171). Male eels can grow up to 50 cm TL (Ref. 39903). Occurs at temperatures ranging from 0-30¬∞C (Ref. 172). Its food includes virtually the whole aquatic fauna (freshwater as well as marine) occurring in the eel's area, augmented with animals living out of water, e.g. worms (Ref. 172). Best temperature for making eels sexually mature is 20-25¬∞C (Ref. 35388). Sensitive to weak magnetic fields (Ref. 89141, 89142). Their high fat content and benthic feeding habits in continental waters make them vulnerable to the bioaccumulation of pollutants, such as heavy metals and organic contaminants, that may result in organ damage and impaired migration capability (Ref. 82710) and lowered genetic variability (Ref. 82711). Review of information supports the view that the European eel population as a whole has declined in most areas, the stock is outside safe biological limits and current fisheries not sustainable (Ref. 82712). Obvious decreasing of the stocks for all the continental native distribution area (Ref. 40476). Utilized fresh, dried or salted, smoked and frozen; can be fried, boiled and baked (Ref. 9988).</t>
  </si>
  <si>
    <t>Gadus</t>
  </si>
  <si>
    <t>Atlantic cod</t>
  </si>
  <si>
    <t>Gamor_u3.jpg</t>
  </si>
  <si>
    <t>GAMOR_U4</t>
  </si>
  <si>
    <t>GAMOR_L0</t>
  </si>
  <si>
    <t>Canada, Iceland, Europe, Norway and Russia</t>
  </si>
  <si>
    <t>bottom otter trawls (OTB)</t>
  </si>
  <si>
    <t>Widely distributed in a variety of habitats, from the shoreline down to the continental shelf. Juveniles prefer shallow (less than 10-30 m depth) sublittoral waters with complex habitats, such as seagrass beds, areas with gravel, rocks, or boulder, which provide protection from predators (Refs. 89383, 89384). Adults are usually found in deeper, colder waters. During the day, form schools and swim about 30-80 m above the bottom, dispersing at night to feed (Ref. 1371, 89385). Omnivorous; feed at dawn or dusk on invertebrates and fish, including young cod. (Ref. 1371). Migrate between spawning, feeding and overwintering areas, mostly within the boundaries of the respective stocks. Migrations &gt;200 km are rare occurrences (Refs. 89386, 89387). Marketed fresh, dried or salted, smoked and frozen; eaten steamed, fried, broiled, boiled, microwaved and baked (Ref. 9988).</t>
  </si>
  <si>
    <t>Polyprion</t>
  </si>
  <si>
    <t>(Schneider &amp; Forster, 1801)</t>
  </si>
  <si>
    <t>Hapuku wreckfish</t>
  </si>
  <si>
    <t>Pooxy_u0.jpg</t>
  </si>
  <si>
    <t>POOXY_U0</t>
  </si>
  <si>
    <t>A deepwater species, occurs in seamounts (Ref. 89357).  Adults occur generally over rough ground from the central shelf (about 100 m) to the shelf edge and down to the upper slope.  Juveniles are found in surface waters, perhaps school in association with drifting weed.  Feed on barracouta and pilchards, in addition to various bottom-dwelling fish. Are primary gonochorists (Ref. 58421).   Preyed upon by sperm whales  (Ref. 9072).  It is taken by droplining down to 400 m, and is sometimes seen in the trawled catch.  Utilized fresh and frozen; can be steamed, fried, broiled, boiled, microwaved and baked (Ref. 9988).  Severely overfished (Ref. 89357).</t>
  </si>
  <si>
    <t>Atlantic salmon</t>
  </si>
  <si>
    <t>Sasal_ub.jpg</t>
  </si>
  <si>
    <t>SASAL_U3</t>
  </si>
  <si>
    <t>Norway in area 27</t>
  </si>
  <si>
    <t>Amphihaline species, spending most of its life in freshwater (Ref. 51442). Occurs in lakes and rocky runs and pools of small to large rivers (Ref. 86798).  Some landlocked populations exist. Found in all rivers where temperature rises above 10¬∞ C for about 3 months per year and does not exceed 20¬∞ C for more than a few weeks in summer (Ref. 59043) (preferred temperatures 4-12¬∞C). Juveniles may live in cold lakes in northern Europe (Ref. 59043). Parr (i.e. juveniles) are territorial and are found in the upper reaches of rivers and streams, in riffle areas with strong current and rough gravel bottoms (Ref. 7471). During winter, parr seek refuge in small spaces or under stones during the day (Refs. 59043, 89461). Young remain in freshwater for 1 to 6 years, then migrate to coastal marine waters or even to open oceans where they remain for 1 to 4 years before returning to freshwater  for spawning (Ref. 51442). Adults inhabit cooler waters with strong to moderate flow (Ref. 44894). The Atlantic salmon is reported to live up to 10 years, but most individuals only reach 4-6 years (Ref. 88187). Juveniles feed mainly on aquatic insects, mollusks, crustaceans and fish; adults at sea feed on squids, shrimps, and fish (Ref. 51442). Most populations depend mostly or exclusively on stocking due to degradations of environmental conditions.  Fishing pressure on wild stocks has decreased due to intensive farming but other problems have increased. Farmed salmons escape in large numbers and move to any river and hybridize with wild stocks (Ref. 59043). This species may hybridize with trout (Salmo trutta) (Ref. 59043). Diseases of the species include furunculosis (Aeromonas salmonicida), corynebacterial kidney disease (Renibacterium salmoninarum), enteric red mouth disease (Yersinia ruckeri), infectious pancreatic necrosis virus, bacterial kidney disease, fin rot and fungus infections (Ref. 5951). Marketed fresh, dried or salted, smoked, and frozen; eaten steamed, fried, broiled, cooked in microwave, and baked (Ref. 9988).</t>
  </si>
  <si>
    <t>Forsterygion</t>
  </si>
  <si>
    <t>Hardy, 1989</t>
  </si>
  <si>
    <t>Common triplefin</t>
  </si>
  <si>
    <t>Folap_u0.jpg</t>
  </si>
  <si>
    <t>Tripterygiinae</t>
  </si>
  <si>
    <t>FOLAP_U1</t>
  </si>
  <si>
    <t>Adults are most common in shallow water (0-5m), although recorded from depths of 30 m (Ref. 84085).  They are commonly found in intertidal rock pools, particularly those with adequate rocky or algal shelter.  They feed mainly on amphipods, isopods, and polychaetes (Ref. 13227).  Eggs are hemispherical and covered with numerous sticky threads that anchor them in the algae on the nesting sites (Ref. 240).  Larvae are planktonic which occur primarily in shallow, nearshore waters (Ref. 94114).</t>
  </si>
  <si>
    <t>Bellapiscis</t>
  </si>
  <si>
    <t>(G√ºnther, 1861)</t>
  </si>
  <si>
    <t>Twister</t>
  </si>
  <si>
    <t>Adults occur in rock pools and surge zones.  They may remain out of water under rocks or seaweed (Ref. 31184).  They feed on mollusks and minute crustaceans, including barnacles.  This agile species eludes predators by alternately remaining motionless, then rapidly darting to a new location.  Feeding occurs even in the swash zone where the fish rapidly darts with the surge and clinging to the rock as the water recedes, often being left exposed on the damp open rock (Ref. 26966).  Eggs are hemispherical and covered with numerous sticky threads that anchor them in the algae on the nesting sites (Ref. 240).  Larvae are planktonic which occur primarily in shallow, nearshore waters (Ref. 94114).  They breathe air when out of water (Ref. 31184).</t>
  </si>
  <si>
    <t>(Cuvier, 1830)</t>
  </si>
  <si>
    <t>Blue green damselfish</t>
  </si>
  <si>
    <t>Chvir_u2.jpg</t>
  </si>
  <si>
    <t>CHVIR_U0</t>
  </si>
  <si>
    <t>Adults are found in large aggregations above thickets of branching &lt;i&gt;Acropora&lt;/i&gt; corals in sheltered areas such as subtidal reef flats and lagoons.  Juveniles closely tied to individual coral heads (Ref. 9710).  Phytoplankton feeders.  Breeding is done on sand and rubble.  Males prepare nest for spawning which is shared with several females.  Large number of eggs spawned hatching in 2-3 days.  Males guard the nest ventilating fertilized egg with their caudal fins and feeding on those which do not hatch.  Oviparous, distinct pairing during breeding (Ref. 205).  Eggs are demersal and adhere to the substrate (Ref. 205). Diurnal species (Ref. 54980; 113699).</t>
  </si>
  <si>
    <t>Amphiprion</t>
  </si>
  <si>
    <t>Bleeker, 1852</t>
  </si>
  <si>
    <t>Fire clownfish</t>
  </si>
  <si>
    <t>Ammel_ud.jpg</t>
  </si>
  <si>
    <t>Amphiprioninae</t>
  </si>
  <si>
    <t>AMMEL_UC</t>
  </si>
  <si>
    <t>Adults inhabit lagoon and outer reef environments.  Feed predominantly on planktonic copepods and algae.  Oviparous, distinct pairing during breeding (Ref. 205).  Eggs are demersal and adhere to the substrate (Ref. 205).  Males guard and aerate the eggs (Ref. 205).  Associated with the anemones: &lt;ahref=http://hercules.kgs.ku.edu/hexacoral/anemone2/speciesdetail.cfm?genus=Entacmaea&amp;subgenus=&amp;species=quadricolor&amp;subspecies=&amp;synseniorid=51&gt;&lt;i&gt;Entacmaea quadricolor&lt;/i&gt;&lt;/a&gt; (usually), &lt;a href=http://hercules.kgs.ku.edu/hexacoral/anemone2/speciesdetail.cfm?genus=Heteractis&amp;subgenus=&amp;species=crispa&amp;subspecies=&amp;synseniorid=89&amp;validspecies=Heteractis%20crispa&amp;authorship=%28Hemprich%20and%20Ehrenberg%20in%20Ehrenberg%2C%201834%29&gt;&lt;i&gt;Heteractis crispa&lt;/i&gt;&lt;/a&gt; (occasionally), and &lt;a href=http://hercules.kgs.ku.edu/hexacoral/anemone2/speciesdetail.cfm?genus=Heteractis&amp;subgenus=&amp;species=magnifica&amp;subspecies=&amp;synseniorid=83&amp;validspecies=Heteractis%20magnifica&amp;authorship=%28Quoy%20and%20Gaimard%2C%201833%29&gt;&lt;i&gt;Heteractis magnifica&lt;/i&gt;&lt;/a&gt; (rarely) (Ref. 5911).  Has been reared in captivity (Ref. 35404, 35413, 35420).</t>
  </si>
  <si>
    <t>(Lacep√®de, 1802)</t>
  </si>
  <si>
    <t>Orange clownfish</t>
  </si>
  <si>
    <t>Amper_ur.jpg</t>
  </si>
  <si>
    <t>AMPER_UF</t>
  </si>
  <si>
    <t>Adults inhabit lagoon and seaward reefs (Ref. 9710).  Each group of fish consists of a breeding pair and 0-4 non-breeders.  Within each group there is a size-based hierarchy:  the female is largest, the male is second largest, and the non-breeders get progressively smaller as the hierarchy is descended.  If the female dies, the male changes sex and becomes the breeding female, while the largest non-breeder becomes the breeding male.  The maintenance of size differences may avoid conflicts, because subordinates do not become a threat to their dominants (Ref. 47841).  Oviparous, distinct pairing during breeding (Ref. 205).  Eggs are demersal and adhere to the substrate (Ref. 205).  Males guard and aerate the eggs (Ref. 205).  Maybe found  in shallower depths than &lt;i&gt;A. ocellaris&lt;/i&gt;.  Associated with the anemones:  &lt;a href=http://hercules.kgs.ku.edu/hexacoral/anemone2/speciesdetail.cfm?genus=Heteractis&amp;subgenus=&amp;species=crispa&amp;subspecies=&amp;synseniorid=89&amp;validspecies=Heteractis%20crispa&amp;authorship=%28Hemprich%20and%20Ehrenberg%20in%20Ehrenberg%2C%201834%29&gt;&lt;i&gt;Heteractis crispa&lt;/i&gt;&lt;/a&gt;, &lt;a href=http://hercules.kgs.ku.edu/hexacoral/anemone2/speciesdetail.cfm?genus=Heteractis&amp;subgenus=&amp;species=magnifica&amp;subspecies=&amp;synseniorid=83&amp;validspecies=Heteractis%20magnifica&amp;authorship=%28Quoy%20and%20Gaimard%2C%201833%29&gt;&lt;i&gt;Heteractis magnifica&lt;/i&gt;&lt;/a&gt;, and &lt;a href=http://hercules.kgs.ku.edu/hexacoral/anemone2/speciesdetail.cfm?genus=Stichodactyla&amp;subgenus=&amp;species=gigantea&amp;subspecies=&amp;synseniorid=147&amp;validspecies=Stichodactyla%20gigantea&amp;authorship=%28Forsk%E5l%2C%201775%29&gt;&lt;i&gt;Stichodactyla gigantea&lt;/i&gt;&lt;/a&gt; (Ref. 5911).  This species has been reared in captivity (Ref. 35404, 35413, 35420).</t>
  </si>
  <si>
    <t>Notothenia</t>
  </si>
  <si>
    <t>Richardson, 1844</t>
  </si>
  <si>
    <t>Marbled rockcod</t>
  </si>
  <si>
    <t>Noros_u1.jpg</t>
  </si>
  <si>
    <t>Nototheniinae</t>
  </si>
  <si>
    <t>The sexually immature members of the population stay in lesser depths, mainly in the shallow fjord bays.  Yearlings feed mainly on mesozooplankton in the near surface zone (5-15 m).  Immature and mature fish are benthic but stay in shallower depths (10-20 m).  Sexually mature fish move out of the fjord to stay in the shelf zone.  Spawn once a year (Ref. 89316).  Maximum life span for males is 12 years (Ref. 28106).</t>
  </si>
  <si>
    <t>Trematomus</t>
  </si>
  <si>
    <t>Boulenger, 1902</t>
  </si>
  <si>
    <t>Emerald rockcod</t>
  </si>
  <si>
    <t>Trber_u0.jpg</t>
  </si>
  <si>
    <t>Trematominae</t>
  </si>
  <si>
    <t>The genus &lt;i&gt;Pseudotrematomus&lt;/i&gt; is a synonym of &lt;i&gt;Trematomus&lt;/i&gt;, which is confirmed by a molecular study to be published (J.-C. Hureau, pers. comm. 08 Jun. 2010).</t>
  </si>
  <si>
    <t>Found in seafloors, well adapted to extremely low and stable temperatures (-1.86¬∞C, annual mean temperature of McMurdo Sound) (Ref. 45168).  Feed on polychaetes, gastropods, isopods, amphipods and few algae.  Spawn once a year (Ref. 1071).  Utilized for human consumption.</t>
  </si>
  <si>
    <t>Clarias</t>
  </si>
  <si>
    <t>(Burchell, 1822)</t>
  </si>
  <si>
    <t>North African catfish</t>
  </si>
  <si>
    <t>Clgar_u8.jpg</t>
  </si>
  <si>
    <t>CLGAR_U1</t>
  </si>
  <si>
    <t>weakly discharging</t>
  </si>
  <si>
    <t>Adults occur mainly in quiet waters, lakes and pools (Ref. 248) and prefer rather shallow and swampy areas with a soft muddy substrate and calmer water (Ref. 78218). They may also occur in fast flowing rivers and in rapids (Ref. 248, 78218). Recorded as having been or being farmed in rice fields (Ref. 119549). The two known colour types appear to correlate with water turbidity and substrate type (Ref. 81644).  Widely tolerant of extreme environmental conditions (Ref. 6465). Water parameters appear to play only a very minor role (Ref. 78218).  The presence of an accessory breathing organ enables this species to breath air when very active or under very dry conditions.  They remain in the muddy substrates of ponds and occasionally gulp air through the mouth (Ref. 6465).  Can leave the water at night using its strong pectoral fins and spines in search of land-based food or can move into the breeding areas through very shallow pathways (Ref. 6868).  Omnivorous bottom feeders which occasionally feed at the surface (Ref. 248).  Feed at night on a wide variety of prey (Ref. 6868) like insects, plankton, invertebrates and fish but also take in young birds, rotting flesh and plants (Ref. 6465).  Migrate to rivers and temporary streams to spawn (Ref. 34291).  Also caught with dragnets.  During intra-specific aggressive interactions, this species was noted to generate electric organ discharges that were monophasic, head-positive and lasting from 5-260 ms (Ref. 10479).  Known as sharptooth catfish in aquaculture, a highly recommended food fish in Africa (Ref. 52863). Marketed fresh and frozen; eaten broiled, fried and baked (Ref. 9987).</t>
  </si>
  <si>
    <t>Platichthys</t>
  </si>
  <si>
    <t>European flounder</t>
  </si>
  <si>
    <t>Plfle_u2.jpg</t>
  </si>
  <si>
    <t>Pleuronectinae</t>
  </si>
  <si>
    <t>PLFLE_U0</t>
  </si>
  <si>
    <t>PLFLE_L0</t>
  </si>
  <si>
    <t>experimental</t>
  </si>
  <si>
    <t>Migratory fish, which is most of the year found in estuaries (Ref. 51442).  Adults occur on mud and sand bottom in shallow water, at sea and brackish; often entering freshwaters (Ref. 59043).  During winter, adults retreat to deeper, warmer waters, where they spawn in spring (Ref. 30193).  The growing larvae are moving to the coast (Ref. 51442).  Larvae and early juveniles use selective tidal transport to migrate upstream rivers (Ref. 57575) using a range of triggers such as salinity, prey density and water temperature (Ref. 57573, 57574).  Juveniles live in shallow coastal waters and estuaries (Ref. 57574), which are also the summer feeding grounds for the adults (Ref. 30193).  Juveniles of less than a year old feed on plankton and larvae of insects, juveniles of more than a year and adults feed on benthic fauna (Ref. 51442), including small fishes and invertebrates (Ref. 30193).  Nocturnal and burrowing (Ref. 30193).  Marketed fresh and frozen; can be steamed, fried, boiled, microwaved and baked (Ref. 9988).  Worms and mollusks are excellent baits for line fishing (Ref. 30578).</t>
  </si>
  <si>
    <t>Trachurus</t>
  </si>
  <si>
    <t>Atlantic horse mackerel</t>
  </si>
  <si>
    <t>Trtra_u6.jpg</t>
  </si>
  <si>
    <t>Caranginae</t>
  </si>
  <si>
    <t>FL</t>
  </si>
  <si>
    <t>TRTRA_U3</t>
  </si>
  <si>
    <t>TRTRA_L0</t>
  </si>
  <si>
    <t>mainly area 27 (225000 t), 47 (480000 t)</t>
  </si>
  <si>
    <t>Adults form large schools in coastal areas with sandy substrate.  They feed on fish, crustaceans, and cephalopods.  Are batch spawners (Ref. 51846).  Females lay 140,000 eggs, which hatch into 5mm long larvae (Ref. 35388).  Eggs are pelagic (Ref. 4233).  Utilized fresh, smoked, canned and frozen; can be fried, broiled and baked (Ref. 9988).  Divided into two stocks:  West stock and North Sea stock.  West stock spawns in a belt from the Biscay to Ireland in early spring, migrates north and eastwards to southern Norway and northern North Sea.  North Sea stock spawns in the southern North Sea in summer, migrates to central North Sea, Skagerrak and Kattegat.</t>
  </si>
  <si>
    <t>Torpedo</t>
  </si>
  <si>
    <t>Risso, 1810</t>
  </si>
  <si>
    <t>Marbled electric ray</t>
  </si>
  <si>
    <t>Tomar_u1.jpg</t>
  </si>
  <si>
    <t>strongly discharging</t>
  </si>
  <si>
    <t>Occurs in seagrass areas, rocky reefs, and adjacent soft bottoms (Ref. 12951).  Avoids temperatures above 20¬∞C (Ref. 10011).  Nocturnal, usually burying itself during the day with only the eyes and spiracle jutting out (Ref. 12382).  Feeds on small benthic fishes &lt;i&gt;Trachurus, Mugil, Mullus, Dicentrarchus, Spondyliosoma, Boops, Labrus, Dascyllus, Pomacentrus&lt;/i&gt;) and crustaceans (Ref. 10011).  Females outlive males; viviparous, neonates measuring  10-14 cm at birth (Ref. 10426).  Produces 2-32 pups in a litter after a 10-month gestation (Ref. 12951, Ref. 114953). Males reaches maturity at ca. 30 cm TL, females at ca. 40 cm TL; born at 10-14 cm TL (Ref. 114953). Electrocytes start developing when the embryo weighs about 1 g; electric organs functional before birth and newborns can use their electric organ discharge (EOD) in capturing prey (Ref. 10428).  Can produce electric discharges of up to 200 volts; EOD frequency up to 600 Hz.  Jumps on fast-moving prey, paralyzing it with its EOD (Ref. 27000).</t>
  </si>
  <si>
    <t>Cuvier, 1830</t>
  </si>
  <si>
    <t>Orangefin anemonefish</t>
  </si>
  <si>
    <t>Amchr_u0.jpg</t>
  </si>
  <si>
    <t>Amchr_j1.jpg</t>
  </si>
  <si>
    <t>AMCHR_U6</t>
  </si>
  <si>
    <t>Adults inhabit passages and outer reef slopes.  Known to occur at 25¬∞C.  Feed chiefly on planktonic copepods, algae, echiuroid and sipunculoid worms, and pelagic tunicates.  Oviparous, distinct pairing during breeding (Ref. 205).  Eggs are demersal and adhere to the substrate (Ref. 205).  Males guard and aerate the eggs (Ref. 205).  Associated with the anemones:   &lt;a href=http://hercules.kgs.ku.edu/hexacoral/anemone2/speciesdetail.cfm?genus=Entacmaea&amp;subgenus=&amp;species=quadricolor&amp;subspecies=&amp;synseniorid=51&gt;&lt;i&gt;Entacmaea quadricolor&lt;/i&gt;&lt;/a&gt;, &lt;a href=http://hercules.kgs.ku.edu/hexacoral/anemone2/speciesdetail.cfm?genus=Heteractis&amp;subgenus=&amp;species=aurora&amp;subspecies=&amp;synseniorid=15&amp;validspecies=Heteractis%20aurora&amp;authorship=%28Quoy%20and%20Gaimard%2C%201833%29&gt;&lt;i&gt;Heteractis aurora&lt;/i&gt;&lt;/a&gt;, &lt;a href=http://hercules.kgs.ku.edu/hexacoral/anemone2/speciesdetail.cfm?genus=Heteractis&amp;subgenus=&amp;species=crispa&amp;subspecies=&amp;synseniorid=89&amp;validspecies=Heteractis%20crispa&amp;authorship=%28Hemprich%20and%20Ehrenberg%20in%20Ehrenberg%2C%201834%29&gt;&lt;i&gt;Heteractis crispa&lt;/i&gt;&lt;/a&gt;, &lt;a href=http://hercules.kgs.ku.edu/hexacoral/anemone2/speciesdetail.cfm?genus=Heteractis&amp;subgenus=&amp;species=magnifica&amp;subspecies=&amp;synseniorid=83&amp;validspecies=Heteractis%20magnifica&amp;authorship=%28Quoy%20and%20Gaimard%2C%201833%29&gt;&lt;i&gt;Heteractis magnifica&lt;/i&gt;&lt;/a&gt;, &lt;a href=http://hercules.kgs.ku.edu/hexacoral/anemone2/speciesdetail.cfm?genus=Stichodactyla&amp;subgenus=&amp;species=haddoni&amp;subspecies=&amp;synseniorid=113&amp;validspecies=Stichodactyla%20haddoni&amp;authorship=%28Saville%2DKent%2C%201893%29&gt;&lt;i&gt;Stichodactyla haddoni&lt;/i&gt;&lt;/a&gt;, and &lt;a href=http://hercules.kgs.ku.edu/hexacoral/anemone2/speciesdetail.cfm?genus=Stichodactyla&amp;subgenus=&amp;species=mertensii&amp;subspecies=&amp;synseniorid=116&amp;validspecies=Stichodactyla%20mertensii&amp;authorship=Brandt%2C%201835&gt;&lt;i&gt;Stichodactyla mertensii&lt;/i&gt;&lt;/a&gt; (Ref. 5911).</t>
  </si>
  <si>
    <t>Amatitlania</t>
  </si>
  <si>
    <t>(G√ºnther, 1867)</t>
  </si>
  <si>
    <t>Convict cichlid</t>
  </si>
  <si>
    <t>Amnig_f1.jpg</t>
  </si>
  <si>
    <t>Amnig_m0.jpg</t>
  </si>
  <si>
    <t>Amnig_f0.jpg</t>
  </si>
  <si>
    <t>Arnig_j1.jpg</t>
  </si>
  <si>
    <t>Cichlasomatinae</t>
  </si>
  <si>
    <t>r</t>
  </si>
  <si>
    <t>Adults inhabit flowing water from small creeks and streams to the shallows of large and fast flowing rivers (Ref. 7335).  Prefer rocky habitats and finds sanctuary in the various cracks and crevices provided by this type of environment (Ref. 7335), or among roots and debris (Ref. 44091).  They occur in warm pools of springs and their effluents (Ref. 7020).  Feed on worms, crustaceans, insects, fish and plant matter (Refs. 7020; 44091).  Also used in behavioral studies (Ref. 4537).  Approximately 100-150 eggs are deposited and are vigorously guarded and cared for by both male and female (Ref. 44091).  A popular aquarium fish which requires high temperature to maintain itself in an environment, e.g. artificially heated waters of power stations.  Aquarium keeping:  in pairs; minimum aquarium size 80 cm (Ref. 51539).</t>
  </si>
  <si>
    <t>Thunnus</t>
  </si>
  <si>
    <t>(Temminck &amp; Schlegel, 1844)</t>
  </si>
  <si>
    <t>Pacific bluefin tuna</t>
  </si>
  <si>
    <t>Thori_u1.gif</t>
  </si>
  <si>
    <t>Scombrinae</t>
  </si>
  <si>
    <t>THTHYOU1</t>
  </si>
  <si>
    <t>Epipelagic, usually oceanic, but seasonally coming close to shore (Ref. 168).  Tolerates  ample temperature intervals (Ref. 168).  Forms schools by size, sometimes with other scombrids (Ref. 168).  Migrates between June and September in a northward direction along the coast of Baja California, Mexico and California (Ref. 168).  A voracious predator that feeds on a wide variety of small schooling fishes and squids, also on crabs crabs and to a lesser degree on sessile organisms (Ref. 168).  Marketed fresh and frozen.</t>
  </si>
  <si>
    <t>Fundulus heteroclitus</t>
  </si>
  <si>
    <t>Mummichog</t>
  </si>
  <si>
    <t>Fuhet_j0.jpg</t>
  </si>
  <si>
    <t>Occurs in saltwater marshes, tidal creeks and nearby fresh water (Ref. 86798).  A resident intertidal species with homing behavior (Ref. 32612).  Adults are mainly found in saltwater marshes and in tidal creeks.  They may leave tide pools if aquatic conditions become inhospitable (Ref. 31184).  They also enter fresh water to a limited extent (Ref. 7251).  Not a seasonal killifish.  They breathe air when out of water (Ref. 31184).  Difficult to maintain in aquariums (Ref. 27139).  Introduction has caused the decline of native species and near extinction of &lt;i&gt;Aphanius baeticus&lt;/i&gt; in southwestern Spain (Ref. 59043).</t>
  </si>
  <si>
    <t>Danio rerio</t>
  </si>
  <si>
    <t>Danio</t>
  </si>
  <si>
    <t>(Hamilton, 1822)</t>
  </si>
  <si>
    <t>Zebra danio</t>
  </si>
  <si>
    <t>Darer_m0.jpg</t>
  </si>
  <si>
    <t>Danioninae</t>
  </si>
  <si>
    <t>Adults inhabit streams, canals, ditches, ponds and beels (Ref. 1479).  Occur in slow-moving to stagnant standing water bodies, particularly rice-fields (Ref. 4832); and lower reaches of streams (Ref. 58912).  Common in rivulets at foot hills (Ref. 41236).  Feed on worms and small crustaceans (Ref. 7020); also on insect larvae.  Breed all year round (Ref. 58913). Appears to be primarily an annual species in the wild, the spawning season starting just before the onset of the monsoon (Ref. 72224).  Domesticated zebrafish live on average 3.5 years, with oldest individuals surviving up to 5.5 years (Ref. 58923). Spawning is induced by temperature and commences at the onset of the monsoon season (Ref. 58913).  Food availability also acts as cue for breeding (Ref. 58913).  Growth rate is a vital guiding environmental factor for sexual differentiation for this species as observed in a study (Ref. 58948).  In this same study, frequency and amount of food prior to and throughout gonadal differentiation period resulted in more individuals differentiating to become females and is more pronounced in hybrid than pure bred groups (Ref. 58948).  Often used for mosquito control (Ref 6351).  Popular for aquarium purposes (Ref. 44325).  Used as a model system (=organism) for developmental biology (Ref. 47810).  Aquarium keeping:  in groups of 5 or more individuals; minimum aquarium size 60 cm (Ref. 51539).</t>
  </si>
  <si>
    <t>Myoxocephalus scorpius</t>
  </si>
  <si>
    <t>Myoxocephalus</t>
  </si>
  <si>
    <t>Shorthorn sculpin</t>
  </si>
  <si>
    <t>Mysco_m0.jpg</t>
  </si>
  <si>
    <t>MYSCO_U0</t>
  </si>
  <si>
    <t>MYSCO_L0</t>
  </si>
  <si>
    <t>Found on rocky bottoms with sand or mud, or among seaweeds (Ref. 4698).  Benthic (Ref. 58426).  Feeds on fishes, large crustaceans, occasionally polychaetes and amphipods (Ref. 4698).  During the spawning season, the male's underside becomes deep red with white spots.</t>
  </si>
  <si>
    <t>https://www.fishbase.se/summary/Girella-nigricans.html</t>
  </si>
  <si>
    <t>https://www.fishbase.se/summary/Fundulus-parvipinnis.html</t>
  </si>
  <si>
    <t>https://www.fishbase.se/summary/Fundulus-heteroclitus.html</t>
  </si>
  <si>
    <t xml:space="preserve">All fundulus are elongated, use the same for this species. </t>
  </si>
  <si>
    <t>https://www.fishbase.se/summary/Danio-rerio.html</t>
  </si>
  <si>
    <t>https://www.fishbase.se/summary/Myoxocephalus-scorpius.html</t>
  </si>
  <si>
    <t>https://www.fishbase.se/summary/6</t>
  </si>
  <si>
    <t>ecol_relev_MMR</t>
  </si>
  <si>
    <t>ecol_relev_RMR</t>
  </si>
  <si>
    <t>warm_MMR</t>
  </si>
  <si>
    <t>warm_RMR</t>
  </si>
  <si>
    <t>Y</t>
  </si>
  <si>
    <t>Last accessed</t>
  </si>
  <si>
    <t>Fishabes.org species information url.</t>
  </si>
  <si>
    <t>Gambusia holbrooki *</t>
  </si>
  <si>
    <t>Lates calcarifer *</t>
  </si>
  <si>
    <t>Oncorhynchus kisutch *</t>
  </si>
  <si>
    <t>Rhodeus sinensis *</t>
  </si>
  <si>
    <t>Schizothorax wangchiachii *</t>
  </si>
  <si>
    <t>Sinibrama taeniatus *</t>
  </si>
  <si>
    <t>Torpedo marmorata *</t>
  </si>
  <si>
    <t xml:space="preserve">Fundulus heteroclitus * </t>
  </si>
  <si>
    <t>-</t>
  </si>
  <si>
    <t>Warm ºC</t>
  </si>
  <si>
    <t>Optim-al ºC</t>
  </si>
  <si>
    <t>DorsVen</t>
  </si>
  <si>
    <t xml:space="preserve"> fishbase.org</t>
  </si>
  <si>
    <t xml:space="preserve"> 'rfishbase' in R</t>
  </si>
  <si>
    <t>URL fishbase.org</t>
  </si>
  <si>
    <t>Opt. 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</si>
</sst>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409]d\-mmm\-yyyy;@"/>
  </numFmts>
  <fonts count="32" x14ac:knownFonts="1">
    <font>
      <sz val="12"/>
      <color theme="1"/>
      <name val="Calibri"/>
      <family val="2"/>
      <scheme val="minor"/>
    </font>
    <font>
      <sz val="12"/>
      <color theme="1"/>
      <name val="Calibri"/>
      <family val="2"/>
      <scheme val="minor"/>
    </font>
    <font>
      <sz val="12"/>
      <color rgb="FF9C0006"/>
      <name val="Calibri"/>
      <family val="2"/>
      <scheme val="minor"/>
    </font>
    <font>
      <u/>
      <sz val="12"/>
      <color theme="10"/>
      <name val="Calibri"/>
      <family val="2"/>
      <scheme val="minor"/>
    </font>
    <font>
      <sz val="12"/>
      <color theme="1"/>
      <name val="Arial"/>
      <family val="2"/>
    </font>
    <font>
      <b/>
      <sz val="12"/>
      <color theme="1"/>
      <name val="Arial"/>
      <family val="2"/>
    </font>
    <font>
      <b/>
      <sz val="12"/>
      <color rgb="FFFF0000"/>
      <name val="Arial"/>
      <family val="2"/>
    </font>
    <font>
      <sz val="12"/>
      <color rgb="FF9C0006"/>
      <name val="Arial"/>
      <family val="2"/>
    </font>
    <font>
      <u/>
      <sz val="12"/>
      <color theme="10"/>
      <name val="Arial"/>
      <family val="2"/>
    </font>
    <font>
      <sz val="12"/>
      <color rgb="FF000000"/>
      <name val="Arial"/>
      <family val="2"/>
    </font>
    <font>
      <sz val="12"/>
      <color rgb="FF9C5700"/>
      <name val="Calibri"/>
      <family val="2"/>
      <scheme val="minor"/>
    </font>
    <font>
      <b/>
      <sz val="12"/>
      <color theme="1"/>
      <name val="Calibri"/>
      <family val="2"/>
      <scheme val="minor"/>
    </font>
    <font>
      <b/>
      <i/>
      <sz val="12"/>
      <color theme="1"/>
      <name val="Arial"/>
      <family val="2"/>
    </font>
    <font>
      <i/>
      <sz val="12"/>
      <color rgb="FF000000"/>
      <name val="Arial"/>
      <family val="2"/>
    </font>
    <font>
      <i/>
      <sz val="12"/>
      <color theme="1"/>
      <name val="Arial"/>
      <family val="2"/>
    </font>
    <font>
      <b/>
      <sz val="14"/>
      <color theme="1"/>
      <name val="Arial"/>
      <family val="2"/>
    </font>
    <font>
      <sz val="12"/>
      <color theme="1"/>
      <name val="Calibri (Body)"/>
    </font>
    <font>
      <b/>
      <sz val="12"/>
      <color theme="1"/>
      <name val="Calibri (Body)"/>
    </font>
    <font>
      <i/>
      <sz val="12"/>
      <color theme="1"/>
      <name val="Calibri"/>
      <family val="2"/>
      <scheme val="minor"/>
    </font>
    <font>
      <sz val="12"/>
      <color theme="1"/>
      <name val="Times New Roman"/>
      <family val="1"/>
    </font>
    <font>
      <i/>
      <sz val="12"/>
      <color theme="1"/>
      <name val="Times New Roman"/>
      <family val="1"/>
    </font>
    <font>
      <b/>
      <sz val="12"/>
      <color theme="1"/>
      <name val="Times New Roman"/>
      <family val="1"/>
    </font>
    <font>
      <b/>
      <sz val="14"/>
      <color theme="1"/>
      <name val="Times New Roman"/>
      <family val="1"/>
    </font>
    <font>
      <sz val="12"/>
      <color rgb="FF000000"/>
      <name val="Times New Roman"/>
      <family val="1"/>
    </font>
    <font>
      <b/>
      <i/>
      <sz val="12"/>
      <color theme="1"/>
      <name val="Times New Roman"/>
      <family val="1"/>
    </font>
    <font>
      <u/>
      <sz val="12"/>
      <color theme="10"/>
      <name val="Times New Roman"/>
      <family val="1"/>
    </font>
    <font>
      <sz val="12"/>
      <color rgb="FF006100"/>
      <name val="Calibri"/>
      <family val="2"/>
      <scheme val="minor"/>
    </font>
    <font>
      <sz val="10"/>
      <color rgb="FF000000"/>
      <name val="Helvetica Neue"/>
      <family val="2"/>
    </font>
    <font>
      <b/>
      <sz val="10"/>
      <color rgb="FF000000"/>
      <name val="Helvetica Neue"/>
      <family val="2"/>
    </font>
    <font>
      <sz val="8"/>
      <name val="Calibri"/>
      <family val="2"/>
      <scheme val="minor"/>
    </font>
    <font>
      <b/>
      <sz val="10"/>
      <color rgb="FF000000"/>
      <name val="Times New Roman"/>
      <family val="1"/>
    </font>
    <font>
      <sz val="10"/>
      <color rgb="FF000000"/>
      <name val="Times New Roman"/>
      <family val="1"/>
    </font>
  </fonts>
  <fills count="16">
    <fill>
      <patternFill patternType="none"/>
    </fill>
    <fill>
      <patternFill patternType="gray125"/>
    </fill>
    <fill>
      <patternFill patternType="solid">
        <fgColor rgb="FFFFC7CE"/>
      </patternFill>
    </fill>
    <fill>
      <patternFill patternType="solid">
        <fgColor theme="6" tint="0.39997558519241921"/>
        <bgColor indexed="65"/>
      </patternFill>
    </fill>
    <fill>
      <patternFill patternType="solid">
        <fgColor theme="5"/>
        <bgColor indexed="64"/>
      </patternFill>
    </fill>
    <fill>
      <patternFill patternType="solid">
        <fgColor theme="4"/>
        <bgColor indexed="64"/>
      </patternFill>
    </fill>
    <fill>
      <patternFill patternType="solid">
        <fgColor rgb="FFFFC000"/>
        <bgColor indexed="64"/>
      </patternFill>
    </fill>
    <fill>
      <patternFill patternType="solid">
        <fgColor theme="8" tint="0.59999389629810485"/>
        <bgColor indexed="64"/>
      </patternFill>
    </fill>
    <fill>
      <patternFill patternType="solid">
        <fgColor rgb="FFFFEB9C"/>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rgb="FFFF0000"/>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s>
  <cellStyleXfs count="6">
    <xf numFmtId="0" fontId="0" fillId="0" borderId="0"/>
    <xf numFmtId="0" fontId="2" fillId="2" borderId="0" applyNumberFormat="0" applyBorder="0" applyAlignment="0" applyProtection="0"/>
    <xf numFmtId="0" fontId="1" fillId="3" borderId="0" applyNumberFormat="0" applyBorder="0" applyAlignment="0" applyProtection="0"/>
    <xf numFmtId="0" fontId="3" fillId="0" borderId="0" applyNumberFormat="0" applyFill="0" applyBorder="0" applyAlignment="0" applyProtection="0"/>
    <xf numFmtId="0" fontId="10" fillId="8" borderId="0" applyNumberFormat="0" applyBorder="0" applyAlignment="0" applyProtection="0"/>
    <xf numFmtId="0" fontId="26" fillId="14" borderId="0" applyNumberFormat="0" applyBorder="0" applyAlignment="0" applyProtection="0"/>
  </cellStyleXfs>
  <cellXfs count="190">
    <xf numFmtId="0" fontId="0" fillId="0" borderId="0" xfId="0"/>
    <xf numFmtId="0" fontId="4" fillId="0" borderId="0" xfId="0" applyFont="1"/>
    <xf numFmtId="0" fontId="4" fillId="0" borderId="2" xfId="0" applyFont="1" applyBorder="1"/>
    <xf numFmtId="0" fontId="5" fillId="3" borderId="2" xfId="2" applyFont="1" applyBorder="1" applyAlignment="1">
      <alignment horizontal="center"/>
    </xf>
    <xf numFmtId="0" fontId="6" fillId="3" borderId="2" xfId="2" applyFont="1" applyBorder="1" applyAlignment="1">
      <alignment horizontal="center"/>
    </xf>
    <xf numFmtId="0" fontId="4" fillId="0" borderId="4" xfId="0" applyFont="1" applyBorder="1"/>
    <xf numFmtId="0" fontId="5" fillId="3" borderId="4" xfId="2" applyFont="1" applyBorder="1" applyAlignment="1">
      <alignment horizontal="center"/>
    </xf>
    <xf numFmtId="0" fontId="6" fillId="3" borderId="4" xfId="2" applyFont="1" applyBorder="1" applyAlignment="1">
      <alignment horizontal="center"/>
    </xf>
    <xf numFmtId="15" fontId="4" fillId="0" borderId="0" xfId="0" applyNumberFormat="1" applyFont="1"/>
    <xf numFmtId="0" fontId="7" fillId="2" borderId="0" xfId="1" applyFont="1"/>
    <xf numFmtId="0" fontId="8" fillId="0" borderId="0" xfId="3" applyFont="1"/>
    <xf numFmtId="0" fontId="7" fillId="2" borderId="0" xfId="1" quotePrefix="1" applyFont="1"/>
    <xf numFmtId="0" fontId="9"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4" xfId="0" applyFont="1" applyBorder="1"/>
    <xf numFmtId="0" fontId="9" fillId="0" borderId="7" xfId="0" applyFont="1" applyBorder="1"/>
    <xf numFmtId="0" fontId="9" fillId="0" borderId="8" xfId="0" applyFont="1" applyBorder="1"/>
    <xf numFmtId="0" fontId="4" fillId="0" borderId="7" xfId="0" applyFont="1" applyBorder="1"/>
    <xf numFmtId="0" fontId="4" fillId="0" borderId="8" xfId="0" applyFont="1" applyBorder="1"/>
    <xf numFmtId="15" fontId="4" fillId="0" borderId="0" xfId="0" applyNumberFormat="1" applyFont="1" applyAlignment="1">
      <alignment wrapText="1"/>
    </xf>
    <xf numFmtId="0" fontId="4" fillId="0" borderId="0" xfId="0" applyFont="1" applyAlignment="1">
      <alignment wrapText="1"/>
    </xf>
    <xf numFmtId="0" fontId="5" fillId="3" borderId="4" xfId="2" applyFont="1" applyBorder="1" applyAlignment="1">
      <alignment horizontal="center" vertical="center" wrapText="1"/>
    </xf>
    <xf numFmtId="0" fontId="13" fillId="0" borderId="7" xfId="0" applyFont="1" applyBorder="1"/>
    <xf numFmtId="0" fontId="14" fillId="0" borderId="7" xfId="0" applyFont="1" applyBorder="1"/>
    <xf numFmtId="0" fontId="12" fillId="3" borderId="1" xfId="2" applyFont="1" applyBorder="1" applyAlignment="1">
      <alignment horizontal="center" vertical="center"/>
    </xf>
    <xf numFmtId="0" fontId="5" fillId="3" borderId="1" xfId="2" applyFont="1" applyBorder="1" applyAlignment="1">
      <alignment horizontal="center" vertical="center"/>
    </xf>
    <xf numFmtId="0" fontId="5" fillId="3" borderId="5" xfId="2" applyFont="1" applyBorder="1" applyAlignment="1">
      <alignment horizontal="center" vertical="center"/>
    </xf>
    <xf numFmtId="0" fontId="12" fillId="3" borderId="3" xfId="2" applyFont="1" applyBorder="1" applyAlignment="1">
      <alignment horizontal="center" vertical="center" wrapText="1"/>
    </xf>
    <xf numFmtId="0" fontId="4" fillId="0" borderId="4" xfId="0" applyFont="1" applyBorder="1" applyAlignment="1">
      <alignment horizontal="center" vertical="center" wrapText="1"/>
    </xf>
    <xf numFmtId="0" fontId="6" fillId="3" borderId="3" xfId="2" applyFont="1" applyBorder="1" applyAlignment="1">
      <alignment horizontal="center" vertical="center" wrapText="1"/>
    </xf>
    <xf numFmtId="0" fontId="5" fillId="3" borderId="6" xfId="2" applyFont="1" applyBorder="1" applyAlignment="1">
      <alignment horizontal="center" vertical="center" wrapText="1"/>
    </xf>
    <xf numFmtId="0" fontId="5" fillId="6" borderId="1" xfId="0" applyFont="1" applyFill="1" applyBorder="1" applyAlignment="1">
      <alignment horizontal="center" vertical="center"/>
    </xf>
    <xf numFmtId="0" fontId="5" fillId="7" borderId="2" xfId="0" applyFont="1" applyFill="1" applyBorder="1" applyAlignment="1">
      <alignment horizontal="center" vertical="center"/>
    </xf>
    <xf numFmtId="0" fontId="4" fillId="0" borderId="2" xfId="0" applyFont="1" applyBorder="1" applyAlignment="1">
      <alignment horizontal="center" vertical="center"/>
    </xf>
    <xf numFmtId="0" fontId="15" fillId="6" borderId="3" xfId="0" applyFont="1" applyFill="1" applyBorder="1" applyAlignment="1">
      <alignment horizontal="center" vertical="center" wrapText="1"/>
    </xf>
    <xf numFmtId="0" fontId="15" fillId="7" borderId="4" xfId="0" applyFont="1" applyFill="1" applyBorder="1" applyAlignment="1">
      <alignment horizontal="center" vertical="center" wrapText="1"/>
    </xf>
    <xf numFmtId="0" fontId="4" fillId="9" borderId="0" xfId="0" applyFont="1" applyFill="1"/>
    <xf numFmtId="0" fontId="13" fillId="9" borderId="7" xfId="0" applyFont="1" applyFill="1" applyBorder="1"/>
    <xf numFmtId="0" fontId="10" fillId="0" borderId="8" xfId="4" applyFill="1" applyBorder="1"/>
    <xf numFmtId="0" fontId="9" fillId="9" borderId="8" xfId="0" applyFont="1" applyFill="1" applyBorder="1" applyAlignment="1">
      <alignment wrapText="1"/>
    </xf>
    <xf numFmtId="0" fontId="4" fillId="9" borderId="0" xfId="1" applyFont="1" applyFill="1" applyBorder="1"/>
    <xf numFmtId="0" fontId="6" fillId="3" borderId="1" xfId="2" applyFont="1" applyBorder="1" applyAlignment="1">
      <alignment horizontal="center" vertical="center"/>
    </xf>
    <xf numFmtId="0" fontId="0" fillId="0" borderId="8" xfId="0" applyBorder="1"/>
    <xf numFmtId="0" fontId="4" fillId="9" borderId="7" xfId="1" applyFont="1" applyFill="1" applyBorder="1"/>
    <xf numFmtId="0" fontId="4" fillId="9" borderId="7" xfId="1" quotePrefix="1" applyFont="1" applyFill="1" applyBorder="1"/>
    <xf numFmtId="0" fontId="16" fillId="9" borderId="0" xfId="3" applyFont="1" applyFill="1" applyBorder="1" applyAlignment="1">
      <alignment wrapText="1"/>
    </xf>
    <xf numFmtId="0" fontId="11" fillId="9" borderId="0" xfId="0" applyFont="1" applyFill="1" applyAlignment="1">
      <alignment wrapText="1"/>
    </xf>
    <xf numFmtId="0" fontId="1" fillId="9" borderId="0" xfId="0" applyFont="1" applyFill="1" applyAlignment="1">
      <alignment wrapText="1"/>
    </xf>
    <xf numFmtId="0" fontId="5" fillId="3" borderId="3" xfId="2" applyFont="1" applyBorder="1" applyAlignment="1">
      <alignment horizontal="center" vertical="center" wrapText="1"/>
    </xf>
    <xf numFmtId="0" fontId="9" fillId="9" borderId="8" xfId="0" applyFont="1" applyFill="1" applyBorder="1"/>
    <xf numFmtId="0" fontId="9" fillId="9" borderId="7" xfId="0" applyFont="1" applyFill="1" applyBorder="1"/>
    <xf numFmtId="0" fontId="5" fillId="9" borderId="4" xfId="2" applyFont="1" applyFill="1" applyBorder="1" applyAlignment="1">
      <alignment horizontal="center" vertical="center" wrapText="1"/>
    </xf>
    <xf numFmtId="0" fontId="5" fillId="9" borderId="2" xfId="2" applyFont="1" applyFill="1" applyBorder="1" applyAlignment="1">
      <alignment horizontal="center" vertical="center" wrapText="1"/>
    </xf>
    <xf numFmtId="0" fontId="19" fillId="0" borderId="0" xfId="0" applyFont="1" applyAlignment="1">
      <alignment horizontal="center"/>
    </xf>
    <xf numFmtId="0" fontId="20" fillId="0" borderId="0" xfId="0" applyFont="1"/>
    <xf numFmtId="0" fontId="19" fillId="0" borderId="0" xfId="0" applyFont="1"/>
    <xf numFmtId="0" fontId="19" fillId="0" borderId="0" xfId="0" applyFont="1" applyAlignment="1">
      <alignment wrapText="1"/>
    </xf>
    <xf numFmtId="0" fontId="21" fillId="0" borderId="4" xfId="0" applyFont="1" applyBorder="1" applyAlignment="1">
      <alignment horizontal="center" vertical="center" wrapText="1"/>
    </xf>
    <xf numFmtId="0" fontId="19" fillId="10" borderId="0" xfId="0" applyFont="1" applyFill="1" applyAlignment="1">
      <alignment horizontal="center"/>
    </xf>
    <xf numFmtId="0" fontId="20" fillId="10" borderId="0" xfId="0" applyFont="1" applyFill="1"/>
    <xf numFmtId="0" fontId="19" fillId="10" borderId="0" xfId="0" applyFont="1" applyFill="1"/>
    <xf numFmtId="0" fontId="21" fillId="0" borderId="2" xfId="0" applyFont="1" applyBorder="1" applyAlignment="1">
      <alignment horizontal="center" vertical="center" wrapText="1"/>
    </xf>
    <xf numFmtId="0" fontId="21" fillId="0" borderId="2" xfId="0" applyFont="1" applyBorder="1" applyAlignment="1">
      <alignment horizontal="center" vertical="center"/>
    </xf>
    <xf numFmtId="0" fontId="19" fillId="0" borderId="8" xfId="0" applyFont="1" applyBorder="1" applyAlignment="1">
      <alignment horizontal="left" vertical="center"/>
    </xf>
    <xf numFmtId="0" fontId="19" fillId="10" borderId="0" xfId="0" applyFont="1" applyFill="1" applyAlignment="1">
      <alignment horizontal="left" vertical="center"/>
    </xf>
    <xf numFmtId="0" fontId="21" fillId="11" borderId="11" xfId="2" applyFont="1" applyFill="1" applyBorder="1" applyAlignment="1">
      <alignment horizontal="center" vertical="center" wrapText="1"/>
    </xf>
    <xf numFmtId="0" fontId="20" fillId="10" borderId="6" xfId="0" applyFont="1" applyFill="1" applyBorder="1" applyAlignment="1">
      <alignment horizontal="left" vertical="top" wrapText="1"/>
    </xf>
    <xf numFmtId="0" fontId="20" fillId="10" borderId="8" xfId="0" applyFont="1" applyFill="1" applyBorder="1" applyAlignment="1">
      <alignment horizontal="left" vertical="top" wrapText="1"/>
    </xf>
    <xf numFmtId="0" fontId="19" fillId="0" borderId="0" xfId="0" applyFont="1" applyAlignment="1">
      <alignment horizontal="left" wrapText="1"/>
    </xf>
    <xf numFmtId="0" fontId="19" fillId="0" borderId="0" xfId="0" applyFont="1" applyAlignment="1">
      <alignment horizontal="left"/>
    </xf>
    <xf numFmtId="0" fontId="20" fillId="10" borderId="0" xfId="0" applyFont="1" applyFill="1" applyAlignment="1">
      <alignment horizontal="left" vertical="top" wrapText="1"/>
    </xf>
    <xf numFmtId="0" fontId="20" fillId="10" borderId="4" xfId="0" applyFont="1" applyFill="1" applyBorder="1" applyAlignment="1">
      <alignment horizontal="left" vertical="top"/>
    </xf>
    <xf numFmtId="0" fontId="19" fillId="10" borderId="7" xfId="0" applyFont="1" applyFill="1" applyBorder="1" applyAlignment="1">
      <alignment horizontal="left" wrapText="1"/>
    </xf>
    <xf numFmtId="0" fontId="19" fillId="10" borderId="3" xfId="0" applyFont="1" applyFill="1" applyBorder="1" applyAlignment="1">
      <alignment horizontal="left"/>
    </xf>
    <xf numFmtId="0" fontId="19" fillId="10" borderId="0" xfId="0" applyFont="1" applyFill="1" applyAlignment="1">
      <alignment horizontal="left" wrapText="1"/>
    </xf>
    <xf numFmtId="0" fontId="19" fillId="10" borderId="4" xfId="0" applyFont="1" applyFill="1" applyBorder="1" applyAlignment="1">
      <alignment horizontal="left"/>
    </xf>
    <xf numFmtId="0" fontId="19" fillId="0" borderId="9" xfId="0" applyFont="1" applyBorder="1" applyAlignment="1">
      <alignment horizontal="center" vertical="center"/>
    </xf>
    <xf numFmtId="0" fontId="20" fillId="0" borderId="9" xfId="0" applyFont="1" applyBorder="1" applyAlignment="1">
      <alignment horizontal="left" vertical="center"/>
    </xf>
    <xf numFmtId="0" fontId="23" fillId="0" borderId="9" xfId="0" applyFont="1" applyBorder="1" applyAlignment="1">
      <alignment horizontal="center" vertical="center"/>
    </xf>
    <xf numFmtId="0" fontId="24" fillId="0" borderId="9" xfId="1" applyFont="1" applyFill="1" applyBorder="1" applyAlignment="1">
      <alignment horizontal="center" vertical="center"/>
    </xf>
    <xf numFmtId="0" fontId="24" fillId="0" borderId="9" xfId="0" applyFont="1" applyBorder="1" applyAlignment="1">
      <alignment horizontal="center" vertical="center"/>
    </xf>
    <xf numFmtId="0" fontId="19" fillId="10" borderId="7" xfId="0" applyFont="1" applyFill="1" applyBorder="1"/>
    <xf numFmtId="0" fontId="19" fillId="10" borderId="8" xfId="0" applyFont="1" applyFill="1" applyBorder="1"/>
    <xf numFmtId="0" fontId="19" fillId="0" borderId="13" xfId="0" applyFont="1" applyBorder="1" applyAlignment="1">
      <alignment horizontal="center" vertical="center"/>
    </xf>
    <xf numFmtId="0" fontId="19" fillId="0" borderId="15" xfId="0" applyFont="1" applyBorder="1" applyAlignment="1">
      <alignment horizontal="center" vertical="center"/>
    </xf>
    <xf numFmtId="0" fontId="19" fillId="0" borderId="16" xfId="0" applyFont="1" applyBorder="1" applyAlignment="1">
      <alignment horizontal="center" vertical="center"/>
    </xf>
    <xf numFmtId="0" fontId="20" fillId="0" borderId="16" xfId="0" applyFont="1" applyBorder="1" applyAlignment="1">
      <alignment horizontal="left" vertical="center"/>
    </xf>
    <xf numFmtId="0" fontId="23" fillId="0" borderId="16" xfId="0" applyFont="1" applyBorder="1" applyAlignment="1">
      <alignment horizontal="center" vertical="center"/>
    </xf>
    <xf numFmtId="0" fontId="19" fillId="0" borderId="18" xfId="0" applyFont="1" applyBorder="1" applyAlignment="1">
      <alignment horizontal="center" vertical="center"/>
    </xf>
    <xf numFmtId="0" fontId="19" fillId="0" borderId="19" xfId="0" applyFont="1" applyBorder="1" applyAlignment="1">
      <alignment horizontal="center" vertical="center"/>
    </xf>
    <xf numFmtId="0" fontId="20" fillId="0" borderId="19" xfId="0" applyFont="1" applyBorder="1" applyAlignment="1">
      <alignment horizontal="left" vertical="center"/>
    </xf>
    <xf numFmtId="0" fontId="23" fillId="0" borderId="19" xfId="0" applyFont="1" applyBorder="1" applyAlignment="1">
      <alignment horizontal="center" vertical="center"/>
    </xf>
    <xf numFmtId="0" fontId="21" fillId="0" borderId="16" xfId="2" applyFont="1" applyFill="1" applyBorder="1" applyAlignment="1">
      <alignment horizontal="center" vertical="center" wrapText="1"/>
    </xf>
    <xf numFmtId="0" fontId="21" fillId="11" borderId="21" xfId="2" applyFont="1" applyFill="1" applyBorder="1" applyAlignment="1">
      <alignment horizontal="center" vertical="center"/>
    </xf>
    <xf numFmtId="0" fontId="21" fillId="0" borderId="22" xfId="2" applyFont="1" applyFill="1" applyBorder="1" applyAlignment="1">
      <alignment horizontal="center" vertical="center" wrapText="1"/>
    </xf>
    <xf numFmtId="0" fontId="23" fillId="0" borderId="23" xfId="0" applyFont="1" applyBorder="1" applyAlignment="1">
      <alignment horizontal="center" vertical="center" wrapText="1"/>
    </xf>
    <xf numFmtId="0" fontId="23" fillId="0" borderId="24" xfId="0" applyFont="1" applyBorder="1" applyAlignment="1">
      <alignment horizontal="center" vertical="center" wrapText="1"/>
    </xf>
    <xf numFmtId="0" fontId="23" fillId="0" borderId="22" xfId="0" applyFont="1" applyBorder="1" applyAlignment="1">
      <alignment horizontal="center" vertical="center" wrapText="1"/>
    </xf>
    <xf numFmtId="0" fontId="19" fillId="10" borderId="8" xfId="0" applyFont="1" applyFill="1" applyBorder="1" applyAlignment="1">
      <alignment horizontal="left" vertical="center"/>
    </xf>
    <xf numFmtId="0" fontId="19" fillId="0" borderId="14" xfId="0" applyFont="1" applyBorder="1" applyAlignment="1">
      <alignment horizontal="left" vertical="center"/>
    </xf>
    <xf numFmtId="0" fontId="25" fillId="0" borderId="14" xfId="3" applyFont="1" applyBorder="1" applyAlignment="1">
      <alignment horizontal="left" vertical="center"/>
    </xf>
    <xf numFmtId="0" fontId="19" fillId="0" borderId="17" xfId="0" applyFont="1" applyBorder="1" applyAlignment="1">
      <alignment horizontal="left" vertical="center"/>
    </xf>
    <xf numFmtId="0" fontId="19" fillId="0" borderId="20" xfId="0" applyFont="1" applyBorder="1" applyAlignment="1">
      <alignment horizontal="left" vertical="center"/>
    </xf>
    <xf numFmtId="14" fontId="0" fillId="0" borderId="0" xfId="0" applyNumberFormat="1"/>
    <xf numFmtId="22" fontId="0" fillId="0" borderId="0" xfId="0" applyNumberFormat="1"/>
    <xf numFmtId="0" fontId="0" fillId="0" borderId="0" xfId="0" applyAlignment="1">
      <alignment wrapText="1"/>
    </xf>
    <xf numFmtId="11" fontId="0" fillId="0" borderId="0" xfId="0" applyNumberFormat="1"/>
    <xf numFmtId="0" fontId="4" fillId="9" borderId="7" xfId="0" applyFont="1" applyFill="1" applyBorder="1"/>
    <xf numFmtId="0" fontId="0" fillId="9" borderId="0" xfId="0" applyFill="1"/>
    <xf numFmtId="0" fontId="10" fillId="8" borderId="7" xfId="4" applyBorder="1"/>
    <xf numFmtId="0" fontId="10" fillId="8" borderId="8" xfId="4" applyBorder="1"/>
    <xf numFmtId="0" fontId="10" fillId="8" borderId="0" xfId="4"/>
    <xf numFmtId="0" fontId="10" fillId="8" borderId="0" xfId="4" applyBorder="1"/>
    <xf numFmtId="0" fontId="10" fillId="8" borderId="25" xfId="4" applyBorder="1"/>
    <xf numFmtId="0" fontId="10" fillId="8" borderId="26" xfId="4" applyBorder="1"/>
    <xf numFmtId="0" fontId="10" fillId="8" borderId="27" xfId="4" applyBorder="1"/>
    <xf numFmtId="0" fontId="10" fillId="8" borderId="5" xfId="4" applyBorder="1"/>
    <xf numFmtId="0" fontId="10" fillId="8" borderId="2" xfId="4" applyBorder="1"/>
    <xf numFmtId="0" fontId="10" fillId="8" borderId="6" xfId="4" applyBorder="1"/>
    <xf numFmtId="0" fontId="10" fillId="8" borderId="4" xfId="4" applyBorder="1"/>
    <xf numFmtId="0" fontId="0" fillId="11" borderId="7" xfId="0" applyFill="1" applyBorder="1" applyAlignment="1">
      <alignment horizontal="right"/>
    </xf>
    <xf numFmtId="0" fontId="0" fillId="11" borderId="1" xfId="0" applyFill="1" applyBorder="1" applyAlignment="1">
      <alignment horizontal="right"/>
    </xf>
    <xf numFmtId="0" fontId="10" fillId="8" borderId="1" xfId="4" applyBorder="1" applyAlignment="1">
      <alignment horizontal="right"/>
    </xf>
    <xf numFmtId="0" fontId="10" fillId="8" borderId="3" xfId="4" applyBorder="1" applyAlignment="1">
      <alignment horizontal="right"/>
    </xf>
    <xf numFmtId="0" fontId="10" fillId="8" borderId="7" xfId="4" applyBorder="1" applyAlignment="1">
      <alignment horizontal="right"/>
    </xf>
    <xf numFmtId="0" fontId="10" fillId="8" borderId="25" xfId="4" applyBorder="1" applyAlignment="1">
      <alignment horizontal="right"/>
    </xf>
    <xf numFmtId="0" fontId="0" fillId="13" borderId="7" xfId="0" applyFill="1" applyBorder="1" applyAlignment="1">
      <alignment horizontal="right"/>
    </xf>
    <xf numFmtId="0" fontId="0" fillId="12" borderId="7" xfId="0" applyFill="1" applyBorder="1" applyAlignment="1">
      <alignment horizontal="right"/>
    </xf>
    <xf numFmtId="15" fontId="0" fillId="0" borderId="0" xfId="0" applyNumberFormat="1"/>
    <xf numFmtId="0" fontId="26" fillId="14" borderId="0" xfId="5"/>
    <xf numFmtId="0" fontId="28" fillId="0" borderId="0" xfId="0" applyFont="1"/>
    <xf numFmtId="0" fontId="27" fillId="0" borderId="0" xfId="0" applyFont="1"/>
    <xf numFmtId="0" fontId="3" fillId="0" borderId="0" xfId="3"/>
    <xf numFmtId="0" fontId="19" fillId="0" borderId="9" xfId="0" applyFont="1" applyBorder="1" applyAlignment="1">
      <alignment horizontal="center"/>
    </xf>
    <xf numFmtId="0" fontId="23" fillId="0" borderId="9" xfId="0" applyFont="1" applyBorder="1" applyAlignment="1">
      <alignment horizontal="center" vertical="center" wrapText="1"/>
    </xf>
    <xf numFmtId="0" fontId="23" fillId="0" borderId="16" xfId="0" applyFont="1" applyBorder="1" applyAlignment="1">
      <alignment horizontal="center" vertical="center" wrapText="1"/>
    </xf>
    <xf numFmtId="0" fontId="30" fillId="0" borderId="9" xfId="0" applyFont="1" applyBorder="1" applyAlignment="1">
      <alignment textRotation="90"/>
    </xf>
    <xf numFmtId="0" fontId="21" fillId="0" borderId="9" xfId="2" applyFont="1" applyFill="1" applyBorder="1" applyAlignment="1">
      <alignment horizontal="center" vertical="center" wrapText="1"/>
    </xf>
    <xf numFmtId="0" fontId="31" fillId="0" borderId="9" xfId="0" applyFont="1" applyBorder="1"/>
    <xf numFmtId="164" fontId="19" fillId="0" borderId="9" xfId="0" applyNumberFormat="1" applyFont="1" applyBorder="1" applyAlignment="1">
      <alignment horizontal="center" vertical="center"/>
    </xf>
    <xf numFmtId="0" fontId="20" fillId="0" borderId="9" xfId="0" applyFont="1" applyBorder="1"/>
    <xf numFmtId="164" fontId="19" fillId="0" borderId="9" xfId="0" applyNumberFormat="1" applyFont="1" applyBorder="1" applyAlignment="1">
      <alignment horizontal="center" vertical="center" wrapText="1"/>
    </xf>
    <xf numFmtId="0" fontId="21" fillId="11" borderId="11" xfId="2" applyFont="1" applyFill="1" applyBorder="1" applyAlignment="1">
      <alignment horizontal="center" vertical="center"/>
    </xf>
    <xf numFmtId="0" fontId="30" fillId="0" borderId="13" xfId="0" applyFont="1" applyBorder="1" applyAlignment="1">
      <alignment textRotation="90"/>
    </xf>
    <xf numFmtId="0" fontId="31" fillId="0" borderId="13" xfId="0" applyFont="1" applyBorder="1"/>
    <xf numFmtId="0" fontId="19" fillId="0" borderId="14" xfId="0" applyFont="1" applyBorder="1"/>
    <xf numFmtId="0" fontId="31" fillId="0" borderId="15" xfId="0" applyFont="1" applyBorder="1"/>
    <xf numFmtId="0" fontId="31" fillId="0" borderId="16" xfId="0" applyFont="1" applyBorder="1"/>
    <xf numFmtId="164" fontId="19" fillId="0" borderId="16" xfId="0" applyNumberFormat="1" applyFont="1" applyBorder="1" applyAlignment="1">
      <alignment horizontal="center" vertical="center"/>
    </xf>
    <xf numFmtId="165" fontId="19" fillId="0" borderId="9" xfId="0" applyNumberFormat="1" applyFont="1" applyBorder="1" applyAlignment="1">
      <alignment horizontal="center" vertical="center"/>
    </xf>
    <xf numFmtId="165" fontId="19" fillId="0" borderId="9" xfId="0" applyNumberFormat="1" applyFont="1" applyBorder="1" applyAlignment="1">
      <alignment horizontal="center" vertical="center" wrapText="1"/>
    </xf>
    <xf numFmtId="165" fontId="19" fillId="0" borderId="16" xfId="0" applyNumberFormat="1" applyFont="1" applyBorder="1" applyAlignment="1">
      <alignment horizontal="center" vertical="center"/>
    </xf>
    <xf numFmtId="0" fontId="30" fillId="0" borderId="13" xfId="0" applyFont="1" applyBorder="1" applyAlignment="1">
      <alignment horizontal="left" vertical="center" textRotation="90"/>
    </xf>
    <xf numFmtId="0" fontId="30" fillId="0" borderId="9" xfId="0" applyFont="1" applyBorder="1" applyAlignment="1">
      <alignment horizontal="left" vertical="center" textRotation="90"/>
    </xf>
    <xf numFmtId="0" fontId="5" fillId="9" borderId="2" xfId="2" applyFont="1" applyFill="1" applyBorder="1" applyAlignment="1">
      <alignment horizontal="center" vertical="center" wrapText="1"/>
    </xf>
    <xf numFmtId="0" fontId="5" fillId="9" borderId="4" xfId="2" applyFont="1" applyFill="1" applyBorder="1" applyAlignment="1">
      <alignment horizontal="center" vertical="center" wrapText="1"/>
    </xf>
    <xf numFmtId="0" fontId="5" fillId="3" borderId="2" xfId="2" applyFont="1" applyBorder="1" applyAlignment="1">
      <alignment horizontal="center" vertical="center" wrapText="1"/>
    </xf>
    <xf numFmtId="0" fontId="5" fillId="3" borderId="4" xfId="2" applyFont="1" applyBorder="1" applyAlignment="1">
      <alignment horizontal="center" vertical="center" wrapText="1"/>
    </xf>
    <xf numFmtId="0" fontId="5" fillId="3" borderId="5" xfId="2" applyFont="1" applyBorder="1" applyAlignment="1">
      <alignment horizontal="center" vertical="center"/>
    </xf>
    <xf numFmtId="0" fontId="5" fillId="3" borderId="6" xfId="2" applyFont="1" applyBorder="1" applyAlignment="1">
      <alignment horizontal="center" vertical="center"/>
    </xf>
    <xf numFmtId="0" fontId="6" fillId="3" borderId="2" xfId="2" applyFont="1" applyBorder="1" applyAlignment="1">
      <alignment horizontal="center" vertical="center"/>
    </xf>
    <xf numFmtId="0" fontId="21" fillId="0" borderId="10" xfId="0" applyFont="1" applyBorder="1" applyAlignment="1">
      <alignment horizontal="center" wrapText="1"/>
    </xf>
    <xf numFmtId="0" fontId="21" fillId="0" borderId="11" xfId="0" applyFont="1" applyBorder="1" applyAlignment="1">
      <alignment horizontal="center" wrapText="1"/>
    </xf>
    <xf numFmtId="0" fontId="21" fillId="0" borderId="11" xfId="0" applyFont="1" applyBorder="1" applyAlignment="1">
      <alignment horizontal="center" vertical="center" wrapText="1"/>
    </xf>
    <xf numFmtId="0" fontId="21" fillId="0" borderId="9" xfId="0" applyFont="1" applyBorder="1" applyAlignment="1">
      <alignment horizontal="center" vertical="center" wrapText="1"/>
    </xf>
    <xf numFmtId="0" fontId="22" fillId="0" borderId="28" xfId="0" applyFont="1" applyBorder="1" applyAlignment="1">
      <alignment horizontal="center" vertical="center" wrapText="1"/>
    </xf>
    <xf numFmtId="0" fontId="22" fillId="0" borderId="19" xfId="0" applyFont="1" applyBorder="1" applyAlignment="1">
      <alignment horizontal="center" vertical="center" wrapText="1"/>
    </xf>
    <xf numFmtId="0" fontId="21" fillId="0" borderId="12" xfId="2" applyFont="1" applyFill="1" applyBorder="1" applyAlignment="1">
      <alignment horizontal="left" vertical="center" wrapText="1"/>
    </xf>
    <xf numFmtId="0" fontId="21" fillId="0" borderId="14" xfId="2" applyFont="1" applyFill="1" applyBorder="1" applyAlignment="1">
      <alignment horizontal="left" vertical="center" wrapText="1"/>
    </xf>
    <xf numFmtId="0" fontId="20" fillId="10" borderId="0" xfId="0" applyFont="1" applyFill="1" applyAlignment="1">
      <alignment horizontal="left" vertical="top" wrapText="1"/>
    </xf>
    <xf numFmtId="0" fontId="20" fillId="10" borderId="8" xfId="0" applyFont="1" applyFill="1" applyBorder="1" applyAlignment="1">
      <alignment horizontal="left" vertical="top" wrapText="1"/>
    </xf>
    <xf numFmtId="0" fontId="20" fillId="10" borderId="4" xfId="0" applyFont="1" applyFill="1" applyBorder="1" applyAlignment="1">
      <alignment horizontal="left" vertical="top" wrapText="1"/>
    </xf>
    <xf numFmtId="0" fontId="20" fillId="10" borderId="6" xfId="0" applyFont="1" applyFill="1" applyBorder="1" applyAlignment="1">
      <alignment horizontal="left" vertical="top" wrapText="1"/>
    </xf>
    <xf numFmtId="0" fontId="21" fillId="0" borderId="10"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7" xfId="2" applyFont="1" applyFill="1" applyBorder="1" applyAlignment="1">
      <alignment horizontal="left" vertical="center" wrapText="1"/>
    </xf>
    <xf numFmtId="0" fontId="21" fillId="0" borderId="16"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6" xfId="0" applyFont="1" applyBorder="1" applyAlignment="1">
      <alignment horizontal="center" vertical="center" wrapText="1"/>
    </xf>
    <xf numFmtId="0" fontId="4" fillId="4" borderId="0" xfId="0" applyFont="1" applyFill="1" applyAlignment="1">
      <alignment horizontal="center"/>
    </xf>
    <xf numFmtId="0" fontId="4" fillId="5" borderId="0" xfId="0" applyFont="1" applyFill="1" applyAlignment="1">
      <alignment horizontal="center"/>
    </xf>
    <xf numFmtId="0" fontId="0" fillId="15" borderId="0" xfId="0" applyFill="1"/>
    <xf numFmtId="0" fontId="4" fillId="15" borderId="0" xfId="0" applyFont="1" applyFill="1"/>
    <xf numFmtId="0" fontId="10" fillId="15" borderId="2" xfId="4" applyFill="1" applyBorder="1"/>
    <xf numFmtId="0" fontId="10" fillId="15" borderId="4" xfId="4" applyFill="1" applyBorder="1"/>
    <xf numFmtId="0" fontId="10" fillId="15" borderId="0" xfId="4" applyFill="1"/>
    <xf numFmtId="0" fontId="10" fillId="15" borderId="27" xfId="4" applyFill="1" applyBorder="1"/>
    <xf numFmtId="0" fontId="11" fillId="0" borderId="0" xfId="0" applyFont="1"/>
  </cellXfs>
  <cellStyles count="6">
    <cellStyle name="60% - Accent3" xfId="2" builtinId="40"/>
    <cellStyle name="Bad" xfId="1" builtinId="27"/>
    <cellStyle name="Good" xfId="5" builtinId="26"/>
    <cellStyle name="Hyperlink" xfId="3" builtinId="8"/>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277200</xdr:colOff>
      <xdr:row>78</xdr:row>
      <xdr:rowOff>149363</xdr:rowOff>
    </xdr:from>
    <xdr:to>
      <xdr:col>8</xdr:col>
      <xdr:colOff>592552</xdr:colOff>
      <xdr:row>78</xdr:row>
      <xdr:rowOff>864221</xdr:rowOff>
    </xdr:to>
    <xdr:pic>
      <xdr:nvPicPr>
        <xdr:cNvPr id="4" name="Picture 3">
          <a:extLst>
            <a:ext uri="{FF2B5EF4-FFF2-40B4-BE49-F238E27FC236}">
              <a16:creationId xmlns:a16="http://schemas.microsoft.com/office/drawing/2014/main" id="{A8011563-D32D-364A-824D-42A20C5A14D0}"/>
            </a:ext>
          </a:extLst>
        </xdr:cNvPr>
        <xdr:cNvPicPr>
          <a:picLocks noChangeAspect="1"/>
        </xdr:cNvPicPr>
      </xdr:nvPicPr>
      <xdr:blipFill>
        <a:blip xmlns:r="http://schemas.openxmlformats.org/officeDocument/2006/relationships" r:embed="rId1"/>
        <a:stretch>
          <a:fillRect/>
        </a:stretch>
      </xdr:blipFill>
      <xdr:spPr>
        <a:xfrm>
          <a:off x="9353622" y="25351290"/>
          <a:ext cx="1142600" cy="7148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694266</xdr:colOff>
      <xdr:row>34</xdr:row>
      <xdr:rowOff>22542</xdr:rowOff>
    </xdr:from>
    <xdr:to>
      <xdr:col>10</xdr:col>
      <xdr:colOff>1473200</xdr:colOff>
      <xdr:row>34</xdr:row>
      <xdr:rowOff>397932</xdr:rowOff>
    </xdr:to>
    <xdr:pic>
      <xdr:nvPicPr>
        <xdr:cNvPr id="4" name="Picture 3">
          <a:extLst>
            <a:ext uri="{FF2B5EF4-FFF2-40B4-BE49-F238E27FC236}">
              <a16:creationId xmlns:a16="http://schemas.microsoft.com/office/drawing/2014/main" id="{A4F2C73D-1649-E44C-BA45-BFAA43E6E93E}"/>
            </a:ext>
          </a:extLst>
        </xdr:cNvPr>
        <xdr:cNvPicPr>
          <a:picLocks noChangeAspect="1"/>
        </xdr:cNvPicPr>
      </xdr:nvPicPr>
      <xdr:blipFill>
        <a:blip xmlns:r="http://schemas.openxmlformats.org/officeDocument/2006/relationships" r:embed="rId1"/>
        <a:stretch>
          <a:fillRect/>
        </a:stretch>
      </xdr:blipFill>
      <xdr:spPr>
        <a:xfrm>
          <a:off x="13148733" y="8260609"/>
          <a:ext cx="778934" cy="375390"/>
        </a:xfrm>
        <a:prstGeom prst="rect">
          <a:avLst/>
        </a:prstGeom>
      </xdr:spPr>
    </xdr:pic>
    <xdr:clientData/>
  </xdr:twoCellAnchor>
  <xdr:twoCellAnchor editAs="oneCell">
    <xdr:from>
      <xdr:col>10</xdr:col>
      <xdr:colOff>417016</xdr:colOff>
      <xdr:row>69</xdr:row>
      <xdr:rowOff>32849</xdr:rowOff>
    </xdr:from>
    <xdr:to>
      <xdr:col>11</xdr:col>
      <xdr:colOff>33867</xdr:colOff>
      <xdr:row>69</xdr:row>
      <xdr:rowOff>524933</xdr:rowOff>
    </xdr:to>
    <xdr:pic>
      <xdr:nvPicPr>
        <xdr:cNvPr id="6" name="Picture 5">
          <a:extLst>
            <a:ext uri="{FF2B5EF4-FFF2-40B4-BE49-F238E27FC236}">
              <a16:creationId xmlns:a16="http://schemas.microsoft.com/office/drawing/2014/main" id="{B06D7144-5347-3748-AD1F-67FE57ADF39F}"/>
            </a:ext>
          </a:extLst>
        </xdr:cNvPr>
        <xdr:cNvPicPr>
          <a:picLocks noChangeAspect="1"/>
        </xdr:cNvPicPr>
      </xdr:nvPicPr>
      <xdr:blipFill>
        <a:blip xmlns:r="http://schemas.openxmlformats.org/officeDocument/2006/relationships" r:embed="rId2"/>
        <a:stretch>
          <a:fillRect/>
        </a:stretch>
      </xdr:blipFill>
      <xdr:spPr>
        <a:xfrm>
          <a:off x="12871483" y="16635982"/>
          <a:ext cx="1140851" cy="492084"/>
        </a:xfrm>
        <a:prstGeom prst="rect">
          <a:avLst/>
        </a:prstGeom>
      </xdr:spPr>
    </xdr:pic>
    <xdr:clientData/>
  </xdr:twoCellAnchor>
  <xdr:twoCellAnchor editAs="oneCell">
    <xdr:from>
      <xdr:col>10</xdr:col>
      <xdr:colOff>220135</xdr:colOff>
      <xdr:row>24</xdr:row>
      <xdr:rowOff>25402</xdr:rowOff>
    </xdr:from>
    <xdr:to>
      <xdr:col>10</xdr:col>
      <xdr:colOff>1461911</xdr:colOff>
      <xdr:row>24</xdr:row>
      <xdr:rowOff>491068</xdr:rowOff>
    </xdr:to>
    <xdr:pic>
      <xdr:nvPicPr>
        <xdr:cNvPr id="7" name="Picture 6">
          <a:extLst>
            <a:ext uri="{FF2B5EF4-FFF2-40B4-BE49-F238E27FC236}">
              <a16:creationId xmlns:a16="http://schemas.microsoft.com/office/drawing/2014/main" id="{2A15F1A2-BF67-1343-9DE8-2CD871EB3941}"/>
            </a:ext>
          </a:extLst>
        </xdr:cNvPr>
        <xdr:cNvPicPr>
          <a:picLocks noChangeAspect="1"/>
        </xdr:cNvPicPr>
      </xdr:nvPicPr>
      <xdr:blipFill>
        <a:blip xmlns:r="http://schemas.openxmlformats.org/officeDocument/2006/relationships" r:embed="rId3"/>
        <a:stretch>
          <a:fillRect/>
        </a:stretch>
      </xdr:blipFill>
      <xdr:spPr>
        <a:xfrm>
          <a:off x="12674602" y="5655735"/>
          <a:ext cx="1241776" cy="4656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fishbase.se/summary/Rhodeus-ocellatus.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fishbase.se/summary/Rhodeus-ocellatus.html" TargetMode="External"/><Relationship Id="rId2" Type="http://schemas.openxmlformats.org/officeDocument/2006/relationships/hyperlink" Target="https://www.fishbase.de/summary/1191" TargetMode="External"/><Relationship Id="rId1" Type="http://schemas.openxmlformats.org/officeDocument/2006/relationships/hyperlink" Target="https://www.fishbase.se/summary/Rhodeus-ocellatus.html" TargetMode="External"/><Relationship Id="rId4" Type="http://schemas.openxmlformats.org/officeDocument/2006/relationships/hyperlink" Target="https://www.fishbase.de/summary/119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fishbase.de/summary/119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fishbase.se/summary/Rhodeus-ocellatus.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fishbase.se/summary/Rhodeus-ocellatus.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ishbase.se/summary/Rhodeus-ocellat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511E8-C2AF-6B41-932F-777C918F6E93}">
  <dimension ref="A1:CW96"/>
  <sheetViews>
    <sheetView workbookViewId="0">
      <selection activeCell="B64" sqref="B64"/>
    </sheetView>
  </sheetViews>
  <sheetFormatPr baseColWidth="10" defaultRowHeight="16" x14ac:dyDescent="0.2"/>
  <cols>
    <col min="2" max="2" width="25.83203125" bestFit="1" customWidth="1"/>
    <col min="6" max="6" width="26" customWidth="1"/>
  </cols>
  <sheetData>
    <row r="1" spans="1:101" x14ac:dyDescent="0.2">
      <c r="A1" t="s">
        <v>287</v>
      </c>
      <c r="B1" t="s">
        <v>0</v>
      </c>
      <c r="C1" t="s">
        <v>288</v>
      </c>
      <c r="D1" t="s">
        <v>289</v>
      </c>
      <c r="E1" t="s">
        <v>290</v>
      </c>
      <c r="F1" t="s">
        <v>291</v>
      </c>
      <c r="G1" t="s">
        <v>292</v>
      </c>
      <c r="H1" t="s">
        <v>293</v>
      </c>
      <c r="I1" t="s">
        <v>294</v>
      </c>
      <c r="J1" t="s">
        <v>295</v>
      </c>
      <c r="K1" t="s">
        <v>296</v>
      </c>
      <c r="L1" t="s">
        <v>297</v>
      </c>
      <c r="M1" t="s">
        <v>298</v>
      </c>
      <c r="N1" t="s">
        <v>299</v>
      </c>
      <c r="O1" t="s">
        <v>300</v>
      </c>
      <c r="P1" t="s">
        <v>301</v>
      </c>
      <c r="Q1" t="s">
        <v>302</v>
      </c>
      <c r="R1" t="s">
        <v>303</v>
      </c>
      <c r="S1" t="s">
        <v>304</v>
      </c>
      <c r="T1" t="s">
        <v>305</v>
      </c>
      <c r="U1" t="s">
        <v>306</v>
      </c>
      <c r="V1" t="s">
        <v>307</v>
      </c>
      <c r="W1" t="s">
        <v>308</v>
      </c>
      <c r="X1" t="s">
        <v>309</v>
      </c>
      <c r="Y1" t="s">
        <v>310</v>
      </c>
      <c r="Z1" t="s">
        <v>311</v>
      </c>
      <c r="AA1" t="s">
        <v>312</v>
      </c>
      <c r="AB1" t="s">
        <v>313</v>
      </c>
      <c r="AC1" t="s">
        <v>314</v>
      </c>
      <c r="AD1" t="s">
        <v>315</v>
      </c>
      <c r="AE1" t="s">
        <v>316</v>
      </c>
      <c r="AF1" t="s">
        <v>317</v>
      </c>
      <c r="AG1" t="s">
        <v>318</v>
      </c>
      <c r="AH1" t="s">
        <v>319</v>
      </c>
      <c r="AI1" t="s">
        <v>320</v>
      </c>
      <c r="AJ1" t="s">
        <v>321</v>
      </c>
      <c r="AK1" t="s">
        <v>322</v>
      </c>
      <c r="AL1" t="s">
        <v>323</v>
      </c>
      <c r="AM1" t="s">
        <v>324</v>
      </c>
      <c r="AN1" t="s">
        <v>325</v>
      </c>
      <c r="AO1" t="s">
        <v>326</v>
      </c>
      <c r="AP1" t="s">
        <v>327</v>
      </c>
      <c r="AQ1" t="s">
        <v>328</v>
      </c>
      <c r="AR1" t="s">
        <v>329</v>
      </c>
      <c r="AS1" t="s">
        <v>330</v>
      </c>
      <c r="AT1" t="s">
        <v>331</v>
      </c>
      <c r="AU1" t="s">
        <v>332</v>
      </c>
      <c r="AV1" t="s">
        <v>333</v>
      </c>
      <c r="AW1" t="s">
        <v>334</v>
      </c>
      <c r="AX1" t="s">
        <v>335</v>
      </c>
      <c r="AY1" t="s">
        <v>336</v>
      </c>
      <c r="AZ1" t="s">
        <v>337</v>
      </c>
      <c r="BA1" t="s">
        <v>338</v>
      </c>
      <c r="BB1" t="s">
        <v>339</v>
      </c>
      <c r="BC1" t="s">
        <v>340</v>
      </c>
      <c r="BD1" t="s">
        <v>341</v>
      </c>
      <c r="BE1" t="s">
        <v>342</v>
      </c>
      <c r="BF1" t="s">
        <v>343</v>
      </c>
      <c r="BG1" t="s">
        <v>344</v>
      </c>
      <c r="BH1" t="s">
        <v>345</v>
      </c>
      <c r="BI1" t="s">
        <v>346</v>
      </c>
      <c r="BJ1" t="s">
        <v>347</v>
      </c>
      <c r="BK1" t="s">
        <v>348</v>
      </c>
      <c r="BL1" t="s">
        <v>349</v>
      </c>
      <c r="BM1" t="s">
        <v>350</v>
      </c>
      <c r="BN1" t="s">
        <v>351</v>
      </c>
      <c r="BO1" t="s">
        <v>352</v>
      </c>
      <c r="BP1" t="s">
        <v>353</v>
      </c>
      <c r="BQ1" t="s">
        <v>354</v>
      </c>
      <c r="BR1" t="s">
        <v>355</v>
      </c>
      <c r="BS1" t="s">
        <v>356</v>
      </c>
      <c r="BT1" t="s">
        <v>357</v>
      </c>
      <c r="BU1" t="s">
        <v>358</v>
      </c>
      <c r="BV1" t="s">
        <v>359</v>
      </c>
      <c r="BW1" t="s">
        <v>360</v>
      </c>
      <c r="BX1" t="s">
        <v>361</v>
      </c>
      <c r="BY1" t="s">
        <v>362</v>
      </c>
      <c r="BZ1" t="s">
        <v>363</v>
      </c>
      <c r="CA1" t="s">
        <v>364</v>
      </c>
      <c r="CB1" t="s">
        <v>365</v>
      </c>
      <c r="CC1" t="s">
        <v>366</v>
      </c>
      <c r="CD1" t="s">
        <v>367</v>
      </c>
      <c r="CE1" t="s">
        <v>368</v>
      </c>
      <c r="CF1" t="s">
        <v>369</v>
      </c>
      <c r="CG1" t="s">
        <v>370</v>
      </c>
      <c r="CH1" t="s">
        <v>371</v>
      </c>
      <c r="CI1" t="s">
        <v>372</v>
      </c>
      <c r="CJ1" t="s">
        <v>373</v>
      </c>
      <c r="CK1" t="s">
        <v>374</v>
      </c>
      <c r="CL1" t="s">
        <v>375</v>
      </c>
      <c r="CM1" t="s">
        <v>376</v>
      </c>
      <c r="CN1" t="s">
        <v>377</v>
      </c>
      <c r="CO1" t="s">
        <v>378</v>
      </c>
      <c r="CP1" t="s">
        <v>379</v>
      </c>
      <c r="CQ1" t="s">
        <v>380</v>
      </c>
      <c r="CR1" t="s">
        <v>381</v>
      </c>
      <c r="CS1" t="s">
        <v>382</v>
      </c>
      <c r="CT1" t="s">
        <v>383</v>
      </c>
      <c r="CU1" t="s">
        <v>384</v>
      </c>
      <c r="CV1" t="s">
        <v>385</v>
      </c>
      <c r="CW1" t="s">
        <v>386</v>
      </c>
    </row>
    <row r="2" spans="1:101" x14ac:dyDescent="0.2">
      <c r="A2">
        <v>3672</v>
      </c>
      <c r="B2" t="s">
        <v>82</v>
      </c>
      <c r="C2" t="s">
        <v>387</v>
      </c>
      <c r="D2">
        <v>7251</v>
      </c>
      <c r="E2" t="s">
        <v>388</v>
      </c>
      <c r="F2" t="s">
        <v>389</v>
      </c>
      <c r="G2" t="s">
        <v>390</v>
      </c>
      <c r="H2" t="s">
        <v>207</v>
      </c>
      <c r="I2" t="s">
        <v>207</v>
      </c>
      <c r="J2" t="s">
        <v>207</v>
      </c>
      <c r="K2">
        <v>362</v>
      </c>
      <c r="L2" t="s">
        <v>207</v>
      </c>
      <c r="M2">
        <v>5912</v>
      </c>
      <c r="N2" t="s">
        <v>207</v>
      </c>
      <c r="O2" t="s">
        <v>250</v>
      </c>
      <c r="P2" t="s">
        <v>391</v>
      </c>
      <c r="Q2" t="s">
        <v>207</v>
      </c>
      <c r="R2" t="s">
        <v>207</v>
      </c>
      <c r="S2">
        <v>0</v>
      </c>
      <c r="T2">
        <v>0</v>
      </c>
      <c r="U2">
        <v>0</v>
      </c>
      <c r="V2">
        <v>1</v>
      </c>
      <c r="W2" t="s">
        <v>118</v>
      </c>
      <c r="X2" t="s">
        <v>207</v>
      </c>
      <c r="Y2" t="s">
        <v>207</v>
      </c>
      <c r="Z2" t="s">
        <v>207</v>
      </c>
      <c r="AA2" t="s">
        <v>207</v>
      </c>
      <c r="AB2">
        <v>10</v>
      </c>
      <c r="AC2">
        <v>128</v>
      </c>
      <c r="AD2">
        <v>5951</v>
      </c>
      <c r="AE2" t="s">
        <v>207</v>
      </c>
      <c r="AF2" t="s">
        <v>207</v>
      </c>
      <c r="AG2" t="s">
        <v>207</v>
      </c>
      <c r="AH2">
        <v>6</v>
      </c>
      <c r="AI2">
        <v>1009</v>
      </c>
      <c r="AJ2">
        <v>4</v>
      </c>
      <c r="AK2">
        <v>273</v>
      </c>
      <c r="AL2">
        <v>43.14</v>
      </c>
      <c r="AM2">
        <v>38</v>
      </c>
      <c r="AN2" t="s">
        <v>392</v>
      </c>
      <c r="AO2" t="s">
        <v>207</v>
      </c>
      <c r="AP2" t="s">
        <v>207</v>
      </c>
      <c r="AQ2">
        <v>7251</v>
      </c>
      <c r="AR2" t="s">
        <v>207</v>
      </c>
      <c r="AS2" t="s">
        <v>207</v>
      </c>
      <c r="AT2" t="s">
        <v>207</v>
      </c>
      <c r="AU2" t="s">
        <v>207</v>
      </c>
      <c r="AV2" t="s">
        <v>207</v>
      </c>
      <c r="AW2">
        <v>1000</v>
      </c>
      <c r="AX2" t="s">
        <v>207</v>
      </c>
      <c r="AY2">
        <v>7251</v>
      </c>
      <c r="AZ2" t="s">
        <v>207</v>
      </c>
      <c r="BA2" t="s">
        <v>207</v>
      </c>
      <c r="BB2" t="s">
        <v>207</v>
      </c>
      <c r="BC2" t="s">
        <v>207</v>
      </c>
      <c r="BD2" t="s">
        <v>207</v>
      </c>
      <c r="BE2" t="s">
        <v>207</v>
      </c>
      <c r="BF2" t="s">
        <v>393</v>
      </c>
      <c r="BG2" t="s">
        <v>394</v>
      </c>
      <c r="BH2" t="s">
        <v>207</v>
      </c>
      <c r="BI2" t="s">
        <v>207</v>
      </c>
      <c r="BJ2" t="s">
        <v>207</v>
      </c>
      <c r="BK2" t="s">
        <v>395</v>
      </c>
      <c r="BL2" t="s">
        <v>207</v>
      </c>
      <c r="BM2">
        <v>0</v>
      </c>
      <c r="BN2">
        <v>0</v>
      </c>
      <c r="BO2">
        <v>0</v>
      </c>
      <c r="BP2">
        <v>0</v>
      </c>
      <c r="BQ2">
        <v>0</v>
      </c>
      <c r="BR2">
        <v>0</v>
      </c>
      <c r="BS2">
        <v>0</v>
      </c>
      <c r="BT2">
        <v>0</v>
      </c>
      <c r="BU2">
        <v>0</v>
      </c>
      <c r="BV2">
        <v>0</v>
      </c>
      <c r="BW2" t="s">
        <v>396</v>
      </c>
      <c r="BX2" t="s">
        <v>207</v>
      </c>
      <c r="BY2" t="s">
        <v>207</v>
      </c>
      <c r="BZ2" t="s">
        <v>396</v>
      </c>
      <c r="CA2" t="s">
        <v>207</v>
      </c>
      <c r="CB2" t="s">
        <v>397</v>
      </c>
      <c r="CC2" t="s">
        <v>398</v>
      </c>
      <c r="CD2">
        <v>9210</v>
      </c>
      <c r="CE2">
        <v>0</v>
      </c>
      <c r="CF2" t="s">
        <v>207</v>
      </c>
      <c r="CG2" t="s">
        <v>399</v>
      </c>
      <c r="CH2" t="s">
        <v>207</v>
      </c>
      <c r="CI2" t="s">
        <v>400</v>
      </c>
      <c r="CJ2" t="s">
        <v>207</v>
      </c>
      <c r="CK2" t="s">
        <v>207</v>
      </c>
      <c r="CL2">
        <v>1</v>
      </c>
      <c r="CM2" t="s">
        <v>401</v>
      </c>
      <c r="CN2" t="s">
        <v>207</v>
      </c>
      <c r="CO2">
        <v>1</v>
      </c>
      <c r="CP2">
        <v>0</v>
      </c>
      <c r="CQ2">
        <v>1</v>
      </c>
      <c r="CR2" s="105">
        <v>33359</v>
      </c>
      <c r="CS2">
        <v>1472</v>
      </c>
      <c r="CT2" s="106">
        <v>39293</v>
      </c>
      <c r="CU2">
        <v>10</v>
      </c>
      <c r="CV2" s="106">
        <v>34571</v>
      </c>
      <c r="CW2" t="s">
        <v>207</v>
      </c>
    </row>
    <row r="3" spans="1:101" ht="18" customHeight="1" x14ac:dyDescent="0.2">
      <c r="A3">
        <v>12019</v>
      </c>
      <c r="B3" t="s">
        <v>49</v>
      </c>
      <c r="C3" t="s">
        <v>402</v>
      </c>
      <c r="D3">
        <v>13696</v>
      </c>
      <c r="E3" t="s">
        <v>403</v>
      </c>
      <c r="F3" t="s">
        <v>404</v>
      </c>
      <c r="G3" t="s">
        <v>405</v>
      </c>
      <c r="H3" t="s">
        <v>207</v>
      </c>
      <c r="I3" t="s">
        <v>207</v>
      </c>
      <c r="J3" t="s">
        <v>406</v>
      </c>
      <c r="K3">
        <v>405</v>
      </c>
      <c r="L3" t="s">
        <v>407</v>
      </c>
      <c r="M3">
        <v>6975</v>
      </c>
      <c r="N3" t="s">
        <v>207</v>
      </c>
      <c r="O3" t="s">
        <v>250</v>
      </c>
      <c r="P3" t="s">
        <v>391</v>
      </c>
      <c r="Q3" t="s">
        <v>207</v>
      </c>
      <c r="R3" t="s">
        <v>207</v>
      </c>
      <c r="S3">
        <v>0</v>
      </c>
      <c r="T3">
        <v>1</v>
      </c>
      <c r="U3">
        <v>1</v>
      </c>
      <c r="V3">
        <v>1</v>
      </c>
      <c r="W3" t="s">
        <v>126</v>
      </c>
      <c r="X3" t="s">
        <v>207</v>
      </c>
      <c r="Y3" t="s">
        <v>207</v>
      </c>
      <c r="Z3" t="s">
        <v>408</v>
      </c>
      <c r="AA3">
        <v>46888</v>
      </c>
      <c r="AB3">
        <v>0</v>
      </c>
      <c r="AC3">
        <v>30</v>
      </c>
      <c r="AD3">
        <v>36771</v>
      </c>
      <c r="AE3" t="s">
        <v>207</v>
      </c>
      <c r="AF3" t="s">
        <v>207</v>
      </c>
      <c r="AG3" t="s">
        <v>207</v>
      </c>
      <c r="AH3">
        <v>6</v>
      </c>
      <c r="AI3">
        <v>110985</v>
      </c>
      <c r="AJ3" t="s">
        <v>207</v>
      </c>
      <c r="AK3" t="s">
        <v>207</v>
      </c>
      <c r="AL3">
        <v>32.03</v>
      </c>
      <c r="AM3">
        <v>30</v>
      </c>
      <c r="AN3" t="s">
        <v>392</v>
      </c>
      <c r="AO3" t="s">
        <v>207</v>
      </c>
      <c r="AP3" t="s">
        <v>207</v>
      </c>
      <c r="AQ3">
        <v>86798</v>
      </c>
      <c r="AR3" t="s">
        <v>207</v>
      </c>
      <c r="AS3" t="s">
        <v>207</v>
      </c>
      <c r="AT3" t="s">
        <v>207</v>
      </c>
      <c r="AU3" t="s">
        <v>207</v>
      </c>
      <c r="AV3" t="s">
        <v>207</v>
      </c>
      <c r="AW3" t="s">
        <v>207</v>
      </c>
      <c r="AX3" t="s">
        <v>207</v>
      </c>
      <c r="AY3" t="s">
        <v>207</v>
      </c>
      <c r="AZ3" t="s">
        <v>207</v>
      </c>
      <c r="BA3" t="s">
        <v>207</v>
      </c>
      <c r="BB3" t="s">
        <v>207</v>
      </c>
      <c r="BC3" t="s">
        <v>207</v>
      </c>
      <c r="BD3">
        <v>4537</v>
      </c>
      <c r="BE3" t="s">
        <v>397</v>
      </c>
      <c r="BF3" t="s">
        <v>393</v>
      </c>
      <c r="BG3" t="s">
        <v>409</v>
      </c>
      <c r="BH3" t="s">
        <v>410</v>
      </c>
      <c r="BI3" t="s">
        <v>411</v>
      </c>
      <c r="BJ3" t="s">
        <v>207</v>
      </c>
      <c r="BK3" t="s">
        <v>411</v>
      </c>
      <c r="BL3" t="s">
        <v>411</v>
      </c>
      <c r="BM3">
        <v>0</v>
      </c>
      <c r="BN3">
        <v>0</v>
      </c>
      <c r="BO3">
        <v>0</v>
      </c>
      <c r="BP3">
        <v>0</v>
      </c>
      <c r="BQ3">
        <v>0</v>
      </c>
      <c r="BR3">
        <v>0</v>
      </c>
      <c r="BS3">
        <v>0</v>
      </c>
      <c r="BT3">
        <v>0</v>
      </c>
      <c r="BU3">
        <v>0</v>
      </c>
      <c r="BV3">
        <v>0</v>
      </c>
      <c r="BW3" t="s">
        <v>396</v>
      </c>
      <c r="BX3" t="s">
        <v>411</v>
      </c>
      <c r="BY3" t="s">
        <v>207</v>
      </c>
      <c r="BZ3" t="s">
        <v>412</v>
      </c>
      <c r="CA3">
        <v>40933</v>
      </c>
      <c r="CB3" t="s">
        <v>397</v>
      </c>
      <c r="CC3" t="s">
        <v>411</v>
      </c>
      <c r="CD3">
        <v>4537</v>
      </c>
      <c r="CE3">
        <v>0</v>
      </c>
      <c r="CF3" t="s">
        <v>207</v>
      </c>
      <c r="CG3" t="s">
        <v>413</v>
      </c>
      <c r="CH3" t="s">
        <v>207</v>
      </c>
      <c r="CI3" t="s">
        <v>400</v>
      </c>
      <c r="CJ3" t="s">
        <v>207</v>
      </c>
      <c r="CK3" t="s">
        <v>207</v>
      </c>
      <c r="CL3">
        <v>1</v>
      </c>
      <c r="CM3" s="107" t="s">
        <v>414</v>
      </c>
      <c r="CN3" t="s">
        <v>207</v>
      </c>
      <c r="CO3">
        <v>0.5625</v>
      </c>
      <c r="CP3">
        <v>0</v>
      </c>
      <c r="CQ3">
        <v>34</v>
      </c>
      <c r="CR3" s="105">
        <v>34551</v>
      </c>
      <c r="CS3">
        <v>10</v>
      </c>
      <c r="CT3" s="106">
        <v>43857</v>
      </c>
      <c r="CU3">
        <v>97</v>
      </c>
      <c r="CV3" s="106">
        <v>37636</v>
      </c>
      <c r="CW3" t="s">
        <v>207</v>
      </c>
    </row>
    <row r="4" spans="1:101" x14ac:dyDescent="0.2">
      <c r="A4">
        <v>4661</v>
      </c>
      <c r="B4" t="s">
        <v>60</v>
      </c>
      <c r="C4" t="s">
        <v>415</v>
      </c>
      <c r="D4">
        <v>59043</v>
      </c>
      <c r="E4" t="s">
        <v>416</v>
      </c>
      <c r="F4" t="s">
        <v>417</v>
      </c>
      <c r="G4" t="s">
        <v>418</v>
      </c>
      <c r="H4" t="s">
        <v>207</v>
      </c>
      <c r="I4" t="s">
        <v>207</v>
      </c>
      <c r="J4" t="s">
        <v>207</v>
      </c>
      <c r="K4">
        <v>756</v>
      </c>
      <c r="L4" t="s">
        <v>419</v>
      </c>
      <c r="M4">
        <v>5430</v>
      </c>
      <c r="N4" t="s">
        <v>207</v>
      </c>
      <c r="O4" t="s">
        <v>250</v>
      </c>
      <c r="P4" t="s">
        <v>391</v>
      </c>
      <c r="Q4" t="s">
        <v>207</v>
      </c>
      <c r="R4" t="s">
        <v>207</v>
      </c>
      <c r="S4">
        <v>0</v>
      </c>
      <c r="T4">
        <v>1</v>
      </c>
      <c r="U4">
        <v>1</v>
      </c>
      <c r="V4">
        <v>0</v>
      </c>
      <c r="W4" t="s">
        <v>126</v>
      </c>
      <c r="X4" t="s">
        <v>207</v>
      </c>
      <c r="Y4" t="s">
        <v>207</v>
      </c>
      <c r="Z4" t="s">
        <v>420</v>
      </c>
      <c r="AA4">
        <v>51243</v>
      </c>
      <c r="AB4" t="s">
        <v>207</v>
      </c>
      <c r="AC4" t="s">
        <v>207</v>
      </c>
      <c r="AD4" t="s">
        <v>207</v>
      </c>
      <c r="AE4" t="s">
        <v>207</v>
      </c>
      <c r="AF4" t="s">
        <v>207</v>
      </c>
      <c r="AG4" t="s">
        <v>207</v>
      </c>
      <c r="AH4">
        <v>11</v>
      </c>
      <c r="AI4">
        <v>59043</v>
      </c>
      <c r="AJ4">
        <v>13</v>
      </c>
      <c r="AK4">
        <v>72462</v>
      </c>
      <c r="AL4">
        <v>24.19</v>
      </c>
      <c r="AM4">
        <v>14</v>
      </c>
      <c r="AN4" t="s">
        <v>392</v>
      </c>
      <c r="AO4" t="s">
        <v>207</v>
      </c>
      <c r="AP4" t="s">
        <v>207</v>
      </c>
      <c r="AQ4">
        <v>556</v>
      </c>
      <c r="AR4">
        <v>7</v>
      </c>
      <c r="AS4" t="s">
        <v>392</v>
      </c>
      <c r="AT4" t="s">
        <v>207</v>
      </c>
      <c r="AU4" t="s">
        <v>207</v>
      </c>
      <c r="AV4">
        <v>556</v>
      </c>
      <c r="AW4" t="s">
        <v>207</v>
      </c>
      <c r="AX4" t="s">
        <v>207</v>
      </c>
      <c r="AY4" t="s">
        <v>207</v>
      </c>
      <c r="AZ4" t="s">
        <v>421</v>
      </c>
      <c r="BA4" t="s">
        <v>207</v>
      </c>
      <c r="BB4" t="s">
        <v>207</v>
      </c>
      <c r="BC4" t="s">
        <v>207</v>
      </c>
      <c r="BD4">
        <v>556</v>
      </c>
      <c r="BE4" t="s">
        <v>422</v>
      </c>
      <c r="BF4" t="s">
        <v>423</v>
      </c>
      <c r="BG4" t="s">
        <v>207</v>
      </c>
      <c r="BH4" t="s">
        <v>207</v>
      </c>
      <c r="BI4" t="s">
        <v>411</v>
      </c>
      <c r="BJ4" t="s">
        <v>207</v>
      </c>
      <c r="BK4" t="s">
        <v>411</v>
      </c>
      <c r="BL4" t="s">
        <v>411</v>
      </c>
      <c r="BM4">
        <v>1</v>
      </c>
      <c r="BN4">
        <v>0</v>
      </c>
      <c r="BO4">
        <v>0</v>
      </c>
      <c r="BP4">
        <v>1</v>
      </c>
      <c r="BQ4">
        <v>0</v>
      </c>
      <c r="BR4">
        <v>0</v>
      </c>
      <c r="BS4">
        <v>0</v>
      </c>
      <c r="BT4">
        <v>0</v>
      </c>
      <c r="BU4">
        <v>1</v>
      </c>
      <c r="BV4">
        <v>0</v>
      </c>
      <c r="BW4" t="s">
        <v>396</v>
      </c>
      <c r="BX4" t="s">
        <v>411</v>
      </c>
      <c r="BY4" t="s">
        <v>207</v>
      </c>
      <c r="BZ4" t="s">
        <v>424</v>
      </c>
      <c r="CA4">
        <v>4537</v>
      </c>
      <c r="CB4" t="s">
        <v>397</v>
      </c>
      <c r="CC4" t="s">
        <v>425</v>
      </c>
      <c r="CD4">
        <v>1672</v>
      </c>
      <c r="CE4">
        <v>0</v>
      </c>
      <c r="CF4" t="s">
        <v>207</v>
      </c>
      <c r="CG4" t="s">
        <v>413</v>
      </c>
      <c r="CH4">
        <v>13686</v>
      </c>
      <c r="CI4" t="s">
        <v>400</v>
      </c>
      <c r="CJ4" t="s">
        <v>207</v>
      </c>
      <c r="CK4" t="s">
        <v>207</v>
      </c>
      <c r="CL4">
        <v>1</v>
      </c>
      <c r="CM4" t="s">
        <v>426</v>
      </c>
      <c r="CN4" t="s">
        <v>207</v>
      </c>
      <c r="CO4">
        <v>0.5</v>
      </c>
      <c r="CP4">
        <v>0</v>
      </c>
      <c r="CQ4">
        <v>3</v>
      </c>
      <c r="CR4" s="105">
        <v>33526</v>
      </c>
      <c r="CS4">
        <v>97</v>
      </c>
      <c r="CT4" s="106">
        <v>40506</v>
      </c>
      <c r="CU4">
        <v>3</v>
      </c>
      <c r="CV4" s="106">
        <v>34555</v>
      </c>
      <c r="CW4" t="s">
        <v>207</v>
      </c>
    </row>
    <row r="5" spans="1:101" x14ac:dyDescent="0.2">
      <c r="A5">
        <v>346</v>
      </c>
      <c r="B5" t="s">
        <v>39</v>
      </c>
      <c r="C5" t="s">
        <v>427</v>
      </c>
      <c r="D5">
        <v>9799</v>
      </c>
      <c r="E5" t="s">
        <v>428</v>
      </c>
      <c r="F5" t="s">
        <v>429</v>
      </c>
      <c r="G5" t="s">
        <v>430</v>
      </c>
      <c r="H5" t="s">
        <v>207</v>
      </c>
      <c r="I5" t="s">
        <v>207</v>
      </c>
      <c r="J5" t="s">
        <v>207</v>
      </c>
      <c r="K5">
        <v>631</v>
      </c>
      <c r="L5" t="s">
        <v>207</v>
      </c>
      <c r="M5">
        <v>944</v>
      </c>
      <c r="N5" t="s">
        <v>207</v>
      </c>
      <c r="O5" t="s">
        <v>250</v>
      </c>
      <c r="P5" t="s">
        <v>391</v>
      </c>
      <c r="Q5" t="s">
        <v>207</v>
      </c>
      <c r="R5" t="s">
        <v>207</v>
      </c>
      <c r="S5">
        <v>0</v>
      </c>
      <c r="T5">
        <v>1</v>
      </c>
      <c r="U5">
        <v>1</v>
      </c>
      <c r="V5">
        <v>1</v>
      </c>
      <c r="W5" t="s">
        <v>126</v>
      </c>
      <c r="X5" t="s">
        <v>207</v>
      </c>
      <c r="Y5" t="s">
        <v>207</v>
      </c>
      <c r="Z5" t="s">
        <v>431</v>
      </c>
      <c r="AA5">
        <v>51243</v>
      </c>
      <c r="AB5">
        <v>10</v>
      </c>
      <c r="AC5">
        <v>40</v>
      </c>
      <c r="AD5">
        <v>7261</v>
      </c>
      <c r="AE5" t="s">
        <v>207</v>
      </c>
      <c r="AF5" t="s">
        <v>207</v>
      </c>
      <c r="AG5" t="s">
        <v>207</v>
      </c>
      <c r="AH5" t="s">
        <v>207</v>
      </c>
      <c r="AI5" t="s">
        <v>207</v>
      </c>
      <c r="AJ5" t="s">
        <v>207</v>
      </c>
      <c r="AK5" t="s">
        <v>207</v>
      </c>
      <c r="AL5">
        <v>69.16</v>
      </c>
      <c r="AM5">
        <v>200</v>
      </c>
      <c r="AN5" t="s">
        <v>392</v>
      </c>
      <c r="AO5" t="s">
        <v>207</v>
      </c>
      <c r="AP5" t="s">
        <v>207</v>
      </c>
      <c r="AQ5">
        <v>7050</v>
      </c>
      <c r="AR5">
        <v>150</v>
      </c>
      <c r="AS5" t="s">
        <v>432</v>
      </c>
      <c r="AT5" t="s">
        <v>207</v>
      </c>
      <c r="AU5" t="s">
        <v>207</v>
      </c>
      <c r="AV5">
        <v>9799</v>
      </c>
      <c r="AW5">
        <v>60000</v>
      </c>
      <c r="AX5" t="s">
        <v>207</v>
      </c>
      <c r="AY5">
        <v>28138</v>
      </c>
      <c r="AZ5" t="s">
        <v>433</v>
      </c>
      <c r="BA5" t="s">
        <v>207</v>
      </c>
      <c r="BB5" t="s">
        <v>207</v>
      </c>
      <c r="BC5" t="s">
        <v>207</v>
      </c>
      <c r="BD5">
        <v>9799</v>
      </c>
      <c r="BE5" t="s">
        <v>434</v>
      </c>
      <c r="BF5" t="s">
        <v>393</v>
      </c>
      <c r="BG5" t="s">
        <v>394</v>
      </c>
      <c r="BH5" t="s">
        <v>207</v>
      </c>
      <c r="BI5" t="s">
        <v>435</v>
      </c>
      <c r="BJ5" t="s">
        <v>207</v>
      </c>
      <c r="BK5" t="s">
        <v>436</v>
      </c>
      <c r="BL5" t="s">
        <v>207</v>
      </c>
      <c r="BM5">
        <v>1</v>
      </c>
      <c r="BN5">
        <v>1</v>
      </c>
      <c r="BO5">
        <v>0</v>
      </c>
      <c r="BP5">
        <v>1</v>
      </c>
      <c r="BQ5">
        <v>0</v>
      </c>
      <c r="BR5">
        <v>1</v>
      </c>
      <c r="BS5">
        <v>0</v>
      </c>
      <c r="BT5">
        <v>0</v>
      </c>
      <c r="BU5">
        <v>1</v>
      </c>
      <c r="BV5">
        <v>1</v>
      </c>
      <c r="BW5" t="s">
        <v>397</v>
      </c>
      <c r="BX5" t="s">
        <v>437</v>
      </c>
      <c r="BY5">
        <v>12108</v>
      </c>
      <c r="BZ5" t="s">
        <v>396</v>
      </c>
      <c r="CA5" t="s">
        <v>207</v>
      </c>
      <c r="CB5" t="s">
        <v>438</v>
      </c>
      <c r="CC5" t="s">
        <v>398</v>
      </c>
      <c r="CD5">
        <v>9987</v>
      </c>
      <c r="CE5">
        <v>1</v>
      </c>
      <c r="CF5">
        <v>4699</v>
      </c>
      <c r="CG5" t="s">
        <v>399</v>
      </c>
      <c r="CH5" t="s">
        <v>207</v>
      </c>
      <c r="CI5" t="s">
        <v>400</v>
      </c>
      <c r="CJ5" t="s">
        <v>207</v>
      </c>
      <c r="CK5" t="s">
        <v>207</v>
      </c>
      <c r="CL5">
        <v>1</v>
      </c>
      <c r="CM5" t="s">
        <v>439</v>
      </c>
      <c r="CN5" t="s">
        <v>207</v>
      </c>
      <c r="CO5">
        <v>0.50059998035430897</v>
      </c>
      <c r="CP5">
        <v>0</v>
      </c>
      <c r="CQ5">
        <v>2</v>
      </c>
      <c r="CR5" s="105">
        <v>33163</v>
      </c>
      <c r="CS5">
        <v>2</v>
      </c>
      <c r="CT5" s="106">
        <v>38966</v>
      </c>
      <c r="CU5">
        <v>1</v>
      </c>
      <c r="CV5" s="106">
        <v>38733</v>
      </c>
      <c r="CW5" t="s">
        <v>207</v>
      </c>
    </row>
    <row r="6" spans="1:101" x14ac:dyDescent="0.2">
      <c r="A6">
        <v>319</v>
      </c>
      <c r="B6" t="s">
        <v>15</v>
      </c>
      <c r="C6" t="s">
        <v>440</v>
      </c>
      <c r="D6">
        <v>1371</v>
      </c>
      <c r="E6" t="s">
        <v>441</v>
      </c>
      <c r="F6" t="s">
        <v>442</v>
      </c>
      <c r="G6" t="s">
        <v>443</v>
      </c>
      <c r="H6" t="s">
        <v>207</v>
      </c>
      <c r="I6" t="s">
        <v>207</v>
      </c>
      <c r="J6" t="s">
        <v>207</v>
      </c>
      <c r="K6">
        <v>183</v>
      </c>
      <c r="L6" t="s">
        <v>207</v>
      </c>
      <c r="M6">
        <v>3525</v>
      </c>
      <c r="N6" t="s">
        <v>207</v>
      </c>
      <c r="O6" t="s">
        <v>205</v>
      </c>
      <c r="P6" t="s">
        <v>444</v>
      </c>
      <c r="Q6" t="s">
        <v>207</v>
      </c>
      <c r="R6" t="s">
        <v>207</v>
      </c>
      <c r="S6">
        <v>0</v>
      </c>
      <c r="T6">
        <v>0</v>
      </c>
      <c r="U6">
        <v>1</v>
      </c>
      <c r="V6">
        <v>1</v>
      </c>
      <c r="W6" t="s">
        <v>126</v>
      </c>
      <c r="X6" t="s">
        <v>207</v>
      </c>
      <c r="Y6" t="s">
        <v>207</v>
      </c>
      <c r="Z6" t="s">
        <v>445</v>
      </c>
      <c r="AA6">
        <v>12074</v>
      </c>
      <c r="AB6">
        <v>0</v>
      </c>
      <c r="AC6">
        <v>1383</v>
      </c>
      <c r="AD6">
        <v>58426</v>
      </c>
      <c r="AE6">
        <v>0</v>
      </c>
      <c r="AF6">
        <v>400</v>
      </c>
      <c r="AG6">
        <v>1371</v>
      </c>
      <c r="AH6">
        <v>7</v>
      </c>
      <c r="AI6">
        <v>1371</v>
      </c>
      <c r="AJ6" t="s">
        <v>207</v>
      </c>
      <c r="AK6" t="s">
        <v>207</v>
      </c>
      <c r="AL6">
        <v>45.91</v>
      </c>
      <c r="AM6">
        <v>40</v>
      </c>
      <c r="AN6" t="s">
        <v>392</v>
      </c>
      <c r="AO6" t="s">
        <v>207</v>
      </c>
      <c r="AP6" t="s">
        <v>207</v>
      </c>
      <c r="AQ6">
        <v>1371</v>
      </c>
      <c r="AR6">
        <v>25</v>
      </c>
      <c r="AS6" t="s">
        <v>392</v>
      </c>
      <c r="AT6" t="s">
        <v>207</v>
      </c>
      <c r="AU6" t="s">
        <v>207</v>
      </c>
      <c r="AV6">
        <v>1371</v>
      </c>
      <c r="AW6" t="s">
        <v>207</v>
      </c>
      <c r="AX6" t="s">
        <v>207</v>
      </c>
      <c r="AY6" t="s">
        <v>207</v>
      </c>
      <c r="AZ6" t="s">
        <v>446</v>
      </c>
      <c r="BA6" t="s">
        <v>207</v>
      </c>
      <c r="BB6" t="s">
        <v>207</v>
      </c>
      <c r="BC6" t="s">
        <v>207</v>
      </c>
      <c r="BD6">
        <v>4931</v>
      </c>
      <c r="BE6" t="s">
        <v>434</v>
      </c>
      <c r="BF6" t="s">
        <v>447</v>
      </c>
      <c r="BG6" t="s">
        <v>394</v>
      </c>
      <c r="BH6" t="s">
        <v>448</v>
      </c>
      <c r="BI6" t="s">
        <v>449</v>
      </c>
      <c r="BJ6" t="s">
        <v>450</v>
      </c>
      <c r="BK6" t="s">
        <v>451</v>
      </c>
      <c r="BL6" t="s">
        <v>452</v>
      </c>
      <c r="BM6">
        <v>1</v>
      </c>
      <c r="BN6">
        <v>1</v>
      </c>
      <c r="BO6">
        <v>0</v>
      </c>
      <c r="BP6">
        <v>0</v>
      </c>
      <c r="BQ6">
        <v>0</v>
      </c>
      <c r="BR6">
        <v>0</v>
      </c>
      <c r="BS6">
        <v>0</v>
      </c>
      <c r="BT6">
        <v>0</v>
      </c>
      <c r="BU6">
        <v>0</v>
      </c>
      <c r="BV6">
        <v>0</v>
      </c>
      <c r="BW6" t="s">
        <v>396</v>
      </c>
      <c r="BX6" t="s">
        <v>207</v>
      </c>
      <c r="BY6" t="s">
        <v>207</v>
      </c>
      <c r="BZ6" t="s">
        <v>396</v>
      </c>
      <c r="CA6" t="s">
        <v>207</v>
      </c>
      <c r="CB6" t="s">
        <v>396</v>
      </c>
      <c r="CC6" t="s">
        <v>207</v>
      </c>
      <c r="CD6" t="s">
        <v>207</v>
      </c>
      <c r="CE6">
        <v>0</v>
      </c>
      <c r="CF6" t="s">
        <v>207</v>
      </c>
      <c r="CG6" t="s">
        <v>399</v>
      </c>
      <c r="CH6" t="s">
        <v>207</v>
      </c>
      <c r="CI6" t="s">
        <v>400</v>
      </c>
      <c r="CJ6" t="s">
        <v>207</v>
      </c>
      <c r="CK6" t="s">
        <v>207</v>
      </c>
      <c r="CL6">
        <v>1</v>
      </c>
      <c r="CM6" t="s">
        <v>453</v>
      </c>
      <c r="CN6" t="s">
        <v>207</v>
      </c>
      <c r="CO6">
        <v>1</v>
      </c>
      <c r="CP6">
        <v>0</v>
      </c>
      <c r="CQ6">
        <v>2</v>
      </c>
      <c r="CR6" s="105">
        <v>33163</v>
      </c>
      <c r="CS6">
        <v>2</v>
      </c>
      <c r="CT6" s="106">
        <v>43608</v>
      </c>
      <c r="CU6">
        <v>2</v>
      </c>
      <c r="CV6" s="106">
        <v>34449</v>
      </c>
      <c r="CW6" t="s">
        <v>207</v>
      </c>
    </row>
    <row r="7" spans="1:101" x14ac:dyDescent="0.2">
      <c r="A7">
        <v>2420</v>
      </c>
      <c r="B7" t="s">
        <v>30</v>
      </c>
      <c r="C7" t="s">
        <v>454</v>
      </c>
      <c r="D7">
        <v>86798</v>
      </c>
      <c r="E7" t="s">
        <v>455</v>
      </c>
      <c r="F7" t="s">
        <v>456</v>
      </c>
      <c r="G7" t="s">
        <v>457</v>
      </c>
      <c r="H7" t="s">
        <v>458</v>
      </c>
      <c r="I7" t="s">
        <v>459</v>
      </c>
      <c r="J7" t="s">
        <v>460</v>
      </c>
      <c r="K7">
        <v>260</v>
      </c>
      <c r="L7" t="s">
        <v>207</v>
      </c>
      <c r="M7">
        <v>3668</v>
      </c>
      <c r="N7" t="s">
        <v>207</v>
      </c>
      <c r="O7" t="s">
        <v>250</v>
      </c>
      <c r="P7" t="s">
        <v>444</v>
      </c>
      <c r="Q7" t="s">
        <v>207</v>
      </c>
      <c r="R7" t="s">
        <v>207</v>
      </c>
      <c r="S7">
        <v>0</v>
      </c>
      <c r="T7">
        <v>1</v>
      </c>
      <c r="U7">
        <v>1</v>
      </c>
      <c r="V7">
        <v>1</v>
      </c>
      <c r="W7" t="s">
        <v>114</v>
      </c>
      <c r="X7" t="s">
        <v>207</v>
      </c>
      <c r="Y7" t="s">
        <v>207</v>
      </c>
      <c r="Z7" t="s">
        <v>461</v>
      </c>
      <c r="AA7">
        <v>51243</v>
      </c>
      <c r="AB7">
        <v>0</v>
      </c>
      <c r="AC7">
        <v>100</v>
      </c>
      <c r="AD7">
        <v>50550</v>
      </c>
      <c r="AE7" t="s">
        <v>207</v>
      </c>
      <c r="AF7" t="s">
        <v>207</v>
      </c>
      <c r="AG7" t="s">
        <v>207</v>
      </c>
      <c r="AH7">
        <v>8</v>
      </c>
      <c r="AI7">
        <v>72489</v>
      </c>
      <c r="AJ7">
        <v>2.4200000762939502</v>
      </c>
      <c r="AK7">
        <v>273</v>
      </c>
      <c r="AL7">
        <v>23.78</v>
      </c>
      <c r="AM7">
        <v>11</v>
      </c>
      <c r="AN7" t="s">
        <v>392</v>
      </c>
      <c r="AO7" t="s">
        <v>207</v>
      </c>
      <c r="AP7" t="s">
        <v>207</v>
      </c>
      <c r="AQ7">
        <v>35388</v>
      </c>
      <c r="AR7">
        <v>5.0999999046325701</v>
      </c>
      <c r="AS7" t="s">
        <v>392</v>
      </c>
      <c r="AT7" t="s">
        <v>207</v>
      </c>
      <c r="AU7" t="s">
        <v>207</v>
      </c>
      <c r="AV7">
        <v>1998</v>
      </c>
      <c r="AW7" t="s">
        <v>207</v>
      </c>
      <c r="AX7" t="s">
        <v>207</v>
      </c>
      <c r="AY7" t="s">
        <v>207</v>
      </c>
      <c r="AZ7" t="s">
        <v>462</v>
      </c>
      <c r="BA7" t="s">
        <v>207</v>
      </c>
      <c r="BB7" t="s">
        <v>207</v>
      </c>
      <c r="BC7" t="s">
        <v>207</v>
      </c>
      <c r="BD7">
        <v>27547</v>
      </c>
      <c r="BE7" t="s">
        <v>422</v>
      </c>
      <c r="BF7" t="s">
        <v>423</v>
      </c>
      <c r="BG7" t="s">
        <v>207</v>
      </c>
      <c r="BH7" t="s">
        <v>207</v>
      </c>
      <c r="BI7" t="s">
        <v>207</v>
      </c>
      <c r="BJ7" t="s">
        <v>463</v>
      </c>
      <c r="BK7" t="s">
        <v>411</v>
      </c>
      <c r="BL7" t="s">
        <v>411</v>
      </c>
      <c r="BM7">
        <v>1</v>
      </c>
      <c r="BN7">
        <v>0</v>
      </c>
      <c r="BO7">
        <v>0</v>
      </c>
      <c r="BP7">
        <v>0</v>
      </c>
      <c r="BQ7">
        <v>0</v>
      </c>
      <c r="BR7">
        <v>1</v>
      </c>
      <c r="BS7">
        <v>0</v>
      </c>
      <c r="BT7">
        <v>0</v>
      </c>
      <c r="BU7">
        <v>0</v>
      </c>
      <c r="BV7">
        <v>0</v>
      </c>
      <c r="BW7" t="s">
        <v>396</v>
      </c>
      <c r="BX7" t="s">
        <v>411</v>
      </c>
      <c r="BY7" t="s">
        <v>207</v>
      </c>
      <c r="BZ7" t="s">
        <v>396</v>
      </c>
      <c r="CA7" t="s">
        <v>207</v>
      </c>
      <c r="CB7" t="s">
        <v>438</v>
      </c>
      <c r="CC7" t="s">
        <v>398</v>
      </c>
      <c r="CD7">
        <v>1672</v>
      </c>
      <c r="CE7">
        <v>0</v>
      </c>
      <c r="CF7" t="s">
        <v>207</v>
      </c>
      <c r="CG7" t="s">
        <v>399</v>
      </c>
      <c r="CH7" t="s">
        <v>207</v>
      </c>
      <c r="CI7" t="s">
        <v>400</v>
      </c>
      <c r="CJ7" t="s">
        <v>207</v>
      </c>
      <c r="CK7" t="s">
        <v>207</v>
      </c>
      <c r="CL7">
        <v>1</v>
      </c>
      <c r="CM7" t="s">
        <v>464</v>
      </c>
      <c r="CN7" t="s">
        <v>207</v>
      </c>
      <c r="CO7">
        <v>0.515600025653839</v>
      </c>
      <c r="CP7">
        <v>0</v>
      </c>
      <c r="CQ7">
        <v>2</v>
      </c>
      <c r="CR7" s="105">
        <v>33302</v>
      </c>
      <c r="CS7">
        <v>10</v>
      </c>
      <c r="CT7" s="106">
        <v>41536</v>
      </c>
      <c r="CU7">
        <v>113</v>
      </c>
      <c r="CV7" s="106">
        <v>35066</v>
      </c>
      <c r="CW7" t="s">
        <v>207</v>
      </c>
    </row>
    <row r="8" spans="1:101" x14ac:dyDescent="0.2">
      <c r="A8">
        <v>238</v>
      </c>
      <c r="B8" t="s">
        <v>72</v>
      </c>
      <c r="C8" t="s">
        <v>465</v>
      </c>
      <c r="D8">
        <v>4779</v>
      </c>
      <c r="E8" t="s">
        <v>455</v>
      </c>
      <c r="F8" t="s">
        <v>466</v>
      </c>
      <c r="G8" t="s">
        <v>467</v>
      </c>
      <c r="H8" t="s">
        <v>207</v>
      </c>
      <c r="I8" t="s">
        <v>207</v>
      </c>
      <c r="J8" t="s">
        <v>468</v>
      </c>
      <c r="K8">
        <v>76</v>
      </c>
      <c r="L8" t="s">
        <v>469</v>
      </c>
      <c r="M8">
        <v>6009</v>
      </c>
      <c r="N8" t="s">
        <v>207</v>
      </c>
      <c r="O8" t="s">
        <v>250</v>
      </c>
      <c r="P8" t="s">
        <v>444</v>
      </c>
      <c r="Q8" t="s">
        <v>207</v>
      </c>
      <c r="R8" t="s">
        <v>207</v>
      </c>
      <c r="S8">
        <v>0</v>
      </c>
      <c r="T8">
        <v>1</v>
      </c>
      <c r="U8">
        <v>1</v>
      </c>
      <c r="V8">
        <v>1</v>
      </c>
      <c r="W8" t="s">
        <v>189</v>
      </c>
      <c r="X8" t="s">
        <v>207</v>
      </c>
      <c r="Y8" t="s">
        <v>207</v>
      </c>
      <c r="Z8" t="s">
        <v>461</v>
      </c>
      <c r="AA8">
        <v>51243</v>
      </c>
      <c r="AB8">
        <v>0</v>
      </c>
      <c r="AC8">
        <v>28</v>
      </c>
      <c r="AD8">
        <v>101587</v>
      </c>
      <c r="AE8">
        <v>1</v>
      </c>
      <c r="AF8">
        <v>2</v>
      </c>
      <c r="AG8">
        <v>101587</v>
      </c>
      <c r="AH8">
        <v>38</v>
      </c>
      <c r="AI8">
        <v>32682</v>
      </c>
      <c r="AJ8">
        <v>10.300000190734901</v>
      </c>
      <c r="AK8">
        <v>274</v>
      </c>
      <c r="AL8">
        <v>56.26</v>
      </c>
      <c r="AM8">
        <v>140</v>
      </c>
      <c r="AN8" t="s">
        <v>470</v>
      </c>
      <c r="AO8" t="s">
        <v>207</v>
      </c>
      <c r="AP8" t="s">
        <v>207</v>
      </c>
      <c r="AQ8">
        <v>682</v>
      </c>
      <c r="AR8">
        <v>72</v>
      </c>
      <c r="AS8" t="s">
        <v>392</v>
      </c>
      <c r="AT8" t="s">
        <v>207</v>
      </c>
      <c r="AU8" t="s">
        <v>207</v>
      </c>
      <c r="AV8">
        <v>3397</v>
      </c>
      <c r="AW8">
        <v>50000</v>
      </c>
      <c r="AX8" t="s">
        <v>207</v>
      </c>
      <c r="AY8">
        <v>682</v>
      </c>
      <c r="AZ8" t="s">
        <v>471</v>
      </c>
      <c r="BA8" t="s">
        <v>207</v>
      </c>
      <c r="BB8" t="s">
        <v>207</v>
      </c>
      <c r="BC8" t="s">
        <v>207</v>
      </c>
      <c r="BD8">
        <v>4931</v>
      </c>
      <c r="BE8" t="s">
        <v>397</v>
      </c>
      <c r="BF8" t="s">
        <v>393</v>
      </c>
      <c r="BG8" t="s">
        <v>394</v>
      </c>
      <c r="BH8" t="s">
        <v>207</v>
      </c>
      <c r="BI8" t="s">
        <v>472</v>
      </c>
      <c r="BJ8" t="s">
        <v>473</v>
      </c>
      <c r="BK8" t="s">
        <v>395</v>
      </c>
      <c r="BL8" t="s">
        <v>411</v>
      </c>
      <c r="BM8">
        <v>0</v>
      </c>
      <c r="BN8">
        <v>1</v>
      </c>
      <c r="BO8">
        <v>0</v>
      </c>
      <c r="BP8">
        <v>1</v>
      </c>
      <c r="BQ8">
        <v>0</v>
      </c>
      <c r="BR8">
        <v>0</v>
      </c>
      <c r="BS8">
        <v>0</v>
      </c>
      <c r="BT8">
        <v>0</v>
      </c>
      <c r="BU8">
        <v>1</v>
      </c>
      <c r="BV8">
        <v>0</v>
      </c>
      <c r="BW8" t="s">
        <v>397</v>
      </c>
      <c r="BX8" t="s">
        <v>411</v>
      </c>
      <c r="BY8">
        <v>12228</v>
      </c>
      <c r="BZ8" t="s">
        <v>396</v>
      </c>
      <c r="CA8" t="s">
        <v>207</v>
      </c>
      <c r="CB8" t="s">
        <v>396</v>
      </c>
      <c r="CC8" t="s">
        <v>425</v>
      </c>
      <c r="CD8">
        <v>274</v>
      </c>
      <c r="CE8">
        <v>1</v>
      </c>
      <c r="CF8">
        <v>4699</v>
      </c>
      <c r="CG8" t="s">
        <v>413</v>
      </c>
      <c r="CH8" t="s">
        <v>207</v>
      </c>
      <c r="CI8" t="s">
        <v>400</v>
      </c>
      <c r="CJ8" t="s">
        <v>207</v>
      </c>
      <c r="CK8" t="s">
        <v>207</v>
      </c>
      <c r="CL8">
        <v>1</v>
      </c>
      <c r="CM8" t="s">
        <v>474</v>
      </c>
      <c r="CN8" t="s">
        <v>207</v>
      </c>
      <c r="CO8">
        <v>0.5</v>
      </c>
      <c r="CP8">
        <v>0</v>
      </c>
      <c r="CQ8">
        <v>2</v>
      </c>
      <c r="CR8" s="105">
        <v>33163</v>
      </c>
      <c r="CS8">
        <v>10</v>
      </c>
      <c r="CT8" s="106">
        <v>42136</v>
      </c>
      <c r="CU8">
        <v>97</v>
      </c>
      <c r="CV8" s="106">
        <v>37624</v>
      </c>
      <c r="CW8" t="s">
        <v>207</v>
      </c>
    </row>
    <row r="9" spans="1:101" x14ac:dyDescent="0.2">
      <c r="A9">
        <v>5715</v>
      </c>
      <c r="B9" t="s">
        <v>64</v>
      </c>
      <c r="C9" t="s">
        <v>475</v>
      </c>
      <c r="D9">
        <v>7247</v>
      </c>
      <c r="E9" t="s">
        <v>476</v>
      </c>
      <c r="F9" t="s">
        <v>477</v>
      </c>
      <c r="G9" t="s">
        <v>478</v>
      </c>
      <c r="H9" t="s">
        <v>207</v>
      </c>
      <c r="I9" t="s">
        <v>207</v>
      </c>
      <c r="J9" t="s">
        <v>207</v>
      </c>
      <c r="K9">
        <v>350</v>
      </c>
      <c r="L9" t="s">
        <v>479</v>
      </c>
      <c r="M9">
        <v>1670</v>
      </c>
      <c r="N9" t="s">
        <v>207</v>
      </c>
      <c r="O9" t="s">
        <v>251</v>
      </c>
      <c r="P9" t="s">
        <v>444</v>
      </c>
      <c r="Q9" t="s">
        <v>207</v>
      </c>
      <c r="R9" t="s">
        <v>207</v>
      </c>
      <c r="S9">
        <v>0</v>
      </c>
      <c r="T9">
        <v>0</v>
      </c>
      <c r="U9">
        <v>0</v>
      </c>
      <c r="V9">
        <v>1</v>
      </c>
      <c r="W9" t="s">
        <v>118</v>
      </c>
      <c r="X9" t="s">
        <v>207</v>
      </c>
      <c r="Y9" t="s">
        <v>207</v>
      </c>
      <c r="Z9" t="s">
        <v>445</v>
      </c>
      <c r="AA9">
        <v>51243</v>
      </c>
      <c r="AB9">
        <v>2</v>
      </c>
      <c r="AC9">
        <v>40</v>
      </c>
      <c r="AD9">
        <v>7247</v>
      </c>
      <c r="AE9" t="s">
        <v>207</v>
      </c>
      <c r="AF9" t="s">
        <v>207</v>
      </c>
      <c r="AG9" t="s">
        <v>207</v>
      </c>
      <c r="AH9" t="s">
        <v>207</v>
      </c>
      <c r="AI9" t="s">
        <v>207</v>
      </c>
      <c r="AJ9" t="s">
        <v>207</v>
      </c>
      <c r="AK9" t="s">
        <v>207</v>
      </c>
      <c r="AL9">
        <v>18.89</v>
      </c>
      <c r="AM9">
        <v>9</v>
      </c>
      <c r="AN9" t="s">
        <v>392</v>
      </c>
      <c r="AO9" t="s">
        <v>207</v>
      </c>
      <c r="AP9" t="s">
        <v>207</v>
      </c>
      <c r="AQ9">
        <v>48636</v>
      </c>
      <c r="AR9" t="s">
        <v>207</v>
      </c>
      <c r="AS9" t="s">
        <v>207</v>
      </c>
      <c r="AT9" t="s">
        <v>207</v>
      </c>
      <c r="AU9" t="s">
        <v>207</v>
      </c>
      <c r="AV9" t="s">
        <v>207</v>
      </c>
      <c r="AW9" t="s">
        <v>207</v>
      </c>
      <c r="AX9" t="s">
        <v>207</v>
      </c>
      <c r="AY9" t="s">
        <v>207</v>
      </c>
      <c r="AZ9" t="s">
        <v>207</v>
      </c>
      <c r="BA9" t="s">
        <v>207</v>
      </c>
      <c r="BB9" t="s">
        <v>207</v>
      </c>
      <c r="BC9" t="s">
        <v>207</v>
      </c>
      <c r="BD9" t="s">
        <v>207</v>
      </c>
      <c r="BE9" t="s">
        <v>207</v>
      </c>
      <c r="BF9" t="s">
        <v>423</v>
      </c>
      <c r="BG9" t="s">
        <v>207</v>
      </c>
      <c r="BH9" t="s">
        <v>207</v>
      </c>
      <c r="BI9" t="s">
        <v>207</v>
      </c>
      <c r="BJ9" t="s">
        <v>207</v>
      </c>
      <c r="BK9" t="s">
        <v>207</v>
      </c>
      <c r="BL9" t="s">
        <v>207</v>
      </c>
      <c r="BM9">
        <v>0</v>
      </c>
      <c r="BN9">
        <v>0</v>
      </c>
      <c r="BO9">
        <v>0</v>
      </c>
      <c r="BP9">
        <v>0</v>
      </c>
      <c r="BQ9">
        <v>0</v>
      </c>
      <c r="BR9">
        <v>0</v>
      </c>
      <c r="BS9">
        <v>0</v>
      </c>
      <c r="BT9">
        <v>0</v>
      </c>
      <c r="BU9">
        <v>0</v>
      </c>
      <c r="BV9">
        <v>0</v>
      </c>
      <c r="BW9" t="s">
        <v>396</v>
      </c>
      <c r="BX9" t="s">
        <v>207</v>
      </c>
      <c r="BY9" t="s">
        <v>207</v>
      </c>
      <c r="BZ9" t="s">
        <v>396</v>
      </c>
      <c r="CA9" t="s">
        <v>207</v>
      </c>
      <c r="CB9" t="s">
        <v>438</v>
      </c>
      <c r="CC9" t="s">
        <v>398</v>
      </c>
      <c r="CD9">
        <v>13603</v>
      </c>
      <c r="CE9">
        <v>0</v>
      </c>
      <c r="CF9" t="s">
        <v>207</v>
      </c>
      <c r="CG9" t="s">
        <v>399</v>
      </c>
      <c r="CH9" t="s">
        <v>207</v>
      </c>
      <c r="CI9" t="s">
        <v>400</v>
      </c>
      <c r="CJ9" t="s">
        <v>207</v>
      </c>
      <c r="CK9" t="s">
        <v>207</v>
      </c>
      <c r="CL9">
        <v>1</v>
      </c>
      <c r="CM9" t="s">
        <v>480</v>
      </c>
      <c r="CN9" t="s">
        <v>207</v>
      </c>
      <c r="CO9">
        <v>0.5</v>
      </c>
      <c r="CP9">
        <v>0</v>
      </c>
      <c r="CQ9">
        <v>14</v>
      </c>
      <c r="CR9" s="105">
        <v>33766</v>
      </c>
      <c r="CS9">
        <v>2</v>
      </c>
      <c r="CT9" s="106">
        <v>40744</v>
      </c>
      <c r="CU9" t="s">
        <v>207</v>
      </c>
      <c r="CV9" t="s">
        <v>207</v>
      </c>
      <c r="CW9" t="s">
        <v>207</v>
      </c>
    </row>
    <row r="10" spans="1:101" x14ac:dyDescent="0.2">
      <c r="A10">
        <v>11430</v>
      </c>
      <c r="B10" t="s">
        <v>25</v>
      </c>
      <c r="C10" t="s">
        <v>481</v>
      </c>
      <c r="D10">
        <v>2801</v>
      </c>
      <c r="E10" t="s">
        <v>482</v>
      </c>
      <c r="F10" t="s">
        <v>483</v>
      </c>
      <c r="G10" t="s">
        <v>484</v>
      </c>
      <c r="H10" t="s">
        <v>207</v>
      </c>
      <c r="I10" t="s">
        <v>207</v>
      </c>
      <c r="J10" t="s">
        <v>207</v>
      </c>
      <c r="K10">
        <v>122</v>
      </c>
      <c r="L10" t="s">
        <v>485</v>
      </c>
      <c r="M10">
        <v>2385</v>
      </c>
      <c r="N10" t="s">
        <v>207</v>
      </c>
      <c r="O10" t="s">
        <v>250</v>
      </c>
      <c r="P10" t="s">
        <v>444</v>
      </c>
      <c r="Q10" t="s">
        <v>207</v>
      </c>
      <c r="R10" t="s">
        <v>207</v>
      </c>
      <c r="S10">
        <v>0</v>
      </c>
      <c r="T10">
        <v>1</v>
      </c>
      <c r="U10">
        <v>0</v>
      </c>
      <c r="V10">
        <v>0</v>
      </c>
      <c r="W10" t="s">
        <v>114</v>
      </c>
      <c r="X10" t="s">
        <v>207</v>
      </c>
      <c r="Y10" t="s">
        <v>207</v>
      </c>
      <c r="Z10" t="s">
        <v>207</v>
      </c>
      <c r="AA10" t="s">
        <v>207</v>
      </c>
      <c r="AB10" t="s">
        <v>207</v>
      </c>
      <c r="AC10" t="s">
        <v>207</v>
      </c>
      <c r="AD10" t="s">
        <v>207</v>
      </c>
      <c r="AE10" t="s">
        <v>207</v>
      </c>
      <c r="AF10" t="s">
        <v>207</v>
      </c>
      <c r="AG10" t="s">
        <v>207</v>
      </c>
      <c r="AH10" t="s">
        <v>207</v>
      </c>
      <c r="AI10" t="s">
        <v>207</v>
      </c>
      <c r="AJ10" t="s">
        <v>207</v>
      </c>
      <c r="AK10" t="s">
        <v>207</v>
      </c>
      <c r="AL10">
        <v>26.28</v>
      </c>
      <c r="AM10">
        <v>11.800000190734901</v>
      </c>
      <c r="AN10" t="s">
        <v>470</v>
      </c>
      <c r="AO10" t="s">
        <v>207</v>
      </c>
      <c r="AP10" t="s">
        <v>207</v>
      </c>
      <c r="AQ10">
        <v>27628</v>
      </c>
      <c r="AR10" t="s">
        <v>207</v>
      </c>
      <c r="AS10" t="s">
        <v>207</v>
      </c>
      <c r="AT10" t="s">
        <v>207</v>
      </c>
      <c r="AU10" t="s">
        <v>207</v>
      </c>
      <c r="AV10" t="s">
        <v>207</v>
      </c>
      <c r="AW10" t="s">
        <v>207</v>
      </c>
      <c r="AX10" t="s">
        <v>207</v>
      </c>
      <c r="AY10" t="s">
        <v>207</v>
      </c>
      <c r="AZ10" t="s">
        <v>207</v>
      </c>
      <c r="BA10" t="s">
        <v>207</v>
      </c>
      <c r="BB10" t="s">
        <v>207</v>
      </c>
      <c r="BC10" t="s">
        <v>207</v>
      </c>
      <c r="BD10" t="s">
        <v>207</v>
      </c>
      <c r="BE10" t="s">
        <v>207</v>
      </c>
      <c r="BF10" t="s">
        <v>423</v>
      </c>
      <c r="BG10" t="s">
        <v>207</v>
      </c>
      <c r="BH10" t="s">
        <v>207</v>
      </c>
      <c r="BI10" t="s">
        <v>207</v>
      </c>
      <c r="BJ10" t="s">
        <v>207</v>
      </c>
      <c r="BK10" t="s">
        <v>207</v>
      </c>
      <c r="BL10" t="s">
        <v>207</v>
      </c>
      <c r="BM10">
        <v>0</v>
      </c>
      <c r="BN10">
        <v>0</v>
      </c>
      <c r="BO10">
        <v>0</v>
      </c>
      <c r="BP10">
        <v>0</v>
      </c>
      <c r="BQ10">
        <v>0</v>
      </c>
      <c r="BR10">
        <v>0</v>
      </c>
      <c r="BS10">
        <v>0</v>
      </c>
      <c r="BT10">
        <v>0</v>
      </c>
      <c r="BU10">
        <v>0</v>
      </c>
      <c r="BV10">
        <v>0</v>
      </c>
      <c r="BW10" t="s">
        <v>207</v>
      </c>
      <c r="BX10" t="s">
        <v>207</v>
      </c>
      <c r="BY10" t="s">
        <v>207</v>
      </c>
      <c r="BZ10" t="s">
        <v>207</v>
      </c>
      <c r="CA10" t="s">
        <v>207</v>
      </c>
      <c r="CB10" t="s">
        <v>207</v>
      </c>
      <c r="CC10" t="s">
        <v>207</v>
      </c>
      <c r="CD10" t="s">
        <v>207</v>
      </c>
      <c r="CE10">
        <v>0</v>
      </c>
      <c r="CF10" t="s">
        <v>207</v>
      </c>
      <c r="CG10" t="s">
        <v>399</v>
      </c>
      <c r="CH10" t="s">
        <v>207</v>
      </c>
      <c r="CI10" t="s">
        <v>400</v>
      </c>
      <c r="CJ10" t="s">
        <v>207</v>
      </c>
      <c r="CK10" t="s">
        <v>207</v>
      </c>
      <c r="CL10">
        <v>1</v>
      </c>
      <c r="CM10" t="s">
        <v>207</v>
      </c>
      <c r="CN10" t="s">
        <v>207</v>
      </c>
      <c r="CO10">
        <v>0.5</v>
      </c>
      <c r="CP10">
        <v>0</v>
      </c>
      <c r="CQ10">
        <v>34</v>
      </c>
      <c r="CR10" s="105">
        <v>34509</v>
      </c>
      <c r="CS10" t="s">
        <v>207</v>
      </c>
      <c r="CT10" s="106">
        <v>38257</v>
      </c>
      <c r="CU10" t="s">
        <v>207</v>
      </c>
      <c r="CV10" t="s">
        <v>207</v>
      </c>
      <c r="CW10" t="s">
        <v>207</v>
      </c>
    </row>
    <row r="11" spans="1:101" x14ac:dyDescent="0.2">
      <c r="A11">
        <v>347</v>
      </c>
      <c r="B11" t="s">
        <v>41</v>
      </c>
      <c r="C11" t="s">
        <v>427</v>
      </c>
      <c r="D11">
        <v>272</v>
      </c>
      <c r="E11" t="s">
        <v>416</v>
      </c>
      <c r="F11" t="s">
        <v>486</v>
      </c>
      <c r="G11" t="s">
        <v>487</v>
      </c>
      <c r="H11" t="s">
        <v>207</v>
      </c>
      <c r="I11" t="s">
        <v>207</v>
      </c>
      <c r="J11" t="s">
        <v>207</v>
      </c>
      <c r="K11">
        <v>631</v>
      </c>
      <c r="L11" t="s">
        <v>207</v>
      </c>
      <c r="M11">
        <v>944</v>
      </c>
      <c r="N11" t="s">
        <v>207</v>
      </c>
      <c r="O11" t="s">
        <v>250</v>
      </c>
      <c r="P11" t="s">
        <v>391</v>
      </c>
      <c r="Q11" t="s">
        <v>207</v>
      </c>
      <c r="R11" t="s">
        <v>207</v>
      </c>
      <c r="S11">
        <v>0</v>
      </c>
      <c r="T11">
        <v>1</v>
      </c>
      <c r="U11">
        <v>0</v>
      </c>
      <c r="V11">
        <v>0</v>
      </c>
      <c r="W11" t="s">
        <v>126</v>
      </c>
      <c r="X11" t="s">
        <v>207</v>
      </c>
      <c r="Y11" t="s">
        <v>207</v>
      </c>
      <c r="Z11" t="s">
        <v>420</v>
      </c>
      <c r="AA11">
        <v>51243</v>
      </c>
      <c r="AB11">
        <v>10</v>
      </c>
      <c r="AC11">
        <v>60</v>
      </c>
      <c r="AD11">
        <v>34290</v>
      </c>
      <c r="AE11" t="s">
        <v>207</v>
      </c>
      <c r="AF11" t="s">
        <v>207</v>
      </c>
      <c r="AG11" t="s">
        <v>207</v>
      </c>
      <c r="AH11" t="s">
        <v>207</v>
      </c>
      <c r="AI11" t="s">
        <v>207</v>
      </c>
      <c r="AJ11">
        <v>7.8000001907348597</v>
      </c>
      <c r="AK11">
        <v>72462</v>
      </c>
      <c r="AL11">
        <v>47</v>
      </c>
      <c r="AM11">
        <v>200</v>
      </c>
      <c r="AN11" t="s">
        <v>392</v>
      </c>
      <c r="AO11" t="s">
        <v>207</v>
      </c>
      <c r="AP11" t="s">
        <v>207</v>
      </c>
      <c r="AQ11">
        <v>58490</v>
      </c>
      <c r="AR11">
        <v>100</v>
      </c>
      <c r="AS11" t="s">
        <v>470</v>
      </c>
      <c r="AT11" t="s">
        <v>207</v>
      </c>
      <c r="AU11" t="s">
        <v>207</v>
      </c>
      <c r="AV11">
        <v>34290</v>
      </c>
      <c r="AW11" s="108">
        <v>200000</v>
      </c>
      <c r="AX11" t="s">
        <v>207</v>
      </c>
      <c r="AY11">
        <v>3900</v>
      </c>
      <c r="AZ11" t="s">
        <v>488</v>
      </c>
      <c r="BA11" t="s">
        <v>207</v>
      </c>
      <c r="BB11" t="s">
        <v>207</v>
      </c>
      <c r="BC11" t="s">
        <v>207</v>
      </c>
      <c r="BD11">
        <v>4931</v>
      </c>
      <c r="BE11" t="s">
        <v>434</v>
      </c>
      <c r="BF11" t="s">
        <v>423</v>
      </c>
      <c r="BG11" t="s">
        <v>207</v>
      </c>
      <c r="BH11" t="s">
        <v>207</v>
      </c>
      <c r="BI11" t="s">
        <v>489</v>
      </c>
      <c r="BJ11" t="s">
        <v>207</v>
      </c>
      <c r="BK11" t="s">
        <v>395</v>
      </c>
      <c r="BL11" t="s">
        <v>490</v>
      </c>
      <c r="BM11">
        <v>1</v>
      </c>
      <c r="BN11">
        <v>1</v>
      </c>
      <c r="BO11">
        <v>0</v>
      </c>
      <c r="BP11">
        <v>1</v>
      </c>
      <c r="BQ11">
        <v>0</v>
      </c>
      <c r="BR11">
        <v>1</v>
      </c>
      <c r="BS11">
        <v>0</v>
      </c>
      <c r="BT11">
        <v>0</v>
      </c>
      <c r="BU11">
        <v>1</v>
      </c>
      <c r="BV11">
        <v>1</v>
      </c>
      <c r="BW11" t="s">
        <v>397</v>
      </c>
      <c r="BX11" t="s">
        <v>411</v>
      </c>
      <c r="BY11">
        <v>12108</v>
      </c>
      <c r="BZ11" t="s">
        <v>396</v>
      </c>
      <c r="CA11" t="s">
        <v>207</v>
      </c>
      <c r="CB11" t="s">
        <v>396</v>
      </c>
      <c r="CC11" t="s">
        <v>411</v>
      </c>
      <c r="CD11" t="s">
        <v>207</v>
      </c>
      <c r="CE11">
        <v>1</v>
      </c>
      <c r="CF11">
        <v>4699</v>
      </c>
      <c r="CG11" t="s">
        <v>413</v>
      </c>
      <c r="CH11" t="s">
        <v>207</v>
      </c>
      <c r="CI11" t="s">
        <v>400</v>
      </c>
      <c r="CJ11" t="s">
        <v>207</v>
      </c>
      <c r="CK11" t="s">
        <v>207</v>
      </c>
      <c r="CL11">
        <v>1</v>
      </c>
      <c r="CM11" t="s">
        <v>491</v>
      </c>
      <c r="CN11" t="s">
        <v>207</v>
      </c>
      <c r="CO11">
        <v>0.50059998035430897</v>
      </c>
      <c r="CP11">
        <v>0</v>
      </c>
      <c r="CQ11">
        <v>2</v>
      </c>
      <c r="CR11" s="105">
        <v>33163</v>
      </c>
      <c r="CS11">
        <v>1307</v>
      </c>
      <c r="CT11" s="106">
        <v>43031.83525462963</v>
      </c>
      <c r="CU11">
        <v>14</v>
      </c>
      <c r="CV11" s="106">
        <v>34555</v>
      </c>
      <c r="CW11" t="s">
        <v>207</v>
      </c>
    </row>
    <row r="12" spans="1:101" x14ac:dyDescent="0.2">
      <c r="A12">
        <v>6614</v>
      </c>
      <c r="B12" t="s">
        <v>34</v>
      </c>
      <c r="C12" t="s">
        <v>492</v>
      </c>
      <c r="D12">
        <v>2334</v>
      </c>
      <c r="E12" t="s">
        <v>493</v>
      </c>
      <c r="F12" t="s">
        <v>494</v>
      </c>
      <c r="G12" t="s">
        <v>495</v>
      </c>
      <c r="H12" t="s">
        <v>207</v>
      </c>
      <c r="I12" t="s">
        <v>207</v>
      </c>
      <c r="J12" t="s">
        <v>207</v>
      </c>
      <c r="K12">
        <v>362</v>
      </c>
      <c r="L12" t="s">
        <v>496</v>
      </c>
      <c r="M12">
        <v>1901</v>
      </c>
      <c r="N12" t="s">
        <v>207</v>
      </c>
      <c r="O12" t="s">
        <v>250</v>
      </c>
      <c r="P12" t="s">
        <v>391</v>
      </c>
      <c r="Q12" t="s">
        <v>207</v>
      </c>
      <c r="R12" t="s">
        <v>207</v>
      </c>
      <c r="S12">
        <v>0</v>
      </c>
      <c r="T12">
        <v>0</v>
      </c>
      <c r="U12">
        <v>0</v>
      </c>
      <c r="V12">
        <v>1</v>
      </c>
      <c r="W12" t="s">
        <v>118</v>
      </c>
      <c r="X12" t="s">
        <v>207</v>
      </c>
      <c r="Y12" t="s">
        <v>207</v>
      </c>
      <c r="Z12" t="s">
        <v>207</v>
      </c>
      <c r="AA12" t="s">
        <v>207</v>
      </c>
      <c r="AB12">
        <v>1</v>
      </c>
      <c r="AC12">
        <v>10</v>
      </c>
      <c r="AD12">
        <v>86942</v>
      </c>
      <c r="AE12" t="s">
        <v>207</v>
      </c>
      <c r="AF12" t="s">
        <v>207</v>
      </c>
      <c r="AG12" t="s">
        <v>207</v>
      </c>
      <c r="AH12" t="s">
        <v>207</v>
      </c>
      <c r="AI12" t="s">
        <v>207</v>
      </c>
      <c r="AJ12" t="s">
        <v>207</v>
      </c>
      <c r="AK12" t="s">
        <v>207</v>
      </c>
      <c r="AL12">
        <v>23.67</v>
      </c>
      <c r="AM12">
        <v>14</v>
      </c>
      <c r="AN12" t="s">
        <v>392</v>
      </c>
      <c r="AO12" t="s">
        <v>207</v>
      </c>
      <c r="AP12" t="s">
        <v>207</v>
      </c>
      <c r="AQ12">
        <v>90102</v>
      </c>
      <c r="AR12" t="s">
        <v>207</v>
      </c>
      <c r="AS12" t="s">
        <v>207</v>
      </c>
      <c r="AT12" t="s">
        <v>207</v>
      </c>
      <c r="AU12" t="s">
        <v>207</v>
      </c>
      <c r="AV12" t="s">
        <v>207</v>
      </c>
      <c r="AW12" t="s">
        <v>207</v>
      </c>
      <c r="AX12" t="s">
        <v>207</v>
      </c>
      <c r="AY12" t="s">
        <v>207</v>
      </c>
      <c r="AZ12" t="s">
        <v>497</v>
      </c>
      <c r="BA12" t="s">
        <v>207</v>
      </c>
      <c r="BB12" t="s">
        <v>207</v>
      </c>
      <c r="BC12" t="s">
        <v>207</v>
      </c>
      <c r="BD12" t="s">
        <v>207</v>
      </c>
      <c r="BE12" t="s">
        <v>207</v>
      </c>
      <c r="BF12" t="s">
        <v>393</v>
      </c>
      <c r="BG12" t="s">
        <v>409</v>
      </c>
      <c r="BH12" t="s">
        <v>207</v>
      </c>
      <c r="BI12" t="s">
        <v>207</v>
      </c>
      <c r="BJ12" t="s">
        <v>207</v>
      </c>
      <c r="BK12" t="s">
        <v>207</v>
      </c>
      <c r="BL12" t="s">
        <v>207</v>
      </c>
      <c r="BM12">
        <v>0</v>
      </c>
      <c r="BN12">
        <v>0</v>
      </c>
      <c r="BO12">
        <v>0</v>
      </c>
      <c r="BP12">
        <v>0</v>
      </c>
      <c r="BQ12">
        <v>0</v>
      </c>
      <c r="BR12">
        <v>0</v>
      </c>
      <c r="BS12">
        <v>0</v>
      </c>
      <c r="BT12">
        <v>0</v>
      </c>
      <c r="BU12">
        <v>0</v>
      </c>
      <c r="BV12">
        <v>0</v>
      </c>
      <c r="BW12" t="s">
        <v>396</v>
      </c>
      <c r="BX12" t="s">
        <v>207</v>
      </c>
      <c r="BY12" t="s">
        <v>207</v>
      </c>
      <c r="BZ12" t="s">
        <v>396</v>
      </c>
      <c r="CA12" t="s">
        <v>207</v>
      </c>
      <c r="CB12" t="s">
        <v>397</v>
      </c>
      <c r="CC12" t="s">
        <v>398</v>
      </c>
      <c r="CD12">
        <v>9210</v>
      </c>
      <c r="CE12">
        <v>0</v>
      </c>
      <c r="CF12" t="s">
        <v>207</v>
      </c>
      <c r="CG12" t="s">
        <v>399</v>
      </c>
      <c r="CH12" t="s">
        <v>207</v>
      </c>
      <c r="CI12" t="s">
        <v>400</v>
      </c>
      <c r="CJ12" t="s">
        <v>207</v>
      </c>
      <c r="CK12" t="s">
        <v>207</v>
      </c>
      <c r="CL12">
        <v>1</v>
      </c>
      <c r="CM12" t="s">
        <v>498</v>
      </c>
      <c r="CN12" t="s">
        <v>207</v>
      </c>
      <c r="CO12">
        <v>0.5</v>
      </c>
      <c r="CP12">
        <v>0</v>
      </c>
      <c r="CQ12">
        <v>14</v>
      </c>
      <c r="CR12" s="105">
        <v>33934</v>
      </c>
      <c r="CS12">
        <v>2291</v>
      </c>
      <c r="CT12" s="106">
        <v>42157</v>
      </c>
      <c r="CU12">
        <v>14</v>
      </c>
      <c r="CV12" s="106">
        <v>34828</v>
      </c>
      <c r="CW12" t="s">
        <v>207</v>
      </c>
    </row>
    <row r="13" spans="1:101" x14ac:dyDescent="0.2">
      <c r="A13">
        <v>4858</v>
      </c>
      <c r="B13" t="s">
        <v>33</v>
      </c>
      <c r="C13" t="s">
        <v>492</v>
      </c>
      <c r="D13">
        <v>2334</v>
      </c>
      <c r="E13" t="s">
        <v>499</v>
      </c>
      <c r="F13" t="s">
        <v>500</v>
      </c>
      <c r="G13" t="s">
        <v>501</v>
      </c>
      <c r="H13" t="s">
        <v>502</v>
      </c>
      <c r="I13" t="s">
        <v>503</v>
      </c>
      <c r="J13" t="s">
        <v>207</v>
      </c>
      <c r="K13">
        <v>362</v>
      </c>
      <c r="L13" t="s">
        <v>496</v>
      </c>
      <c r="M13">
        <v>1901</v>
      </c>
      <c r="N13" t="s">
        <v>207</v>
      </c>
      <c r="O13" t="s">
        <v>250</v>
      </c>
      <c r="P13" t="s">
        <v>391</v>
      </c>
      <c r="Q13" t="s">
        <v>207</v>
      </c>
      <c r="R13" t="s">
        <v>207</v>
      </c>
      <c r="S13">
        <v>0</v>
      </c>
      <c r="T13">
        <v>0</v>
      </c>
      <c r="U13">
        <v>0</v>
      </c>
      <c r="V13">
        <v>1</v>
      </c>
      <c r="W13" t="s">
        <v>118</v>
      </c>
      <c r="X13" t="s">
        <v>207</v>
      </c>
      <c r="Y13" t="s">
        <v>207</v>
      </c>
      <c r="Z13" t="s">
        <v>207</v>
      </c>
      <c r="AA13" t="s">
        <v>207</v>
      </c>
      <c r="AB13">
        <v>1</v>
      </c>
      <c r="AC13">
        <v>15</v>
      </c>
      <c r="AD13">
        <v>9710</v>
      </c>
      <c r="AE13" t="s">
        <v>207</v>
      </c>
      <c r="AF13" t="s">
        <v>207</v>
      </c>
      <c r="AG13" t="s">
        <v>207</v>
      </c>
      <c r="AH13" t="s">
        <v>207</v>
      </c>
      <c r="AI13" t="s">
        <v>207</v>
      </c>
      <c r="AJ13" t="s">
        <v>207</v>
      </c>
      <c r="AK13" t="s">
        <v>207</v>
      </c>
      <c r="AL13">
        <v>21.39</v>
      </c>
      <c r="AM13">
        <v>12</v>
      </c>
      <c r="AN13" t="s">
        <v>392</v>
      </c>
      <c r="AO13" t="s">
        <v>207</v>
      </c>
      <c r="AP13" t="s">
        <v>207</v>
      </c>
      <c r="AQ13">
        <v>9710</v>
      </c>
      <c r="AR13" t="s">
        <v>207</v>
      </c>
      <c r="AS13" t="s">
        <v>207</v>
      </c>
      <c r="AT13" t="s">
        <v>207</v>
      </c>
      <c r="AU13" t="s">
        <v>207</v>
      </c>
      <c r="AV13" t="s">
        <v>207</v>
      </c>
      <c r="AW13" t="s">
        <v>207</v>
      </c>
      <c r="AX13" t="s">
        <v>207</v>
      </c>
      <c r="AY13" t="s">
        <v>207</v>
      </c>
      <c r="AZ13" t="s">
        <v>504</v>
      </c>
      <c r="BA13" t="s">
        <v>505</v>
      </c>
      <c r="BB13" t="s">
        <v>207</v>
      </c>
      <c r="BC13" t="s">
        <v>207</v>
      </c>
      <c r="BD13" t="s">
        <v>207</v>
      </c>
      <c r="BE13" t="s">
        <v>207</v>
      </c>
      <c r="BF13" t="s">
        <v>393</v>
      </c>
      <c r="BG13" t="s">
        <v>409</v>
      </c>
      <c r="BH13" t="s">
        <v>207</v>
      </c>
      <c r="BI13" t="s">
        <v>207</v>
      </c>
      <c r="BJ13" t="s">
        <v>207</v>
      </c>
      <c r="BK13" t="s">
        <v>207</v>
      </c>
      <c r="BL13" t="s">
        <v>207</v>
      </c>
      <c r="BM13">
        <v>0</v>
      </c>
      <c r="BN13">
        <v>0</v>
      </c>
      <c r="BO13">
        <v>0</v>
      </c>
      <c r="BP13">
        <v>0</v>
      </c>
      <c r="BQ13">
        <v>0</v>
      </c>
      <c r="BR13">
        <v>0</v>
      </c>
      <c r="BS13">
        <v>0</v>
      </c>
      <c r="BT13">
        <v>0</v>
      </c>
      <c r="BU13">
        <v>0</v>
      </c>
      <c r="BV13">
        <v>0</v>
      </c>
      <c r="BW13" t="s">
        <v>396</v>
      </c>
      <c r="BX13" t="s">
        <v>207</v>
      </c>
      <c r="BY13" t="s">
        <v>207</v>
      </c>
      <c r="BZ13" t="s">
        <v>396</v>
      </c>
      <c r="CA13" t="s">
        <v>207</v>
      </c>
      <c r="CB13" t="s">
        <v>438</v>
      </c>
      <c r="CC13" t="s">
        <v>398</v>
      </c>
      <c r="CD13">
        <v>13603</v>
      </c>
      <c r="CE13">
        <v>0</v>
      </c>
      <c r="CF13" t="s">
        <v>207</v>
      </c>
      <c r="CG13" t="s">
        <v>399</v>
      </c>
      <c r="CH13" t="s">
        <v>207</v>
      </c>
      <c r="CI13" t="s">
        <v>400</v>
      </c>
      <c r="CJ13" t="s">
        <v>207</v>
      </c>
      <c r="CK13" t="s">
        <v>207</v>
      </c>
      <c r="CL13">
        <v>1</v>
      </c>
      <c r="CM13" t="s">
        <v>506</v>
      </c>
      <c r="CN13" t="s">
        <v>207</v>
      </c>
      <c r="CO13">
        <v>0.5</v>
      </c>
      <c r="CP13">
        <v>0</v>
      </c>
      <c r="CQ13">
        <v>14</v>
      </c>
      <c r="CR13" s="105">
        <v>33592</v>
      </c>
      <c r="CS13">
        <v>2310</v>
      </c>
      <c r="CT13" s="106">
        <v>41411</v>
      </c>
      <c r="CU13">
        <v>14</v>
      </c>
      <c r="CV13" s="106">
        <v>34824</v>
      </c>
      <c r="CW13" t="s">
        <v>207</v>
      </c>
    </row>
    <row r="14" spans="1:101" x14ac:dyDescent="0.2">
      <c r="A14">
        <v>5642</v>
      </c>
      <c r="B14" t="s">
        <v>83</v>
      </c>
      <c r="C14" t="s">
        <v>507</v>
      </c>
      <c r="D14">
        <v>2334</v>
      </c>
      <c r="E14" t="s">
        <v>508</v>
      </c>
      <c r="F14" t="s">
        <v>509</v>
      </c>
      <c r="G14" t="s">
        <v>510</v>
      </c>
      <c r="H14" t="s">
        <v>207</v>
      </c>
      <c r="I14" t="s">
        <v>207</v>
      </c>
      <c r="J14" t="s">
        <v>207</v>
      </c>
      <c r="K14">
        <v>362</v>
      </c>
      <c r="L14" t="s">
        <v>496</v>
      </c>
      <c r="M14">
        <v>2886</v>
      </c>
      <c r="N14" t="s">
        <v>207</v>
      </c>
      <c r="O14" t="s">
        <v>250</v>
      </c>
      <c r="P14" t="s">
        <v>391</v>
      </c>
      <c r="Q14" t="s">
        <v>207</v>
      </c>
      <c r="R14" t="s">
        <v>207</v>
      </c>
      <c r="S14">
        <v>0</v>
      </c>
      <c r="T14">
        <v>0</v>
      </c>
      <c r="U14">
        <v>0</v>
      </c>
      <c r="V14">
        <v>1</v>
      </c>
      <c r="W14" t="s">
        <v>118</v>
      </c>
      <c r="X14" t="s">
        <v>207</v>
      </c>
      <c r="Y14" t="s">
        <v>207</v>
      </c>
      <c r="Z14" t="s">
        <v>207</v>
      </c>
      <c r="AA14" t="s">
        <v>207</v>
      </c>
      <c r="AB14">
        <v>1</v>
      </c>
      <c r="AC14">
        <v>15</v>
      </c>
      <c r="AD14">
        <v>1602</v>
      </c>
      <c r="AE14">
        <v>1</v>
      </c>
      <c r="AF14">
        <v>15</v>
      </c>
      <c r="AG14">
        <v>27115</v>
      </c>
      <c r="AH14" t="s">
        <v>207</v>
      </c>
      <c r="AI14" t="s">
        <v>207</v>
      </c>
      <c r="AJ14" t="s">
        <v>207</v>
      </c>
      <c r="AK14" t="s">
        <v>207</v>
      </c>
      <c r="AL14">
        <v>30.38</v>
      </c>
      <c r="AM14">
        <v>16</v>
      </c>
      <c r="AN14" t="s">
        <v>470</v>
      </c>
      <c r="AO14" t="s">
        <v>207</v>
      </c>
      <c r="AP14" t="s">
        <v>207</v>
      </c>
      <c r="AQ14">
        <v>9823</v>
      </c>
      <c r="AR14" t="s">
        <v>207</v>
      </c>
      <c r="AS14" t="s">
        <v>207</v>
      </c>
      <c r="AT14" t="s">
        <v>207</v>
      </c>
      <c r="AU14" t="s">
        <v>207</v>
      </c>
      <c r="AV14" t="s">
        <v>207</v>
      </c>
      <c r="AW14" t="s">
        <v>207</v>
      </c>
      <c r="AX14" t="s">
        <v>207</v>
      </c>
      <c r="AY14" t="s">
        <v>207</v>
      </c>
      <c r="AZ14" t="s">
        <v>207</v>
      </c>
      <c r="BA14" t="s">
        <v>207</v>
      </c>
      <c r="BB14" t="s">
        <v>207</v>
      </c>
      <c r="BC14" t="s">
        <v>207</v>
      </c>
      <c r="BD14">
        <v>9823</v>
      </c>
      <c r="BE14" t="s">
        <v>511</v>
      </c>
      <c r="BF14" t="s">
        <v>207</v>
      </c>
      <c r="BG14" t="s">
        <v>207</v>
      </c>
      <c r="BH14" t="s">
        <v>207</v>
      </c>
      <c r="BI14" t="s">
        <v>207</v>
      </c>
      <c r="BJ14" t="s">
        <v>207</v>
      </c>
      <c r="BK14" t="s">
        <v>207</v>
      </c>
      <c r="BL14" t="s">
        <v>207</v>
      </c>
      <c r="BM14">
        <v>0</v>
      </c>
      <c r="BN14">
        <v>0</v>
      </c>
      <c r="BO14">
        <v>0</v>
      </c>
      <c r="BP14">
        <v>0</v>
      </c>
      <c r="BQ14">
        <v>0</v>
      </c>
      <c r="BR14">
        <v>0</v>
      </c>
      <c r="BS14">
        <v>0</v>
      </c>
      <c r="BT14">
        <v>0</v>
      </c>
      <c r="BU14">
        <v>0</v>
      </c>
      <c r="BV14">
        <v>0</v>
      </c>
      <c r="BW14" t="s">
        <v>396</v>
      </c>
      <c r="BX14" t="s">
        <v>207</v>
      </c>
      <c r="BY14" t="s">
        <v>207</v>
      </c>
      <c r="BZ14" t="s">
        <v>396</v>
      </c>
      <c r="CA14" t="s">
        <v>207</v>
      </c>
      <c r="CB14" t="s">
        <v>397</v>
      </c>
      <c r="CC14" t="s">
        <v>398</v>
      </c>
      <c r="CD14">
        <v>9210</v>
      </c>
      <c r="CE14">
        <v>0</v>
      </c>
      <c r="CF14" t="s">
        <v>207</v>
      </c>
      <c r="CG14" t="s">
        <v>399</v>
      </c>
      <c r="CH14" t="s">
        <v>207</v>
      </c>
      <c r="CI14" t="s">
        <v>400</v>
      </c>
      <c r="CJ14" t="s">
        <v>207</v>
      </c>
      <c r="CK14" t="s">
        <v>207</v>
      </c>
      <c r="CL14">
        <v>1</v>
      </c>
      <c r="CM14" t="s">
        <v>512</v>
      </c>
      <c r="CN14" t="s">
        <v>207</v>
      </c>
      <c r="CO14">
        <v>0.5</v>
      </c>
      <c r="CP14">
        <v>0</v>
      </c>
      <c r="CQ14">
        <v>14</v>
      </c>
      <c r="CR14" s="105">
        <v>33765</v>
      </c>
      <c r="CS14">
        <v>2310</v>
      </c>
      <c r="CT14" s="106">
        <v>41414</v>
      </c>
      <c r="CU14">
        <v>14</v>
      </c>
      <c r="CV14" s="106">
        <v>34849</v>
      </c>
      <c r="CW14" t="s">
        <v>207</v>
      </c>
    </row>
    <row r="15" spans="1:101" x14ac:dyDescent="0.2">
      <c r="A15">
        <v>5450</v>
      </c>
      <c r="B15" t="s">
        <v>252</v>
      </c>
      <c r="C15" t="s">
        <v>513</v>
      </c>
      <c r="D15">
        <v>7247</v>
      </c>
      <c r="E15" t="s">
        <v>514</v>
      </c>
      <c r="F15" t="s">
        <v>515</v>
      </c>
      <c r="G15" t="s">
        <v>516</v>
      </c>
      <c r="H15" t="s">
        <v>207</v>
      </c>
      <c r="I15" t="s">
        <v>207</v>
      </c>
      <c r="J15" t="s">
        <v>207</v>
      </c>
      <c r="K15">
        <v>350</v>
      </c>
      <c r="L15" t="s">
        <v>479</v>
      </c>
      <c r="M15">
        <v>2049</v>
      </c>
      <c r="N15" t="s">
        <v>207</v>
      </c>
      <c r="O15" t="s">
        <v>251</v>
      </c>
      <c r="P15" t="s">
        <v>444</v>
      </c>
      <c r="Q15" t="s">
        <v>207</v>
      </c>
      <c r="R15" t="s">
        <v>207</v>
      </c>
      <c r="S15">
        <v>0</v>
      </c>
      <c r="T15">
        <v>0</v>
      </c>
      <c r="U15">
        <v>0</v>
      </c>
      <c r="V15">
        <v>1</v>
      </c>
      <c r="W15" t="s">
        <v>118</v>
      </c>
      <c r="X15" t="s">
        <v>207</v>
      </c>
      <c r="Y15" t="s">
        <v>207</v>
      </c>
      <c r="Z15" t="s">
        <v>517</v>
      </c>
      <c r="AA15" t="s">
        <v>207</v>
      </c>
      <c r="AB15">
        <v>1</v>
      </c>
      <c r="AC15">
        <v>29</v>
      </c>
      <c r="AD15">
        <v>9710</v>
      </c>
      <c r="AE15" t="s">
        <v>207</v>
      </c>
      <c r="AF15" t="s">
        <v>207</v>
      </c>
      <c r="AG15" t="s">
        <v>207</v>
      </c>
      <c r="AH15" t="s">
        <v>207</v>
      </c>
      <c r="AI15" t="s">
        <v>207</v>
      </c>
      <c r="AJ15" t="s">
        <v>207</v>
      </c>
      <c r="AK15" t="s">
        <v>207</v>
      </c>
      <c r="AL15">
        <v>23.46</v>
      </c>
      <c r="AM15">
        <v>12</v>
      </c>
      <c r="AN15" t="s">
        <v>392</v>
      </c>
      <c r="AO15" t="s">
        <v>207</v>
      </c>
      <c r="AP15" t="s">
        <v>207</v>
      </c>
      <c r="AQ15">
        <v>30874</v>
      </c>
      <c r="AR15" t="s">
        <v>207</v>
      </c>
      <c r="AS15" t="s">
        <v>207</v>
      </c>
      <c r="AT15" t="s">
        <v>207</v>
      </c>
      <c r="AU15" t="s">
        <v>207</v>
      </c>
      <c r="AV15" t="s">
        <v>207</v>
      </c>
      <c r="AW15" t="s">
        <v>207</v>
      </c>
      <c r="AX15" t="s">
        <v>207</v>
      </c>
      <c r="AY15" t="s">
        <v>207</v>
      </c>
      <c r="AZ15" t="s">
        <v>518</v>
      </c>
      <c r="BA15" t="s">
        <v>207</v>
      </c>
      <c r="BB15" t="s">
        <v>207</v>
      </c>
      <c r="BC15" t="s">
        <v>207</v>
      </c>
      <c r="BD15" t="s">
        <v>207</v>
      </c>
      <c r="BE15" t="s">
        <v>519</v>
      </c>
      <c r="BF15" t="s">
        <v>423</v>
      </c>
      <c r="BG15" t="s">
        <v>207</v>
      </c>
      <c r="BH15" t="s">
        <v>207</v>
      </c>
      <c r="BI15" t="s">
        <v>207</v>
      </c>
      <c r="BJ15" t="s">
        <v>207</v>
      </c>
      <c r="BK15" t="s">
        <v>436</v>
      </c>
      <c r="BL15" t="s">
        <v>207</v>
      </c>
      <c r="BM15">
        <v>0</v>
      </c>
      <c r="BN15">
        <v>1</v>
      </c>
      <c r="BO15">
        <v>0</v>
      </c>
      <c r="BP15">
        <v>0</v>
      </c>
      <c r="BQ15">
        <v>0</v>
      </c>
      <c r="BR15">
        <v>0</v>
      </c>
      <c r="BS15">
        <v>0</v>
      </c>
      <c r="BT15">
        <v>0</v>
      </c>
      <c r="BU15">
        <v>0</v>
      </c>
      <c r="BV15">
        <v>0</v>
      </c>
      <c r="BW15" t="s">
        <v>396</v>
      </c>
      <c r="BX15" t="s">
        <v>207</v>
      </c>
      <c r="BY15" t="s">
        <v>207</v>
      </c>
      <c r="BZ15" t="s">
        <v>396</v>
      </c>
      <c r="CA15" t="s">
        <v>207</v>
      </c>
      <c r="CB15" t="s">
        <v>397</v>
      </c>
      <c r="CC15" t="s">
        <v>398</v>
      </c>
      <c r="CD15">
        <v>4537</v>
      </c>
      <c r="CE15">
        <v>0</v>
      </c>
      <c r="CF15" t="s">
        <v>207</v>
      </c>
      <c r="CG15" t="s">
        <v>399</v>
      </c>
      <c r="CH15" t="s">
        <v>207</v>
      </c>
      <c r="CI15" t="s">
        <v>400</v>
      </c>
      <c r="CJ15" t="s">
        <v>207</v>
      </c>
      <c r="CK15" t="s">
        <v>207</v>
      </c>
      <c r="CL15">
        <v>1</v>
      </c>
      <c r="CM15" t="s">
        <v>520</v>
      </c>
      <c r="CN15" t="s">
        <v>207</v>
      </c>
      <c r="CO15">
        <v>0.5</v>
      </c>
      <c r="CP15">
        <v>0</v>
      </c>
      <c r="CQ15">
        <v>1</v>
      </c>
      <c r="CR15" s="105">
        <v>33731</v>
      </c>
      <c r="CS15">
        <v>14</v>
      </c>
      <c r="CT15" s="106">
        <v>43759</v>
      </c>
      <c r="CU15">
        <v>34</v>
      </c>
      <c r="CV15" s="106">
        <v>34549</v>
      </c>
      <c r="CW15" t="s">
        <v>207</v>
      </c>
    </row>
    <row r="16" spans="1:101" x14ac:dyDescent="0.2">
      <c r="A16">
        <v>6655</v>
      </c>
      <c r="B16" t="s">
        <v>8</v>
      </c>
      <c r="C16" t="s">
        <v>521</v>
      </c>
      <c r="D16">
        <v>7247</v>
      </c>
      <c r="E16" t="s">
        <v>522</v>
      </c>
      <c r="F16" t="s">
        <v>523</v>
      </c>
      <c r="G16" t="s">
        <v>524</v>
      </c>
      <c r="H16" t="s">
        <v>207</v>
      </c>
      <c r="I16" t="s">
        <v>207</v>
      </c>
      <c r="J16" t="s">
        <v>525</v>
      </c>
      <c r="K16">
        <v>350</v>
      </c>
      <c r="L16" t="s">
        <v>479</v>
      </c>
      <c r="M16">
        <v>3182</v>
      </c>
      <c r="N16" t="s">
        <v>207</v>
      </c>
      <c r="O16" t="s">
        <v>251</v>
      </c>
      <c r="P16" t="s">
        <v>444</v>
      </c>
      <c r="Q16" t="s">
        <v>207</v>
      </c>
      <c r="R16" t="s">
        <v>207</v>
      </c>
      <c r="S16">
        <v>0</v>
      </c>
      <c r="T16">
        <v>0</v>
      </c>
      <c r="U16">
        <v>0</v>
      </c>
      <c r="V16">
        <v>1</v>
      </c>
      <c r="W16" t="s">
        <v>118</v>
      </c>
      <c r="X16" t="s">
        <v>207</v>
      </c>
      <c r="Y16" t="s">
        <v>207</v>
      </c>
      <c r="Z16" t="s">
        <v>517</v>
      </c>
      <c r="AA16" t="s">
        <v>207</v>
      </c>
      <c r="AB16">
        <v>1</v>
      </c>
      <c r="AC16">
        <v>65</v>
      </c>
      <c r="AD16">
        <v>9710</v>
      </c>
      <c r="AE16">
        <v>4</v>
      </c>
      <c r="AF16">
        <v>20</v>
      </c>
      <c r="AG16">
        <v>90102</v>
      </c>
      <c r="AH16" t="s">
        <v>207</v>
      </c>
      <c r="AI16" t="s">
        <v>207</v>
      </c>
      <c r="AJ16" t="s">
        <v>207</v>
      </c>
      <c r="AK16" t="s">
        <v>207</v>
      </c>
      <c r="AL16">
        <v>13.33</v>
      </c>
      <c r="AM16">
        <v>14</v>
      </c>
      <c r="AN16" t="s">
        <v>392</v>
      </c>
      <c r="AO16" t="s">
        <v>207</v>
      </c>
      <c r="AP16" t="s">
        <v>207</v>
      </c>
      <c r="AQ16">
        <v>48636</v>
      </c>
      <c r="AR16" t="s">
        <v>207</v>
      </c>
      <c r="AS16" t="s">
        <v>207</v>
      </c>
      <c r="AT16" t="s">
        <v>207</v>
      </c>
      <c r="AU16" t="s">
        <v>207</v>
      </c>
      <c r="AV16" t="s">
        <v>207</v>
      </c>
      <c r="AW16" t="s">
        <v>207</v>
      </c>
      <c r="AX16" t="s">
        <v>207</v>
      </c>
      <c r="AY16" t="s">
        <v>207</v>
      </c>
      <c r="AZ16" t="s">
        <v>526</v>
      </c>
      <c r="BA16" t="s">
        <v>207</v>
      </c>
      <c r="BB16" t="s">
        <v>207</v>
      </c>
      <c r="BC16" t="s">
        <v>207</v>
      </c>
      <c r="BD16" t="s">
        <v>207</v>
      </c>
      <c r="BE16" t="s">
        <v>207</v>
      </c>
      <c r="BF16" t="s">
        <v>423</v>
      </c>
      <c r="BG16" t="s">
        <v>207</v>
      </c>
      <c r="BH16" t="s">
        <v>207</v>
      </c>
      <c r="BI16" t="s">
        <v>207</v>
      </c>
      <c r="BJ16" t="s">
        <v>207</v>
      </c>
      <c r="BK16" t="s">
        <v>207</v>
      </c>
      <c r="BL16" t="s">
        <v>207</v>
      </c>
      <c r="BM16">
        <v>0</v>
      </c>
      <c r="BN16">
        <v>0</v>
      </c>
      <c r="BO16">
        <v>0</v>
      </c>
      <c r="BP16">
        <v>0</v>
      </c>
      <c r="BQ16">
        <v>0</v>
      </c>
      <c r="BR16">
        <v>0</v>
      </c>
      <c r="BS16">
        <v>0</v>
      </c>
      <c r="BT16">
        <v>0</v>
      </c>
      <c r="BU16">
        <v>0</v>
      </c>
      <c r="BV16">
        <v>0</v>
      </c>
      <c r="BW16" t="s">
        <v>396</v>
      </c>
      <c r="BX16" t="s">
        <v>207</v>
      </c>
      <c r="BY16" t="s">
        <v>207</v>
      </c>
      <c r="BZ16" t="s">
        <v>207</v>
      </c>
      <c r="CA16" t="s">
        <v>207</v>
      </c>
      <c r="CB16" t="s">
        <v>207</v>
      </c>
      <c r="CC16" t="s">
        <v>207</v>
      </c>
      <c r="CD16" t="s">
        <v>207</v>
      </c>
      <c r="CE16">
        <v>0</v>
      </c>
      <c r="CF16" t="s">
        <v>207</v>
      </c>
      <c r="CG16" t="s">
        <v>399</v>
      </c>
      <c r="CH16" t="s">
        <v>207</v>
      </c>
      <c r="CI16" t="s">
        <v>400</v>
      </c>
      <c r="CJ16" t="s">
        <v>207</v>
      </c>
      <c r="CK16" t="s">
        <v>207</v>
      </c>
      <c r="CL16">
        <v>1</v>
      </c>
      <c r="CM16" t="s">
        <v>527</v>
      </c>
      <c r="CN16" t="s">
        <v>207</v>
      </c>
      <c r="CO16">
        <v>1</v>
      </c>
      <c r="CP16">
        <v>0</v>
      </c>
      <c r="CQ16">
        <v>14</v>
      </c>
      <c r="CR16" s="105">
        <v>33940</v>
      </c>
      <c r="CS16">
        <v>2310</v>
      </c>
      <c r="CT16" s="106">
        <v>41396</v>
      </c>
      <c r="CU16">
        <v>1</v>
      </c>
      <c r="CV16" s="106">
        <v>36150</v>
      </c>
      <c r="CW16" t="s">
        <v>207</v>
      </c>
    </row>
    <row r="17" spans="1:101" x14ac:dyDescent="0.2">
      <c r="A17">
        <v>239</v>
      </c>
      <c r="B17" t="s">
        <v>52</v>
      </c>
      <c r="C17" t="s">
        <v>528</v>
      </c>
      <c r="D17">
        <v>86798</v>
      </c>
      <c r="E17" t="s">
        <v>388</v>
      </c>
      <c r="F17" t="s">
        <v>529</v>
      </c>
      <c r="G17" t="s">
        <v>530</v>
      </c>
      <c r="H17" t="s">
        <v>207</v>
      </c>
      <c r="I17" t="s">
        <v>207</v>
      </c>
      <c r="J17" t="s">
        <v>207</v>
      </c>
      <c r="K17">
        <v>76</v>
      </c>
      <c r="L17" t="s">
        <v>469</v>
      </c>
      <c r="M17">
        <v>2445</v>
      </c>
      <c r="N17" t="s">
        <v>207</v>
      </c>
      <c r="O17" t="s">
        <v>250</v>
      </c>
      <c r="P17" t="s">
        <v>444</v>
      </c>
      <c r="Q17" t="s">
        <v>207</v>
      </c>
      <c r="R17" t="s">
        <v>207</v>
      </c>
      <c r="S17">
        <v>0</v>
      </c>
      <c r="T17">
        <v>1</v>
      </c>
      <c r="U17">
        <v>1</v>
      </c>
      <c r="V17">
        <v>1</v>
      </c>
      <c r="W17" t="s">
        <v>114</v>
      </c>
      <c r="X17" t="s">
        <v>207</v>
      </c>
      <c r="Y17" t="s">
        <v>207</v>
      </c>
      <c r="Z17" t="s">
        <v>461</v>
      </c>
      <c r="AA17">
        <v>51243</v>
      </c>
      <c r="AB17">
        <v>0</v>
      </c>
      <c r="AC17">
        <v>200</v>
      </c>
      <c r="AD17">
        <v>50550</v>
      </c>
      <c r="AE17" t="s">
        <v>207</v>
      </c>
      <c r="AF17" t="s">
        <v>207</v>
      </c>
      <c r="AG17" t="s">
        <v>207</v>
      </c>
      <c r="AH17">
        <v>11</v>
      </c>
      <c r="AI17">
        <v>12193</v>
      </c>
      <c r="AJ17">
        <v>4</v>
      </c>
      <c r="AK17">
        <v>273</v>
      </c>
      <c r="AL17">
        <v>36.29</v>
      </c>
      <c r="AM17">
        <v>122</v>
      </c>
      <c r="AN17" t="s">
        <v>392</v>
      </c>
      <c r="AO17" t="s">
        <v>207</v>
      </c>
      <c r="AP17" t="s">
        <v>207</v>
      </c>
      <c r="AQ17">
        <v>96339</v>
      </c>
      <c r="AR17">
        <v>60</v>
      </c>
      <c r="AS17" t="s">
        <v>392</v>
      </c>
      <c r="AT17" t="s">
        <v>207</v>
      </c>
      <c r="AU17" t="s">
        <v>207</v>
      </c>
      <c r="AV17">
        <v>5504</v>
      </c>
      <c r="AW17">
        <v>25400</v>
      </c>
      <c r="AX17" t="s">
        <v>207</v>
      </c>
      <c r="AY17">
        <v>7251</v>
      </c>
      <c r="AZ17" t="s">
        <v>531</v>
      </c>
      <c r="BA17" t="s">
        <v>207</v>
      </c>
      <c r="BB17" t="s">
        <v>207</v>
      </c>
      <c r="BC17" t="s">
        <v>207</v>
      </c>
      <c r="BD17">
        <v>4931</v>
      </c>
      <c r="BE17" t="s">
        <v>434</v>
      </c>
      <c r="BF17" t="s">
        <v>532</v>
      </c>
      <c r="BG17" t="s">
        <v>394</v>
      </c>
      <c r="BH17" t="s">
        <v>533</v>
      </c>
      <c r="BI17" t="s">
        <v>489</v>
      </c>
      <c r="BJ17" t="s">
        <v>207</v>
      </c>
      <c r="BK17" t="s">
        <v>534</v>
      </c>
      <c r="BL17" t="s">
        <v>411</v>
      </c>
      <c r="BM17">
        <v>0</v>
      </c>
      <c r="BN17">
        <v>1</v>
      </c>
      <c r="BO17">
        <v>0</v>
      </c>
      <c r="BP17">
        <v>0</v>
      </c>
      <c r="BQ17">
        <v>0</v>
      </c>
      <c r="BR17">
        <v>0</v>
      </c>
      <c r="BS17">
        <v>0</v>
      </c>
      <c r="BT17">
        <v>0</v>
      </c>
      <c r="BU17">
        <v>1</v>
      </c>
      <c r="BV17">
        <v>0</v>
      </c>
      <c r="BW17" t="s">
        <v>397</v>
      </c>
      <c r="BX17" t="s">
        <v>437</v>
      </c>
      <c r="BY17">
        <v>12108</v>
      </c>
      <c r="BZ17" t="s">
        <v>396</v>
      </c>
      <c r="CA17" t="s">
        <v>207</v>
      </c>
      <c r="CB17" t="s">
        <v>396</v>
      </c>
      <c r="CC17" t="s">
        <v>398</v>
      </c>
      <c r="CD17">
        <v>9183</v>
      </c>
      <c r="CE17">
        <v>1</v>
      </c>
      <c r="CF17">
        <v>4699</v>
      </c>
      <c r="CG17" t="s">
        <v>413</v>
      </c>
      <c r="CH17" t="s">
        <v>207</v>
      </c>
      <c r="CI17" t="s">
        <v>400</v>
      </c>
      <c r="CJ17" t="s">
        <v>207</v>
      </c>
      <c r="CK17" t="s">
        <v>207</v>
      </c>
      <c r="CL17">
        <v>1</v>
      </c>
      <c r="CM17" t="s">
        <v>535</v>
      </c>
      <c r="CN17" t="s">
        <v>207</v>
      </c>
      <c r="CO17">
        <v>0.5</v>
      </c>
      <c r="CP17">
        <v>0</v>
      </c>
      <c r="CQ17">
        <v>2</v>
      </c>
      <c r="CR17" s="105">
        <v>33163</v>
      </c>
      <c r="CS17">
        <v>10</v>
      </c>
      <c r="CT17" s="106">
        <v>43238</v>
      </c>
      <c r="CU17">
        <v>97</v>
      </c>
      <c r="CV17" s="106">
        <v>37636</v>
      </c>
      <c r="CW17" t="s">
        <v>207</v>
      </c>
    </row>
    <row r="18" spans="1:101" x14ac:dyDescent="0.2">
      <c r="A18">
        <v>271</v>
      </c>
      <c r="B18" t="s">
        <v>16</v>
      </c>
      <c r="C18" t="s">
        <v>536</v>
      </c>
      <c r="D18">
        <v>7050</v>
      </c>
      <c r="E18" t="s">
        <v>416</v>
      </c>
      <c r="F18" t="s">
        <v>537</v>
      </c>
      <c r="G18" t="s">
        <v>538</v>
      </c>
      <c r="H18" t="s">
        <v>207</v>
      </c>
      <c r="I18" t="s">
        <v>207</v>
      </c>
      <c r="J18" t="s">
        <v>207</v>
      </c>
      <c r="K18">
        <v>122</v>
      </c>
      <c r="L18" t="s">
        <v>539</v>
      </c>
      <c r="M18">
        <v>3499</v>
      </c>
      <c r="N18" t="s">
        <v>207</v>
      </c>
      <c r="O18" t="s">
        <v>250</v>
      </c>
      <c r="P18" t="s">
        <v>391</v>
      </c>
      <c r="Q18" t="s">
        <v>207</v>
      </c>
      <c r="R18" t="s">
        <v>207</v>
      </c>
      <c r="S18">
        <v>0</v>
      </c>
      <c r="T18">
        <v>1</v>
      </c>
      <c r="U18">
        <v>1</v>
      </c>
      <c r="V18">
        <v>0</v>
      </c>
      <c r="W18" t="s">
        <v>114</v>
      </c>
      <c r="X18" t="s">
        <v>207</v>
      </c>
      <c r="Y18" t="s">
        <v>207</v>
      </c>
      <c r="Z18" t="s">
        <v>420</v>
      </c>
      <c r="AA18">
        <v>51243</v>
      </c>
      <c r="AB18">
        <v>0</v>
      </c>
      <c r="AC18">
        <v>20</v>
      </c>
      <c r="AD18">
        <v>6898</v>
      </c>
      <c r="AE18" t="s">
        <v>207</v>
      </c>
      <c r="AF18" t="s">
        <v>207</v>
      </c>
      <c r="AG18" t="s">
        <v>207</v>
      </c>
      <c r="AH18">
        <v>41</v>
      </c>
      <c r="AI18">
        <v>72468</v>
      </c>
      <c r="AJ18">
        <v>30</v>
      </c>
      <c r="AK18">
        <v>3672</v>
      </c>
      <c r="AL18">
        <v>24.37</v>
      </c>
      <c r="AM18">
        <v>48</v>
      </c>
      <c r="AN18" t="s">
        <v>392</v>
      </c>
      <c r="AO18" t="s">
        <v>207</v>
      </c>
      <c r="AP18" t="s">
        <v>207</v>
      </c>
      <c r="AQ18">
        <v>27549</v>
      </c>
      <c r="AR18">
        <v>10</v>
      </c>
      <c r="AS18" t="s">
        <v>392</v>
      </c>
      <c r="AT18" t="s">
        <v>207</v>
      </c>
      <c r="AU18" t="s">
        <v>207</v>
      </c>
      <c r="AV18">
        <v>9987</v>
      </c>
      <c r="AW18" t="s">
        <v>207</v>
      </c>
      <c r="AX18" t="s">
        <v>207</v>
      </c>
      <c r="AY18" t="s">
        <v>207</v>
      </c>
      <c r="AZ18" t="s">
        <v>540</v>
      </c>
      <c r="BA18" t="s">
        <v>207</v>
      </c>
      <c r="BB18" t="s">
        <v>207</v>
      </c>
      <c r="BC18" t="s">
        <v>207</v>
      </c>
      <c r="BD18">
        <v>9987</v>
      </c>
      <c r="BE18" t="s">
        <v>397</v>
      </c>
      <c r="BF18" t="s">
        <v>423</v>
      </c>
      <c r="BG18" t="s">
        <v>207</v>
      </c>
      <c r="BH18" t="s">
        <v>207</v>
      </c>
      <c r="BI18" t="s">
        <v>472</v>
      </c>
      <c r="BJ18" t="s">
        <v>207</v>
      </c>
      <c r="BK18" t="s">
        <v>395</v>
      </c>
      <c r="BL18" t="s">
        <v>411</v>
      </c>
      <c r="BM18">
        <v>0</v>
      </c>
      <c r="BN18">
        <v>1</v>
      </c>
      <c r="BO18">
        <v>0</v>
      </c>
      <c r="BP18">
        <v>0</v>
      </c>
      <c r="BQ18">
        <v>0</v>
      </c>
      <c r="BR18">
        <v>0</v>
      </c>
      <c r="BS18">
        <v>0</v>
      </c>
      <c r="BT18">
        <v>0</v>
      </c>
      <c r="BU18">
        <v>0</v>
      </c>
      <c r="BV18">
        <v>1</v>
      </c>
      <c r="BW18" t="s">
        <v>397</v>
      </c>
      <c r="BX18" t="s">
        <v>411</v>
      </c>
      <c r="BY18">
        <v>12108</v>
      </c>
      <c r="BZ18" t="s">
        <v>412</v>
      </c>
      <c r="CA18">
        <v>4709</v>
      </c>
      <c r="CB18" t="s">
        <v>434</v>
      </c>
      <c r="CC18" t="s">
        <v>425</v>
      </c>
      <c r="CD18">
        <v>1672</v>
      </c>
      <c r="CE18">
        <v>1</v>
      </c>
      <c r="CF18">
        <v>4699</v>
      </c>
      <c r="CG18" t="s">
        <v>413</v>
      </c>
      <c r="CH18" t="s">
        <v>207</v>
      </c>
      <c r="CI18" t="s">
        <v>400</v>
      </c>
      <c r="CJ18" t="s">
        <v>207</v>
      </c>
      <c r="CK18" t="s">
        <v>207</v>
      </c>
      <c r="CL18">
        <v>1</v>
      </c>
      <c r="CM18" t="s">
        <v>541</v>
      </c>
      <c r="CN18" t="s">
        <v>207</v>
      </c>
      <c r="CO18">
        <v>0.515600025653839</v>
      </c>
      <c r="CP18">
        <v>0</v>
      </c>
      <c r="CQ18">
        <v>2</v>
      </c>
      <c r="CR18" s="105">
        <v>33163</v>
      </c>
      <c r="CS18">
        <v>10</v>
      </c>
      <c r="CT18" s="106">
        <v>43194</v>
      </c>
      <c r="CU18">
        <v>97</v>
      </c>
      <c r="CV18" s="106">
        <v>38526</v>
      </c>
      <c r="CW18" t="s">
        <v>207</v>
      </c>
    </row>
    <row r="19" spans="1:101" x14ac:dyDescent="0.2">
      <c r="A19">
        <v>63</v>
      </c>
      <c r="B19" t="s">
        <v>23</v>
      </c>
      <c r="C19" t="s">
        <v>542</v>
      </c>
      <c r="D19">
        <v>6916</v>
      </c>
      <c r="E19" t="s">
        <v>416</v>
      </c>
      <c r="F19" t="s">
        <v>543</v>
      </c>
      <c r="G19" t="s">
        <v>544</v>
      </c>
      <c r="H19" t="s">
        <v>207</v>
      </c>
      <c r="I19" t="s">
        <v>207</v>
      </c>
      <c r="J19" t="s">
        <v>207</v>
      </c>
      <c r="K19">
        <v>487</v>
      </c>
      <c r="L19" t="s">
        <v>207</v>
      </c>
      <c r="M19">
        <v>3216</v>
      </c>
      <c r="N19" t="s">
        <v>207</v>
      </c>
      <c r="O19" t="s">
        <v>250</v>
      </c>
      <c r="P19" t="s">
        <v>444</v>
      </c>
      <c r="Q19" t="s">
        <v>207</v>
      </c>
      <c r="R19" t="s">
        <v>207</v>
      </c>
      <c r="S19">
        <v>0</v>
      </c>
      <c r="T19">
        <v>1</v>
      </c>
      <c r="U19">
        <v>1</v>
      </c>
      <c r="V19">
        <v>1</v>
      </c>
      <c r="W19" t="s">
        <v>126</v>
      </c>
      <c r="X19" t="s">
        <v>207</v>
      </c>
      <c r="Y19" t="s">
        <v>207</v>
      </c>
      <c r="Z19" t="s">
        <v>445</v>
      </c>
      <c r="AA19" t="s">
        <v>207</v>
      </c>
      <c r="AB19">
        <v>10</v>
      </c>
      <c r="AC19">
        <v>100</v>
      </c>
      <c r="AD19">
        <v>9987</v>
      </c>
      <c r="AE19" t="s">
        <v>207</v>
      </c>
      <c r="AF19" t="s">
        <v>207</v>
      </c>
      <c r="AG19" t="s">
        <v>207</v>
      </c>
      <c r="AH19">
        <v>30</v>
      </c>
      <c r="AI19">
        <v>59043</v>
      </c>
      <c r="AJ19">
        <v>30</v>
      </c>
      <c r="AK19">
        <v>273</v>
      </c>
      <c r="AL19">
        <v>69.14</v>
      </c>
      <c r="AM19">
        <v>103</v>
      </c>
      <c r="AN19" t="s">
        <v>392</v>
      </c>
      <c r="AO19" t="s">
        <v>207</v>
      </c>
      <c r="AP19" t="s">
        <v>207</v>
      </c>
      <c r="AQ19">
        <v>40637</v>
      </c>
      <c r="AR19">
        <v>50</v>
      </c>
      <c r="AS19" t="s">
        <v>392</v>
      </c>
      <c r="AT19" t="s">
        <v>207</v>
      </c>
      <c r="AU19" t="s">
        <v>207</v>
      </c>
      <c r="AV19">
        <v>6916</v>
      </c>
      <c r="AW19">
        <v>12000</v>
      </c>
      <c r="AX19" t="s">
        <v>207</v>
      </c>
      <c r="AY19">
        <v>1468</v>
      </c>
      <c r="AZ19" t="s">
        <v>545</v>
      </c>
      <c r="BA19" t="s">
        <v>207</v>
      </c>
      <c r="BB19" t="s">
        <v>546</v>
      </c>
      <c r="BC19" t="s">
        <v>207</v>
      </c>
      <c r="BD19">
        <v>4931</v>
      </c>
      <c r="BE19" t="s">
        <v>397</v>
      </c>
      <c r="BF19" t="s">
        <v>393</v>
      </c>
      <c r="BG19" t="s">
        <v>394</v>
      </c>
      <c r="BH19" t="s">
        <v>207</v>
      </c>
      <c r="BI19" t="s">
        <v>472</v>
      </c>
      <c r="BJ19" t="s">
        <v>547</v>
      </c>
      <c r="BK19" t="s">
        <v>411</v>
      </c>
      <c r="BL19" t="s">
        <v>411</v>
      </c>
      <c r="BM19">
        <v>1</v>
      </c>
      <c r="BN19">
        <v>1</v>
      </c>
      <c r="BO19">
        <v>0</v>
      </c>
      <c r="BP19">
        <v>0</v>
      </c>
      <c r="BQ19">
        <v>0</v>
      </c>
      <c r="BR19">
        <v>1</v>
      </c>
      <c r="BS19">
        <v>0</v>
      </c>
      <c r="BT19">
        <v>0</v>
      </c>
      <c r="BU19">
        <v>1</v>
      </c>
      <c r="BV19">
        <v>0</v>
      </c>
      <c r="BW19" t="s">
        <v>397</v>
      </c>
      <c r="BX19" t="s">
        <v>411</v>
      </c>
      <c r="BY19">
        <v>12108</v>
      </c>
      <c r="BZ19" t="s">
        <v>396</v>
      </c>
      <c r="CA19" t="s">
        <v>207</v>
      </c>
      <c r="CB19" t="s">
        <v>396</v>
      </c>
      <c r="CC19" t="s">
        <v>398</v>
      </c>
      <c r="CD19">
        <v>273</v>
      </c>
      <c r="CE19">
        <v>1</v>
      </c>
      <c r="CF19">
        <v>4699</v>
      </c>
      <c r="CG19" t="s">
        <v>399</v>
      </c>
      <c r="CH19" t="s">
        <v>207</v>
      </c>
      <c r="CI19" t="s">
        <v>400</v>
      </c>
      <c r="CJ19" t="s">
        <v>207</v>
      </c>
      <c r="CK19" t="s">
        <v>207</v>
      </c>
      <c r="CL19">
        <v>1</v>
      </c>
      <c r="CM19" t="s">
        <v>548</v>
      </c>
      <c r="CN19" t="s">
        <v>207</v>
      </c>
      <c r="CO19">
        <v>0.765600025653839</v>
      </c>
      <c r="CP19">
        <v>0</v>
      </c>
      <c r="CQ19">
        <v>1</v>
      </c>
      <c r="CR19" s="105">
        <v>33163</v>
      </c>
      <c r="CS19">
        <v>2</v>
      </c>
      <c r="CT19" s="106">
        <v>43318</v>
      </c>
      <c r="CU19">
        <v>14</v>
      </c>
      <c r="CV19" s="106">
        <v>36921</v>
      </c>
      <c r="CW19" t="s">
        <v>207</v>
      </c>
    </row>
    <row r="20" spans="1:101" x14ac:dyDescent="0.2">
      <c r="A20">
        <v>54868</v>
      </c>
      <c r="B20" t="s">
        <v>95</v>
      </c>
      <c r="C20" t="s">
        <v>549</v>
      </c>
      <c r="D20">
        <v>33326</v>
      </c>
      <c r="E20" t="s">
        <v>550</v>
      </c>
      <c r="F20" t="s">
        <v>207</v>
      </c>
      <c r="G20" t="s">
        <v>551</v>
      </c>
      <c r="H20" t="s">
        <v>207</v>
      </c>
      <c r="I20" t="s">
        <v>207</v>
      </c>
      <c r="J20" t="s">
        <v>207</v>
      </c>
      <c r="K20">
        <v>122</v>
      </c>
      <c r="L20" t="s">
        <v>552</v>
      </c>
      <c r="M20">
        <v>10566</v>
      </c>
      <c r="N20" t="s">
        <v>207</v>
      </c>
      <c r="O20" t="s">
        <v>205</v>
      </c>
      <c r="P20" t="s">
        <v>391</v>
      </c>
      <c r="Q20" t="s">
        <v>207</v>
      </c>
      <c r="R20" t="s">
        <v>207</v>
      </c>
      <c r="S20">
        <v>0</v>
      </c>
      <c r="T20">
        <v>1</v>
      </c>
      <c r="U20">
        <v>0</v>
      </c>
      <c r="V20">
        <v>0</v>
      </c>
      <c r="W20" t="s">
        <v>114</v>
      </c>
      <c r="X20" t="s">
        <v>207</v>
      </c>
      <c r="Y20" t="s">
        <v>207</v>
      </c>
      <c r="Z20" t="s">
        <v>207</v>
      </c>
      <c r="AA20" t="s">
        <v>207</v>
      </c>
      <c r="AB20" t="s">
        <v>207</v>
      </c>
      <c r="AC20" t="s">
        <v>207</v>
      </c>
      <c r="AD20" t="s">
        <v>207</v>
      </c>
      <c r="AE20" t="s">
        <v>207</v>
      </c>
      <c r="AF20" t="s">
        <v>207</v>
      </c>
      <c r="AG20" t="s">
        <v>207</v>
      </c>
      <c r="AH20" t="s">
        <v>207</v>
      </c>
      <c r="AI20" t="s">
        <v>207</v>
      </c>
      <c r="AJ20" t="s">
        <v>207</v>
      </c>
      <c r="AK20" t="s">
        <v>207</v>
      </c>
      <c r="AL20">
        <v>50.81</v>
      </c>
      <c r="AM20">
        <v>36.5</v>
      </c>
      <c r="AN20" t="s">
        <v>470</v>
      </c>
      <c r="AO20" t="s">
        <v>207</v>
      </c>
      <c r="AP20" t="s">
        <v>207</v>
      </c>
      <c r="AQ20">
        <v>120627</v>
      </c>
      <c r="AR20">
        <v>24</v>
      </c>
      <c r="AS20" t="s">
        <v>392</v>
      </c>
      <c r="AT20" t="s">
        <v>207</v>
      </c>
      <c r="AU20" t="s">
        <v>207</v>
      </c>
      <c r="AV20">
        <v>35840</v>
      </c>
      <c r="AW20" t="s">
        <v>207</v>
      </c>
      <c r="AX20" t="s">
        <v>207</v>
      </c>
      <c r="AY20" t="s">
        <v>207</v>
      </c>
      <c r="AZ20" t="s">
        <v>207</v>
      </c>
      <c r="BA20" t="s">
        <v>207</v>
      </c>
      <c r="BB20" t="s">
        <v>207</v>
      </c>
      <c r="BC20" t="s">
        <v>207</v>
      </c>
      <c r="BD20" t="s">
        <v>207</v>
      </c>
      <c r="BE20" t="s">
        <v>207</v>
      </c>
      <c r="BF20" t="s">
        <v>423</v>
      </c>
      <c r="BG20" t="s">
        <v>207</v>
      </c>
      <c r="BH20" t="s">
        <v>207</v>
      </c>
      <c r="BI20" t="s">
        <v>207</v>
      </c>
      <c r="BJ20" t="s">
        <v>207</v>
      </c>
      <c r="BK20" t="s">
        <v>207</v>
      </c>
      <c r="BL20" t="s">
        <v>207</v>
      </c>
      <c r="BM20">
        <v>0</v>
      </c>
      <c r="BN20">
        <v>0</v>
      </c>
      <c r="BO20">
        <v>0</v>
      </c>
      <c r="BP20">
        <v>0</v>
      </c>
      <c r="BQ20">
        <v>0</v>
      </c>
      <c r="BR20">
        <v>0</v>
      </c>
      <c r="BS20">
        <v>0</v>
      </c>
      <c r="BT20">
        <v>0</v>
      </c>
      <c r="BU20">
        <v>0</v>
      </c>
      <c r="BV20">
        <v>0</v>
      </c>
      <c r="BW20" t="s">
        <v>396</v>
      </c>
      <c r="BX20" t="s">
        <v>207</v>
      </c>
      <c r="BY20" t="s">
        <v>207</v>
      </c>
      <c r="BZ20" t="s">
        <v>396</v>
      </c>
      <c r="CA20" t="s">
        <v>207</v>
      </c>
      <c r="CB20" t="s">
        <v>396</v>
      </c>
      <c r="CC20" t="s">
        <v>207</v>
      </c>
      <c r="CD20" t="s">
        <v>207</v>
      </c>
      <c r="CE20">
        <v>0</v>
      </c>
      <c r="CF20" t="s">
        <v>207</v>
      </c>
      <c r="CG20" t="s">
        <v>399</v>
      </c>
      <c r="CH20" t="s">
        <v>207</v>
      </c>
      <c r="CI20" t="s">
        <v>400</v>
      </c>
      <c r="CJ20" t="s">
        <v>207</v>
      </c>
      <c r="CK20" t="s">
        <v>207</v>
      </c>
      <c r="CL20">
        <v>1</v>
      </c>
      <c r="CM20" t="s">
        <v>207</v>
      </c>
      <c r="CN20" t="s">
        <v>207</v>
      </c>
      <c r="CO20">
        <v>0.5</v>
      </c>
      <c r="CP20">
        <v>0</v>
      </c>
      <c r="CQ20">
        <v>10</v>
      </c>
      <c r="CR20" s="105">
        <v>36549</v>
      </c>
      <c r="CS20">
        <v>65</v>
      </c>
      <c r="CT20" s="106">
        <v>43648</v>
      </c>
      <c r="CU20" t="s">
        <v>207</v>
      </c>
      <c r="CV20" t="s">
        <v>207</v>
      </c>
      <c r="CW20" t="s">
        <v>207</v>
      </c>
    </row>
    <row r="21" spans="1:101" x14ac:dyDescent="0.2">
      <c r="A21">
        <v>274</v>
      </c>
      <c r="B21" t="s">
        <v>37</v>
      </c>
      <c r="C21" t="s">
        <v>553</v>
      </c>
      <c r="D21">
        <v>7248</v>
      </c>
      <c r="E21" t="s">
        <v>554</v>
      </c>
      <c r="F21" t="s">
        <v>555</v>
      </c>
      <c r="G21" t="s">
        <v>556</v>
      </c>
      <c r="H21" t="s">
        <v>207</v>
      </c>
      <c r="I21" t="s">
        <v>207</v>
      </c>
      <c r="J21" t="s">
        <v>207</v>
      </c>
      <c r="K21">
        <v>751</v>
      </c>
      <c r="L21" t="s">
        <v>207</v>
      </c>
      <c r="M21">
        <v>311</v>
      </c>
      <c r="N21" t="s">
        <v>207</v>
      </c>
      <c r="O21" t="s">
        <v>250</v>
      </c>
      <c r="P21" t="s">
        <v>391</v>
      </c>
      <c r="Q21" t="s">
        <v>207</v>
      </c>
      <c r="R21" t="s">
        <v>207</v>
      </c>
      <c r="S21">
        <v>0</v>
      </c>
      <c r="T21">
        <v>1</v>
      </c>
      <c r="U21">
        <v>1</v>
      </c>
      <c r="V21">
        <v>0</v>
      </c>
      <c r="W21" t="s">
        <v>114</v>
      </c>
      <c r="X21" t="s">
        <v>207</v>
      </c>
      <c r="Y21" t="s">
        <v>207</v>
      </c>
      <c r="Z21" t="s">
        <v>420</v>
      </c>
      <c r="AA21">
        <v>51243</v>
      </c>
      <c r="AB21">
        <v>0</v>
      </c>
      <c r="AC21">
        <v>20</v>
      </c>
      <c r="AD21">
        <v>6898</v>
      </c>
      <c r="AE21" t="s">
        <v>207</v>
      </c>
      <c r="AF21" t="s">
        <v>207</v>
      </c>
      <c r="AG21" t="s">
        <v>207</v>
      </c>
      <c r="AH21">
        <v>20</v>
      </c>
      <c r="AI21">
        <v>121658</v>
      </c>
      <c r="AJ21" t="s">
        <v>207</v>
      </c>
      <c r="AK21" t="s">
        <v>207</v>
      </c>
      <c r="AL21">
        <v>55.21</v>
      </c>
      <c r="AM21">
        <v>120</v>
      </c>
      <c r="AN21" t="s">
        <v>392</v>
      </c>
      <c r="AO21" t="s">
        <v>207</v>
      </c>
      <c r="AP21" t="s">
        <v>207</v>
      </c>
      <c r="AQ21">
        <v>86798</v>
      </c>
      <c r="AR21">
        <v>18</v>
      </c>
      <c r="AS21" t="s">
        <v>470</v>
      </c>
      <c r="AT21" t="s">
        <v>207</v>
      </c>
      <c r="AU21" t="s">
        <v>207</v>
      </c>
      <c r="AV21">
        <v>35840</v>
      </c>
      <c r="AW21">
        <v>50000</v>
      </c>
      <c r="AX21" t="s">
        <v>207</v>
      </c>
      <c r="AY21">
        <v>30578</v>
      </c>
      <c r="AZ21" t="s">
        <v>557</v>
      </c>
      <c r="BA21" t="s">
        <v>207</v>
      </c>
      <c r="BB21" t="s">
        <v>207</v>
      </c>
      <c r="BC21" t="s">
        <v>207</v>
      </c>
      <c r="BD21">
        <v>4931</v>
      </c>
      <c r="BE21" t="s">
        <v>397</v>
      </c>
      <c r="BF21" t="s">
        <v>423</v>
      </c>
      <c r="BG21" t="s">
        <v>207</v>
      </c>
      <c r="BH21" t="s">
        <v>207</v>
      </c>
      <c r="BI21" t="s">
        <v>558</v>
      </c>
      <c r="BJ21" t="s">
        <v>207</v>
      </c>
      <c r="BK21" t="s">
        <v>395</v>
      </c>
      <c r="BL21" t="s">
        <v>411</v>
      </c>
      <c r="BM21">
        <v>1</v>
      </c>
      <c r="BN21">
        <v>1</v>
      </c>
      <c r="BO21">
        <v>0</v>
      </c>
      <c r="BP21">
        <v>0</v>
      </c>
      <c r="BQ21">
        <v>0</v>
      </c>
      <c r="BR21">
        <v>0</v>
      </c>
      <c r="BS21">
        <v>0</v>
      </c>
      <c r="BT21">
        <v>0</v>
      </c>
      <c r="BU21">
        <v>0</v>
      </c>
      <c r="BV21">
        <v>0</v>
      </c>
      <c r="BW21" t="s">
        <v>397</v>
      </c>
      <c r="BX21" t="s">
        <v>411</v>
      </c>
      <c r="BY21">
        <v>12108</v>
      </c>
      <c r="BZ21" t="s">
        <v>396</v>
      </c>
      <c r="CA21" t="s">
        <v>207</v>
      </c>
      <c r="CB21" t="s">
        <v>396</v>
      </c>
      <c r="CC21" t="s">
        <v>411</v>
      </c>
      <c r="CD21" t="s">
        <v>207</v>
      </c>
      <c r="CE21">
        <v>0</v>
      </c>
      <c r="CF21" t="s">
        <v>207</v>
      </c>
      <c r="CG21" t="s">
        <v>413</v>
      </c>
      <c r="CH21" t="s">
        <v>207</v>
      </c>
      <c r="CI21" t="s">
        <v>400</v>
      </c>
      <c r="CJ21" t="s">
        <v>207</v>
      </c>
      <c r="CK21" t="s">
        <v>207</v>
      </c>
      <c r="CL21">
        <v>1</v>
      </c>
      <c r="CM21" t="s">
        <v>559</v>
      </c>
      <c r="CN21" t="s">
        <v>207</v>
      </c>
      <c r="CO21">
        <v>0.625</v>
      </c>
      <c r="CP21">
        <v>0</v>
      </c>
      <c r="CQ21">
        <v>2</v>
      </c>
      <c r="CR21" s="105">
        <v>33163</v>
      </c>
      <c r="CS21">
        <v>10</v>
      </c>
      <c r="CT21" s="106">
        <v>43862</v>
      </c>
      <c r="CU21">
        <v>97</v>
      </c>
      <c r="CV21" s="106">
        <v>37624</v>
      </c>
      <c r="CW21" t="s">
        <v>207</v>
      </c>
    </row>
    <row r="22" spans="1:101" x14ac:dyDescent="0.2">
      <c r="A22">
        <v>4784</v>
      </c>
      <c r="B22" t="s">
        <v>69</v>
      </c>
      <c r="C22" t="s">
        <v>560</v>
      </c>
      <c r="D22">
        <v>41299</v>
      </c>
      <c r="E22" t="s">
        <v>561</v>
      </c>
      <c r="F22" t="s">
        <v>562</v>
      </c>
      <c r="G22" t="s">
        <v>563</v>
      </c>
      <c r="H22" t="s">
        <v>207</v>
      </c>
      <c r="I22" t="s">
        <v>207</v>
      </c>
      <c r="J22" t="s">
        <v>207</v>
      </c>
      <c r="K22">
        <v>753</v>
      </c>
      <c r="L22" t="s">
        <v>207</v>
      </c>
      <c r="M22">
        <v>261</v>
      </c>
      <c r="N22" t="s">
        <v>207</v>
      </c>
      <c r="O22" t="s">
        <v>250</v>
      </c>
      <c r="P22" t="s">
        <v>391</v>
      </c>
      <c r="Q22" t="s">
        <v>207</v>
      </c>
      <c r="R22" t="s">
        <v>207</v>
      </c>
      <c r="S22">
        <v>0</v>
      </c>
      <c r="T22">
        <v>1</v>
      </c>
      <c r="U22">
        <v>1</v>
      </c>
      <c r="V22">
        <v>0</v>
      </c>
      <c r="W22" t="s">
        <v>114</v>
      </c>
      <c r="X22" t="s">
        <v>207</v>
      </c>
      <c r="Y22" t="s">
        <v>207</v>
      </c>
      <c r="Z22" t="s">
        <v>207</v>
      </c>
      <c r="AA22" t="s">
        <v>207</v>
      </c>
      <c r="AB22" t="s">
        <v>207</v>
      </c>
      <c r="AC22" t="s">
        <v>207</v>
      </c>
      <c r="AD22" t="s">
        <v>207</v>
      </c>
      <c r="AE22" t="s">
        <v>207</v>
      </c>
      <c r="AF22" t="s">
        <v>207</v>
      </c>
      <c r="AG22" t="s">
        <v>207</v>
      </c>
      <c r="AH22" t="s">
        <v>207</v>
      </c>
      <c r="AI22" t="s">
        <v>207</v>
      </c>
      <c r="AJ22" t="s">
        <v>207</v>
      </c>
      <c r="AK22" t="s">
        <v>207</v>
      </c>
      <c r="AL22">
        <v>16.32</v>
      </c>
      <c r="AM22">
        <v>9.1999998092651403</v>
      </c>
      <c r="AN22" t="s">
        <v>470</v>
      </c>
      <c r="AO22" t="s">
        <v>207</v>
      </c>
      <c r="AP22" t="s">
        <v>207</v>
      </c>
      <c r="AQ22">
        <v>108468</v>
      </c>
      <c r="AR22">
        <v>5.1999998092651403</v>
      </c>
      <c r="AS22" t="s">
        <v>470</v>
      </c>
      <c r="AT22" t="s">
        <v>207</v>
      </c>
      <c r="AU22" t="s">
        <v>207</v>
      </c>
      <c r="AV22">
        <v>35840</v>
      </c>
      <c r="AW22" t="s">
        <v>207</v>
      </c>
      <c r="AX22" t="s">
        <v>207</v>
      </c>
      <c r="AY22" t="s">
        <v>207</v>
      </c>
      <c r="AZ22" t="s">
        <v>564</v>
      </c>
      <c r="BA22" t="s">
        <v>565</v>
      </c>
      <c r="BB22" t="s">
        <v>207</v>
      </c>
      <c r="BC22" t="s">
        <v>207</v>
      </c>
      <c r="BD22" t="s">
        <v>207</v>
      </c>
      <c r="BE22" t="s">
        <v>207</v>
      </c>
      <c r="BF22" t="s">
        <v>423</v>
      </c>
      <c r="BG22" t="s">
        <v>207</v>
      </c>
      <c r="BH22" t="s">
        <v>207</v>
      </c>
      <c r="BI22" t="s">
        <v>207</v>
      </c>
      <c r="BJ22" t="s">
        <v>207</v>
      </c>
      <c r="BK22" t="s">
        <v>207</v>
      </c>
      <c r="BL22" t="s">
        <v>207</v>
      </c>
      <c r="BM22">
        <v>0</v>
      </c>
      <c r="BN22">
        <v>0</v>
      </c>
      <c r="BO22">
        <v>0</v>
      </c>
      <c r="BP22">
        <v>0</v>
      </c>
      <c r="BQ22">
        <v>0</v>
      </c>
      <c r="BR22">
        <v>0</v>
      </c>
      <c r="BS22">
        <v>0</v>
      </c>
      <c r="BT22">
        <v>0</v>
      </c>
      <c r="BU22">
        <v>0</v>
      </c>
      <c r="BV22">
        <v>0</v>
      </c>
      <c r="BW22" t="s">
        <v>396</v>
      </c>
      <c r="BX22" t="s">
        <v>207</v>
      </c>
      <c r="BY22" t="s">
        <v>207</v>
      </c>
      <c r="BZ22" t="s">
        <v>396</v>
      </c>
      <c r="CA22" t="s">
        <v>207</v>
      </c>
      <c r="CB22" t="s">
        <v>397</v>
      </c>
      <c r="CC22" t="s">
        <v>425</v>
      </c>
      <c r="CD22">
        <v>1672</v>
      </c>
      <c r="CE22">
        <v>0</v>
      </c>
      <c r="CF22" t="s">
        <v>207</v>
      </c>
      <c r="CG22" t="s">
        <v>413</v>
      </c>
      <c r="CH22">
        <v>6094</v>
      </c>
      <c r="CI22" t="s">
        <v>400</v>
      </c>
      <c r="CJ22" t="s">
        <v>207</v>
      </c>
      <c r="CK22" t="s">
        <v>207</v>
      </c>
      <c r="CL22">
        <v>1</v>
      </c>
      <c r="CM22" t="s">
        <v>566</v>
      </c>
      <c r="CN22" t="s">
        <v>207</v>
      </c>
      <c r="CO22">
        <v>0.5</v>
      </c>
      <c r="CP22">
        <v>0</v>
      </c>
      <c r="CQ22">
        <v>2</v>
      </c>
      <c r="CR22" s="105">
        <v>33570</v>
      </c>
      <c r="CS22">
        <v>65</v>
      </c>
      <c r="CT22" s="106">
        <v>43215</v>
      </c>
      <c r="CU22">
        <v>3</v>
      </c>
      <c r="CV22" s="106">
        <v>34556</v>
      </c>
      <c r="CW22" t="s">
        <v>207</v>
      </c>
    </row>
    <row r="23" spans="1:101" x14ac:dyDescent="0.2">
      <c r="A23">
        <v>54926</v>
      </c>
      <c r="B23" t="s">
        <v>103</v>
      </c>
      <c r="C23" t="s">
        <v>560</v>
      </c>
      <c r="D23">
        <v>33366</v>
      </c>
      <c r="E23" t="s">
        <v>567</v>
      </c>
      <c r="F23" t="s">
        <v>207</v>
      </c>
      <c r="G23" t="s">
        <v>568</v>
      </c>
      <c r="H23" t="s">
        <v>207</v>
      </c>
      <c r="I23" t="s">
        <v>207</v>
      </c>
      <c r="J23" t="s">
        <v>207</v>
      </c>
      <c r="K23">
        <v>753</v>
      </c>
      <c r="L23" t="s">
        <v>207</v>
      </c>
      <c r="M23">
        <v>261</v>
      </c>
      <c r="N23" t="s">
        <v>207</v>
      </c>
      <c r="O23" t="s">
        <v>250</v>
      </c>
      <c r="P23" t="s">
        <v>391</v>
      </c>
      <c r="Q23" t="s">
        <v>207</v>
      </c>
      <c r="R23" t="s">
        <v>207</v>
      </c>
      <c r="S23">
        <v>0</v>
      </c>
      <c r="T23">
        <v>1</v>
      </c>
      <c r="U23">
        <v>1</v>
      </c>
      <c r="V23">
        <v>0</v>
      </c>
      <c r="W23" t="s">
        <v>114</v>
      </c>
      <c r="X23" t="s">
        <v>207</v>
      </c>
      <c r="Y23" t="s">
        <v>207</v>
      </c>
      <c r="Z23" t="s">
        <v>207</v>
      </c>
      <c r="AA23" t="s">
        <v>207</v>
      </c>
      <c r="AB23" t="s">
        <v>207</v>
      </c>
      <c r="AC23" t="s">
        <v>207</v>
      </c>
      <c r="AD23" t="s">
        <v>207</v>
      </c>
      <c r="AE23" t="s">
        <v>207</v>
      </c>
      <c r="AF23" t="s">
        <v>207</v>
      </c>
      <c r="AG23" t="s">
        <v>207</v>
      </c>
      <c r="AH23" t="s">
        <v>207</v>
      </c>
      <c r="AI23" t="s">
        <v>207</v>
      </c>
      <c r="AJ23" t="s">
        <v>207</v>
      </c>
      <c r="AK23" t="s">
        <v>207</v>
      </c>
      <c r="AL23">
        <v>13.79</v>
      </c>
      <c r="AM23">
        <v>5.8499999046325701</v>
      </c>
      <c r="AN23" t="s">
        <v>470</v>
      </c>
      <c r="AO23" t="s">
        <v>207</v>
      </c>
      <c r="AP23" t="s">
        <v>207</v>
      </c>
      <c r="AQ23">
        <v>95613</v>
      </c>
      <c r="AR23">
        <v>4.0999999046325701</v>
      </c>
      <c r="AS23" t="s">
        <v>470</v>
      </c>
      <c r="AT23" t="s">
        <v>207</v>
      </c>
      <c r="AU23" t="s">
        <v>207</v>
      </c>
      <c r="AV23">
        <v>35840</v>
      </c>
      <c r="AW23" t="s">
        <v>207</v>
      </c>
      <c r="AX23" t="s">
        <v>207</v>
      </c>
      <c r="AY23" t="s">
        <v>207</v>
      </c>
      <c r="AZ23" t="s">
        <v>207</v>
      </c>
      <c r="BA23" t="s">
        <v>207</v>
      </c>
      <c r="BB23" t="s">
        <v>207</v>
      </c>
      <c r="BC23" t="s">
        <v>207</v>
      </c>
      <c r="BD23" t="s">
        <v>207</v>
      </c>
      <c r="BE23" t="s">
        <v>207</v>
      </c>
      <c r="BF23" t="s">
        <v>423</v>
      </c>
      <c r="BG23" t="s">
        <v>207</v>
      </c>
      <c r="BH23" t="s">
        <v>207</v>
      </c>
      <c r="BI23" t="s">
        <v>207</v>
      </c>
      <c r="BJ23" t="s">
        <v>207</v>
      </c>
      <c r="BK23" t="s">
        <v>207</v>
      </c>
      <c r="BL23" t="s">
        <v>207</v>
      </c>
      <c r="BM23">
        <v>0</v>
      </c>
      <c r="BN23">
        <v>0</v>
      </c>
      <c r="BO23">
        <v>0</v>
      </c>
      <c r="BP23">
        <v>0</v>
      </c>
      <c r="BQ23">
        <v>0</v>
      </c>
      <c r="BR23">
        <v>0</v>
      </c>
      <c r="BS23">
        <v>0</v>
      </c>
      <c r="BT23">
        <v>0</v>
      </c>
      <c r="BU23">
        <v>0</v>
      </c>
      <c r="BV23">
        <v>0</v>
      </c>
      <c r="BW23" t="s">
        <v>396</v>
      </c>
      <c r="BX23" t="s">
        <v>207</v>
      </c>
      <c r="BY23" t="s">
        <v>207</v>
      </c>
      <c r="BZ23" t="s">
        <v>396</v>
      </c>
      <c r="CA23" t="s">
        <v>207</v>
      </c>
      <c r="CB23" t="s">
        <v>396</v>
      </c>
      <c r="CC23" t="s">
        <v>207</v>
      </c>
      <c r="CD23" t="s">
        <v>207</v>
      </c>
      <c r="CE23">
        <v>0</v>
      </c>
      <c r="CF23" t="s">
        <v>207</v>
      </c>
      <c r="CG23" t="s">
        <v>399</v>
      </c>
      <c r="CH23" t="s">
        <v>207</v>
      </c>
      <c r="CI23" t="s">
        <v>400</v>
      </c>
      <c r="CJ23" t="s">
        <v>207</v>
      </c>
      <c r="CK23" t="s">
        <v>207</v>
      </c>
      <c r="CL23">
        <v>1</v>
      </c>
      <c r="CM23" t="s">
        <v>569</v>
      </c>
      <c r="CN23" t="s">
        <v>207</v>
      </c>
      <c r="CO23">
        <v>0.5</v>
      </c>
      <c r="CP23">
        <v>0</v>
      </c>
      <c r="CQ23">
        <v>10</v>
      </c>
      <c r="CR23" s="105">
        <v>36553</v>
      </c>
      <c r="CS23">
        <v>10</v>
      </c>
      <c r="CT23" s="106">
        <v>42342</v>
      </c>
      <c r="CU23" t="s">
        <v>207</v>
      </c>
      <c r="CV23" t="s">
        <v>207</v>
      </c>
      <c r="CW23" t="s">
        <v>207</v>
      </c>
    </row>
    <row r="24" spans="1:101" x14ac:dyDescent="0.2">
      <c r="A24">
        <v>79</v>
      </c>
      <c r="B24" t="s">
        <v>21</v>
      </c>
      <c r="C24" t="s">
        <v>570</v>
      </c>
      <c r="D24">
        <v>48</v>
      </c>
      <c r="E24" t="s">
        <v>554</v>
      </c>
      <c r="F24" t="s">
        <v>571</v>
      </c>
      <c r="G24" t="s">
        <v>572</v>
      </c>
      <c r="H24" t="s">
        <v>207</v>
      </c>
      <c r="I24" t="s">
        <v>207</v>
      </c>
      <c r="J24" t="s">
        <v>207</v>
      </c>
      <c r="K24">
        <v>751</v>
      </c>
      <c r="L24" t="s">
        <v>207</v>
      </c>
      <c r="M24">
        <v>44</v>
      </c>
      <c r="N24" t="s">
        <v>207</v>
      </c>
      <c r="O24" t="s">
        <v>250</v>
      </c>
      <c r="P24" t="s">
        <v>391</v>
      </c>
      <c r="Q24" t="s">
        <v>207</v>
      </c>
      <c r="R24" t="s">
        <v>207</v>
      </c>
      <c r="S24">
        <v>0</v>
      </c>
      <c r="T24">
        <v>1</v>
      </c>
      <c r="U24">
        <v>1</v>
      </c>
      <c r="V24">
        <v>0</v>
      </c>
      <c r="W24" t="s">
        <v>114</v>
      </c>
      <c r="X24" t="s">
        <v>207</v>
      </c>
      <c r="Y24" t="s">
        <v>207</v>
      </c>
      <c r="Z24" t="s">
        <v>420</v>
      </c>
      <c r="AA24">
        <v>51243</v>
      </c>
      <c r="AB24">
        <v>0</v>
      </c>
      <c r="AC24">
        <v>30</v>
      </c>
      <c r="AD24">
        <v>6898</v>
      </c>
      <c r="AE24" t="s">
        <v>207</v>
      </c>
      <c r="AF24" t="s">
        <v>207</v>
      </c>
      <c r="AG24" t="s">
        <v>207</v>
      </c>
      <c r="AH24">
        <v>21</v>
      </c>
      <c r="AI24">
        <v>48</v>
      </c>
      <c r="AJ24" t="s">
        <v>207</v>
      </c>
      <c r="AK24" t="s">
        <v>207</v>
      </c>
      <c r="AL24">
        <v>65.290000000000006</v>
      </c>
      <c r="AM24">
        <v>150</v>
      </c>
      <c r="AN24" t="s">
        <v>392</v>
      </c>
      <c r="AO24" t="s">
        <v>207</v>
      </c>
      <c r="AP24" t="s">
        <v>207</v>
      </c>
      <c r="AQ24">
        <v>30578</v>
      </c>
      <c r="AR24">
        <v>10.699999809265099</v>
      </c>
      <c r="AS24" t="s">
        <v>470</v>
      </c>
      <c r="AT24" t="s">
        <v>207</v>
      </c>
      <c r="AU24" t="s">
        <v>207</v>
      </c>
      <c r="AV24">
        <v>35840</v>
      </c>
      <c r="AW24">
        <v>45000</v>
      </c>
      <c r="AX24" t="s">
        <v>207</v>
      </c>
      <c r="AY24">
        <v>7248</v>
      </c>
      <c r="AZ24" t="s">
        <v>573</v>
      </c>
      <c r="BA24" t="s">
        <v>207</v>
      </c>
      <c r="BB24" t="s">
        <v>207</v>
      </c>
      <c r="BC24" t="s">
        <v>207</v>
      </c>
      <c r="BD24">
        <v>4931</v>
      </c>
      <c r="BE24" t="s">
        <v>422</v>
      </c>
      <c r="BF24" t="s">
        <v>423</v>
      </c>
      <c r="BG24" t="s">
        <v>207</v>
      </c>
      <c r="BH24" t="s">
        <v>207</v>
      </c>
      <c r="BI24" t="s">
        <v>558</v>
      </c>
      <c r="BJ24" t="s">
        <v>207</v>
      </c>
      <c r="BK24" t="s">
        <v>395</v>
      </c>
      <c r="BL24" t="s">
        <v>411</v>
      </c>
      <c r="BM24">
        <v>1</v>
      </c>
      <c r="BN24">
        <v>0</v>
      </c>
      <c r="BO24">
        <v>0</v>
      </c>
      <c r="BP24">
        <v>0</v>
      </c>
      <c r="BQ24">
        <v>0</v>
      </c>
      <c r="BR24">
        <v>0</v>
      </c>
      <c r="BS24">
        <v>0</v>
      </c>
      <c r="BT24">
        <v>0</v>
      </c>
      <c r="BU24">
        <v>0</v>
      </c>
      <c r="BV24">
        <v>0</v>
      </c>
      <c r="BW24" t="s">
        <v>397</v>
      </c>
      <c r="BX24" t="s">
        <v>437</v>
      </c>
      <c r="BY24">
        <v>12108</v>
      </c>
      <c r="BZ24" t="s">
        <v>396</v>
      </c>
      <c r="CA24" t="s">
        <v>207</v>
      </c>
      <c r="CB24" t="s">
        <v>396</v>
      </c>
      <c r="CC24" t="s">
        <v>425</v>
      </c>
      <c r="CD24">
        <v>12253</v>
      </c>
      <c r="CE24">
        <v>1</v>
      </c>
      <c r="CF24">
        <v>4699</v>
      </c>
      <c r="CG24" t="s">
        <v>413</v>
      </c>
      <c r="CH24" t="s">
        <v>207</v>
      </c>
      <c r="CI24" t="s">
        <v>400</v>
      </c>
      <c r="CJ24" t="s">
        <v>207</v>
      </c>
      <c r="CK24" t="s">
        <v>207</v>
      </c>
      <c r="CL24">
        <v>1</v>
      </c>
      <c r="CM24" t="s">
        <v>574</v>
      </c>
      <c r="CN24" t="s">
        <v>207</v>
      </c>
      <c r="CO24">
        <v>1</v>
      </c>
      <c r="CP24">
        <v>0</v>
      </c>
      <c r="CQ24">
        <v>4</v>
      </c>
      <c r="CR24" s="105">
        <v>33163</v>
      </c>
      <c r="CS24">
        <v>10</v>
      </c>
      <c r="CT24" s="106">
        <v>43846</v>
      </c>
      <c r="CU24">
        <v>97</v>
      </c>
      <c r="CV24" s="106">
        <v>37624</v>
      </c>
      <c r="CW24" t="s">
        <v>207</v>
      </c>
    </row>
    <row r="25" spans="1:101" x14ac:dyDescent="0.2">
      <c r="A25">
        <v>4755</v>
      </c>
      <c r="B25" t="s">
        <v>92</v>
      </c>
      <c r="C25" t="s">
        <v>575</v>
      </c>
      <c r="D25">
        <v>1441</v>
      </c>
      <c r="E25" t="s">
        <v>576</v>
      </c>
      <c r="F25" t="s">
        <v>577</v>
      </c>
      <c r="G25" t="s">
        <v>578</v>
      </c>
      <c r="H25" t="s">
        <v>207</v>
      </c>
      <c r="I25" t="s">
        <v>207</v>
      </c>
      <c r="J25" t="s">
        <v>207</v>
      </c>
      <c r="K25">
        <v>751</v>
      </c>
      <c r="L25" t="s">
        <v>207</v>
      </c>
      <c r="M25">
        <v>594</v>
      </c>
      <c r="N25" t="s">
        <v>207</v>
      </c>
      <c r="O25" t="s">
        <v>250</v>
      </c>
      <c r="P25" t="s">
        <v>391</v>
      </c>
      <c r="Q25" t="s">
        <v>207</v>
      </c>
      <c r="R25" t="s">
        <v>207</v>
      </c>
      <c r="S25">
        <v>0</v>
      </c>
      <c r="T25">
        <v>1</v>
      </c>
      <c r="U25">
        <v>1</v>
      </c>
      <c r="V25">
        <v>0</v>
      </c>
      <c r="W25" t="s">
        <v>114</v>
      </c>
      <c r="X25" t="s">
        <v>207</v>
      </c>
      <c r="Y25" t="s">
        <v>207</v>
      </c>
      <c r="Z25" t="s">
        <v>207</v>
      </c>
      <c r="AA25" t="s">
        <v>207</v>
      </c>
      <c r="AB25">
        <v>0</v>
      </c>
      <c r="AC25">
        <v>10</v>
      </c>
      <c r="AD25">
        <v>6898</v>
      </c>
      <c r="AE25" t="s">
        <v>207</v>
      </c>
      <c r="AF25" t="s">
        <v>207</v>
      </c>
      <c r="AG25" t="s">
        <v>207</v>
      </c>
      <c r="AH25" t="s">
        <v>207</v>
      </c>
      <c r="AI25" t="s">
        <v>207</v>
      </c>
      <c r="AJ25" t="s">
        <v>207</v>
      </c>
      <c r="AK25" t="s">
        <v>207</v>
      </c>
      <c r="AL25">
        <v>42.37</v>
      </c>
      <c r="AM25">
        <v>23</v>
      </c>
      <c r="AN25" t="s">
        <v>470</v>
      </c>
      <c r="AO25" t="s">
        <v>207</v>
      </c>
      <c r="AP25" t="s">
        <v>207</v>
      </c>
      <c r="AQ25">
        <v>33303</v>
      </c>
      <c r="AR25">
        <v>16.899999618530298</v>
      </c>
      <c r="AS25" t="s">
        <v>470</v>
      </c>
      <c r="AT25" t="s">
        <v>207</v>
      </c>
      <c r="AU25" t="s">
        <v>207</v>
      </c>
      <c r="AV25">
        <v>35840</v>
      </c>
      <c r="AW25" t="s">
        <v>207</v>
      </c>
      <c r="AX25" t="s">
        <v>207</v>
      </c>
      <c r="AY25" t="s">
        <v>207</v>
      </c>
      <c r="AZ25" t="s">
        <v>579</v>
      </c>
      <c r="BA25" t="s">
        <v>207</v>
      </c>
      <c r="BB25" t="s">
        <v>207</v>
      </c>
      <c r="BC25" t="s">
        <v>207</v>
      </c>
      <c r="BD25">
        <v>5258</v>
      </c>
      <c r="BE25" t="s">
        <v>422</v>
      </c>
      <c r="BF25" t="s">
        <v>423</v>
      </c>
      <c r="BG25" t="s">
        <v>207</v>
      </c>
      <c r="BH25" t="s">
        <v>207</v>
      </c>
      <c r="BI25" t="s">
        <v>411</v>
      </c>
      <c r="BJ25" t="s">
        <v>207</v>
      </c>
      <c r="BK25" t="s">
        <v>411</v>
      </c>
      <c r="BL25" t="s">
        <v>411</v>
      </c>
      <c r="BM25">
        <v>0</v>
      </c>
      <c r="BN25">
        <v>0</v>
      </c>
      <c r="BO25">
        <v>0</v>
      </c>
      <c r="BP25">
        <v>0</v>
      </c>
      <c r="BQ25">
        <v>0</v>
      </c>
      <c r="BR25">
        <v>0</v>
      </c>
      <c r="BS25">
        <v>0</v>
      </c>
      <c r="BT25">
        <v>0</v>
      </c>
      <c r="BU25">
        <v>0</v>
      </c>
      <c r="BV25">
        <v>0</v>
      </c>
      <c r="BW25" t="s">
        <v>396</v>
      </c>
      <c r="BX25" t="s">
        <v>411</v>
      </c>
      <c r="BY25" t="s">
        <v>207</v>
      </c>
      <c r="BZ25" t="s">
        <v>396</v>
      </c>
      <c r="CA25" t="s">
        <v>207</v>
      </c>
      <c r="CB25" t="s">
        <v>396</v>
      </c>
      <c r="CC25" t="s">
        <v>411</v>
      </c>
      <c r="CD25" t="s">
        <v>207</v>
      </c>
      <c r="CE25">
        <v>1</v>
      </c>
      <c r="CF25">
        <v>5258</v>
      </c>
      <c r="CG25" t="s">
        <v>413</v>
      </c>
      <c r="CH25" t="s">
        <v>207</v>
      </c>
      <c r="CI25" t="s">
        <v>400</v>
      </c>
      <c r="CJ25" t="s">
        <v>207</v>
      </c>
      <c r="CK25" t="s">
        <v>207</v>
      </c>
      <c r="CL25">
        <v>1</v>
      </c>
      <c r="CM25" t="s">
        <v>580</v>
      </c>
      <c r="CN25" t="s">
        <v>207</v>
      </c>
      <c r="CO25">
        <v>0.50389999151229903</v>
      </c>
      <c r="CP25">
        <v>0</v>
      </c>
      <c r="CQ25">
        <v>2</v>
      </c>
      <c r="CR25" s="105">
        <v>33568</v>
      </c>
      <c r="CS25">
        <v>530</v>
      </c>
      <c r="CT25" s="106">
        <v>38127</v>
      </c>
      <c r="CU25" t="s">
        <v>207</v>
      </c>
      <c r="CV25" t="s">
        <v>207</v>
      </c>
      <c r="CW25" t="s">
        <v>207</v>
      </c>
    </row>
    <row r="26" spans="1:101" x14ac:dyDescent="0.2">
      <c r="A26">
        <v>22903</v>
      </c>
      <c r="B26" t="s">
        <v>88</v>
      </c>
      <c r="C26" t="s">
        <v>581</v>
      </c>
      <c r="D26">
        <v>559</v>
      </c>
      <c r="E26" t="s">
        <v>576</v>
      </c>
      <c r="F26" t="s">
        <v>582</v>
      </c>
      <c r="G26" t="s">
        <v>583</v>
      </c>
      <c r="H26" t="s">
        <v>207</v>
      </c>
      <c r="I26" t="s">
        <v>207</v>
      </c>
      <c r="J26" t="s">
        <v>207</v>
      </c>
      <c r="K26">
        <v>754</v>
      </c>
      <c r="L26" t="s">
        <v>207</v>
      </c>
      <c r="M26">
        <v>8266</v>
      </c>
      <c r="N26" t="s">
        <v>207</v>
      </c>
      <c r="O26" t="s">
        <v>250</v>
      </c>
      <c r="P26" t="s">
        <v>391</v>
      </c>
      <c r="Q26" t="s">
        <v>207</v>
      </c>
      <c r="R26" t="s">
        <v>207</v>
      </c>
      <c r="S26">
        <v>0</v>
      </c>
      <c r="T26">
        <v>1</v>
      </c>
      <c r="U26">
        <v>1</v>
      </c>
      <c r="V26">
        <v>0</v>
      </c>
      <c r="W26" t="s">
        <v>114</v>
      </c>
      <c r="X26" t="s">
        <v>207</v>
      </c>
      <c r="Y26" t="s">
        <v>207</v>
      </c>
      <c r="Z26" t="s">
        <v>207</v>
      </c>
      <c r="AA26" t="s">
        <v>207</v>
      </c>
      <c r="AB26" t="s">
        <v>207</v>
      </c>
      <c r="AC26" t="s">
        <v>207</v>
      </c>
      <c r="AD26" t="s">
        <v>207</v>
      </c>
      <c r="AE26" t="s">
        <v>207</v>
      </c>
      <c r="AF26" t="s">
        <v>207</v>
      </c>
      <c r="AG26" t="s">
        <v>207</v>
      </c>
      <c r="AH26" t="s">
        <v>207</v>
      </c>
      <c r="AI26" t="s">
        <v>207</v>
      </c>
      <c r="AJ26" t="s">
        <v>207</v>
      </c>
      <c r="AK26" t="s">
        <v>207</v>
      </c>
      <c r="AL26">
        <v>32.880000000000003</v>
      </c>
      <c r="AM26">
        <v>18.899999618530298</v>
      </c>
      <c r="AN26" t="s">
        <v>392</v>
      </c>
      <c r="AO26" t="s">
        <v>207</v>
      </c>
      <c r="AP26" t="s">
        <v>207</v>
      </c>
      <c r="AQ26">
        <v>89110</v>
      </c>
      <c r="AR26" t="s">
        <v>207</v>
      </c>
      <c r="AS26" t="s">
        <v>207</v>
      </c>
      <c r="AT26" t="s">
        <v>207</v>
      </c>
      <c r="AU26" t="s">
        <v>207</v>
      </c>
      <c r="AV26" t="s">
        <v>207</v>
      </c>
      <c r="AW26" t="s">
        <v>207</v>
      </c>
      <c r="AX26" t="s">
        <v>207</v>
      </c>
      <c r="AY26" t="s">
        <v>207</v>
      </c>
      <c r="AZ26" t="s">
        <v>207</v>
      </c>
      <c r="BA26" t="s">
        <v>207</v>
      </c>
      <c r="BB26" t="s">
        <v>207</v>
      </c>
      <c r="BC26" t="s">
        <v>207</v>
      </c>
      <c r="BD26" t="s">
        <v>207</v>
      </c>
      <c r="BE26" t="s">
        <v>207</v>
      </c>
      <c r="BF26" t="s">
        <v>423</v>
      </c>
      <c r="BG26" t="s">
        <v>207</v>
      </c>
      <c r="BH26" t="s">
        <v>207</v>
      </c>
      <c r="BI26" t="s">
        <v>411</v>
      </c>
      <c r="BJ26" t="s">
        <v>207</v>
      </c>
      <c r="BK26" t="s">
        <v>411</v>
      </c>
      <c r="BL26" t="s">
        <v>411</v>
      </c>
      <c r="BM26">
        <v>0</v>
      </c>
      <c r="BN26">
        <v>0</v>
      </c>
      <c r="BO26">
        <v>0</v>
      </c>
      <c r="BP26">
        <v>0</v>
      </c>
      <c r="BQ26">
        <v>0</v>
      </c>
      <c r="BR26">
        <v>0</v>
      </c>
      <c r="BS26">
        <v>0</v>
      </c>
      <c r="BT26">
        <v>0</v>
      </c>
      <c r="BU26">
        <v>0</v>
      </c>
      <c r="BV26">
        <v>0</v>
      </c>
      <c r="BW26" t="s">
        <v>396</v>
      </c>
      <c r="BX26" t="s">
        <v>411</v>
      </c>
      <c r="BY26" t="s">
        <v>207</v>
      </c>
      <c r="BZ26" t="s">
        <v>396</v>
      </c>
      <c r="CA26" t="s">
        <v>207</v>
      </c>
      <c r="CB26" t="s">
        <v>396</v>
      </c>
      <c r="CC26" t="s">
        <v>411</v>
      </c>
      <c r="CD26" t="s">
        <v>207</v>
      </c>
      <c r="CE26">
        <v>0</v>
      </c>
      <c r="CF26" t="s">
        <v>207</v>
      </c>
      <c r="CG26" t="s">
        <v>399</v>
      </c>
      <c r="CH26" t="s">
        <v>207</v>
      </c>
      <c r="CI26" t="s">
        <v>400</v>
      </c>
      <c r="CJ26" t="s">
        <v>207</v>
      </c>
      <c r="CK26" t="s">
        <v>207</v>
      </c>
      <c r="CL26">
        <v>1</v>
      </c>
      <c r="CM26" t="s">
        <v>584</v>
      </c>
      <c r="CN26" t="s">
        <v>207</v>
      </c>
      <c r="CO26">
        <v>0.531199991703033</v>
      </c>
      <c r="CP26">
        <v>0</v>
      </c>
      <c r="CQ26">
        <v>113</v>
      </c>
      <c r="CR26" s="105">
        <v>35198</v>
      </c>
      <c r="CS26">
        <v>2</v>
      </c>
      <c r="CT26" s="106">
        <v>43194</v>
      </c>
      <c r="CU26">
        <v>97</v>
      </c>
      <c r="CV26" s="106">
        <v>37624</v>
      </c>
      <c r="CW26" t="s">
        <v>207</v>
      </c>
    </row>
    <row r="27" spans="1:101" x14ac:dyDescent="0.2">
      <c r="A27">
        <v>275</v>
      </c>
      <c r="B27" t="s">
        <v>38</v>
      </c>
      <c r="C27" t="s">
        <v>553</v>
      </c>
      <c r="D27">
        <v>44416</v>
      </c>
      <c r="E27" t="s">
        <v>585</v>
      </c>
      <c r="F27" t="s">
        <v>586</v>
      </c>
      <c r="G27" t="s">
        <v>587</v>
      </c>
      <c r="H27" t="s">
        <v>207</v>
      </c>
      <c r="I27" t="s">
        <v>207</v>
      </c>
      <c r="J27" t="s">
        <v>207</v>
      </c>
      <c r="K27">
        <v>751</v>
      </c>
      <c r="L27" t="s">
        <v>207</v>
      </c>
      <c r="M27">
        <v>311</v>
      </c>
      <c r="N27" t="s">
        <v>207</v>
      </c>
      <c r="O27" t="s">
        <v>250</v>
      </c>
      <c r="P27" t="s">
        <v>391</v>
      </c>
      <c r="Q27" t="s">
        <v>207</v>
      </c>
      <c r="R27" t="s">
        <v>207</v>
      </c>
      <c r="S27">
        <v>0</v>
      </c>
      <c r="T27">
        <v>1</v>
      </c>
      <c r="U27">
        <v>1</v>
      </c>
      <c r="V27">
        <v>0</v>
      </c>
      <c r="W27" t="s">
        <v>114</v>
      </c>
      <c r="X27" t="s">
        <v>207</v>
      </c>
      <c r="Y27" t="s">
        <v>207</v>
      </c>
      <c r="Z27" t="s">
        <v>420</v>
      </c>
      <c r="AA27">
        <v>51243</v>
      </c>
      <c r="AB27">
        <v>0</v>
      </c>
      <c r="AC27" t="s">
        <v>207</v>
      </c>
      <c r="AD27">
        <v>59043</v>
      </c>
      <c r="AE27" t="s">
        <v>207</v>
      </c>
      <c r="AF27" t="s">
        <v>207</v>
      </c>
      <c r="AG27" t="s">
        <v>207</v>
      </c>
      <c r="AH27">
        <v>20</v>
      </c>
      <c r="AI27">
        <v>59043</v>
      </c>
      <c r="AJ27" t="s">
        <v>207</v>
      </c>
      <c r="AK27" t="s">
        <v>207</v>
      </c>
      <c r="AL27">
        <v>68.510000000000005</v>
      </c>
      <c r="AM27">
        <v>146</v>
      </c>
      <c r="AN27" t="s">
        <v>470</v>
      </c>
      <c r="AO27" t="s">
        <v>207</v>
      </c>
      <c r="AP27" t="s">
        <v>207</v>
      </c>
      <c r="AQ27">
        <v>59043</v>
      </c>
      <c r="AR27">
        <v>60</v>
      </c>
      <c r="AS27" t="s">
        <v>392</v>
      </c>
      <c r="AT27" t="s">
        <v>207</v>
      </c>
      <c r="AU27" t="s">
        <v>207</v>
      </c>
      <c r="AV27">
        <v>2059</v>
      </c>
      <c r="AW27">
        <v>40000</v>
      </c>
      <c r="AX27" t="s">
        <v>207</v>
      </c>
      <c r="AY27">
        <v>59043</v>
      </c>
      <c r="AZ27" t="s">
        <v>588</v>
      </c>
      <c r="BA27" t="s">
        <v>207</v>
      </c>
      <c r="BB27" t="s">
        <v>207</v>
      </c>
      <c r="BC27" t="s">
        <v>207</v>
      </c>
      <c r="BD27">
        <v>4931</v>
      </c>
      <c r="BE27" t="s">
        <v>434</v>
      </c>
      <c r="BF27" t="s">
        <v>423</v>
      </c>
      <c r="BG27" t="s">
        <v>207</v>
      </c>
      <c r="BH27" t="s">
        <v>207</v>
      </c>
      <c r="BI27" t="s">
        <v>558</v>
      </c>
      <c r="BJ27" t="s">
        <v>207</v>
      </c>
      <c r="BK27" t="s">
        <v>207</v>
      </c>
      <c r="BL27" t="s">
        <v>207</v>
      </c>
      <c r="BM27">
        <v>0</v>
      </c>
      <c r="BN27">
        <v>1</v>
      </c>
      <c r="BO27">
        <v>0</v>
      </c>
      <c r="BP27">
        <v>0</v>
      </c>
      <c r="BQ27">
        <v>0</v>
      </c>
      <c r="BR27">
        <v>0</v>
      </c>
      <c r="BS27">
        <v>0</v>
      </c>
      <c r="BT27">
        <v>0</v>
      </c>
      <c r="BU27">
        <v>0</v>
      </c>
      <c r="BV27">
        <v>0</v>
      </c>
      <c r="BW27" t="s">
        <v>397</v>
      </c>
      <c r="BX27" t="s">
        <v>207</v>
      </c>
      <c r="BY27">
        <v>12108</v>
      </c>
      <c r="BZ27" t="s">
        <v>396</v>
      </c>
      <c r="CA27" t="s">
        <v>207</v>
      </c>
      <c r="CB27" t="s">
        <v>438</v>
      </c>
      <c r="CC27" t="s">
        <v>207</v>
      </c>
      <c r="CD27">
        <v>2059</v>
      </c>
      <c r="CE27">
        <v>0</v>
      </c>
      <c r="CF27" t="s">
        <v>207</v>
      </c>
      <c r="CG27" t="s">
        <v>413</v>
      </c>
      <c r="CH27" t="s">
        <v>207</v>
      </c>
      <c r="CI27" t="s">
        <v>400</v>
      </c>
      <c r="CJ27" t="s">
        <v>207</v>
      </c>
      <c r="CK27" t="s">
        <v>207</v>
      </c>
      <c r="CL27">
        <v>1</v>
      </c>
      <c r="CM27" t="s">
        <v>589</v>
      </c>
      <c r="CN27" t="s">
        <v>207</v>
      </c>
      <c r="CO27">
        <v>0.625</v>
      </c>
      <c r="CP27">
        <v>0</v>
      </c>
      <c r="CQ27">
        <v>2</v>
      </c>
      <c r="CR27" s="105">
        <v>33163</v>
      </c>
      <c r="CS27">
        <v>10</v>
      </c>
      <c r="CT27" s="106">
        <v>43737</v>
      </c>
      <c r="CU27">
        <v>97</v>
      </c>
      <c r="CV27" s="106">
        <v>37628</v>
      </c>
      <c r="CW27" t="s">
        <v>207</v>
      </c>
    </row>
    <row r="28" spans="1:101" x14ac:dyDescent="0.2">
      <c r="A28">
        <v>14458</v>
      </c>
      <c r="B28" t="s">
        <v>75</v>
      </c>
      <c r="C28" t="s">
        <v>590</v>
      </c>
      <c r="D28">
        <v>9671</v>
      </c>
      <c r="E28" t="s">
        <v>591</v>
      </c>
      <c r="F28" t="s">
        <v>207</v>
      </c>
      <c r="G28" t="s">
        <v>592</v>
      </c>
      <c r="H28" t="s">
        <v>207</v>
      </c>
      <c r="I28" t="s">
        <v>207</v>
      </c>
      <c r="J28" t="s">
        <v>207</v>
      </c>
      <c r="K28">
        <v>122</v>
      </c>
      <c r="L28" t="s">
        <v>593</v>
      </c>
      <c r="M28">
        <v>1154</v>
      </c>
      <c r="N28" t="s">
        <v>207</v>
      </c>
      <c r="O28" t="s">
        <v>205</v>
      </c>
      <c r="P28" t="s">
        <v>391</v>
      </c>
      <c r="Q28" t="s">
        <v>207</v>
      </c>
      <c r="R28" t="s">
        <v>207</v>
      </c>
      <c r="S28">
        <v>0</v>
      </c>
      <c r="T28">
        <v>1</v>
      </c>
      <c r="U28">
        <v>0</v>
      </c>
      <c r="V28">
        <v>0</v>
      </c>
      <c r="W28" t="s">
        <v>114</v>
      </c>
      <c r="X28" t="s">
        <v>207</v>
      </c>
      <c r="Y28" t="s">
        <v>207</v>
      </c>
      <c r="Z28" t="s">
        <v>207</v>
      </c>
      <c r="AA28" t="s">
        <v>207</v>
      </c>
      <c r="AB28" t="s">
        <v>207</v>
      </c>
      <c r="AC28" t="s">
        <v>207</v>
      </c>
      <c r="AD28" t="s">
        <v>207</v>
      </c>
      <c r="AE28" t="s">
        <v>207</v>
      </c>
      <c r="AF28" t="s">
        <v>207</v>
      </c>
      <c r="AG28" t="s">
        <v>207</v>
      </c>
      <c r="AH28" t="s">
        <v>207</v>
      </c>
      <c r="AI28" t="s">
        <v>207</v>
      </c>
      <c r="AJ28" t="s">
        <v>207</v>
      </c>
      <c r="AK28" t="s">
        <v>207</v>
      </c>
      <c r="AL28">
        <v>63.43</v>
      </c>
      <c r="AM28">
        <v>57.5</v>
      </c>
      <c r="AN28" t="s">
        <v>470</v>
      </c>
      <c r="AO28" t="s">
        <v>207</v>
      </c>
      <c r="AP28" t="s">
        <v>207</v>
      </c>
      <c r="AQ28">
        <v>111740</v>
      </c>
      <c r="AR28" t="s">
        <v>207</v>
      </c>
      <c r="AS28" t="s">
        <v>207</v>
      </c>
      <c r="AT28" t="s">
        <v>207</v>
      </c>
      <c r="AU28" t="s">
        <v>207</v>
      </c>
      <c r="AV28" t="s">
        <v>207</v>
      </c>
      <c r="AW28">
        <v>3000</v>
      </c>
      <c r="AX28" t="s">
        <v>207</v>
      </c>
      <c r="AY28">
        <v>111740</v>
      </c>
      <c r="AZ28" t="s">
        <v>207</v>
      </c>
      <c r="BA28" t="s">
        <v>207</v>
      </c>
      <c r="BB28" t="s">
        <v>207</v>
      </c>
      <c r="BC28" t="s">
        <v>207</v>
      </c>
      <c r="BD28">
        <v>9671</v>
      </c>
      <c r="BE28" t="s">
        <v>397</v>
      </c>
      <c r="BF28" t="s">
        <v>423</v>
      </c>
      <c r="BG28" t="s">
        <v>207</v>
      </c>
      <c r="BH28" t="s">
        <v>207</v>
      </c>
      <c r="BI28" t="s">
        <v>207</v>
      </c>
      <c r="BJ28" t="s">
        <v>207</v>
      </c>
      <c r="BK28" t="s">
        <v>207</v>
      </c>
      <c r="BL28" t="s">
        <v>207</v>
      </c>
      <c r="BM28">
        <v>0</v>
      </c>
      <c r="BN28">
        <v>0</v>
      </c>
      <c r="BO28">
        <v>0</v>
      </c>
      <c r="BP28">
        <v>0</v>
      </c>
      <c r="BQ28">
        <v>0</v>
      </c>
      <c r="BR28">
        <v>0</v>
      </c>
      <c r="BS28">
        <v>0</v>
      </c>
      <c r="BT28">
        <v>0</v>
      </c>
      <c r="BU28">
        <v>0</v>
      </c>
      <c r="BV28">
        <v>0</v>
      </c>
      <c r="BW28" t="s">
        <v>396</v>
      </c>
      <c r="BX28" t="s">
        <v>207</v>
      </c>
      <c r="BY28" t="s">
        <v>207</v>
      </c>
      <c r="BZ28" t="s">
        <v>396</v>
      </c>
      <c r="CA28" t="s">
        <v>207</v>
      </c>
      <c r="CB28" t="s">
        <v>396</v>
      </c>
      <c r="CC28" t="s">
        <v>207</v>
      </c>
      <c r="CD28" t="s">
        <v>207</v>
      </c>
      <c r="CE28">
        <v>0</v>
      </c>
      <c r="CF28" t="s">
        <v>207</v>
      </c>
      <c r="CG28" t="s">
        <v>399</v>
      </c>
      <c r="CH28" t="s">
        <v>207</v>
      </c>
      <c r="CI28" t="s">
        <v>400</v>
      </c>
      <c r="CJ28" t="s">
        <v>207</v>
      </c>
      <c r="CK28" t="s">
        <v>207</v>
      </c>
      <c r="CL28">
        <v>1</v>
      </c>
      <c r="CM28" t="s">
        <v>594</v>
      </c>
      <c r="CN28" t="s">
        <v>207</v>
      </c>
      <c r="CO28">
        <v>0.5</v>
      </c>
      <c r="CP28">
        <v>0</v>
      </c>
      <c r="CQ28">
        <v>10</v>
      </c>
      <c r="CR28" s="105">
        <v>34918</v>
      </c>
      <c r="CS28">
        <v>65</v>
      </c>
      <c r="CT28" s="106">
        <v>43215</v>
      </c>
      <c r="CU28" t="s">
        <v>207</v>
      </c>
      <c r="CV28" t="s">
        <v>207</v>
      </c>
      <c r="CW28" t="s">
        <v>207</v>
      </c>
    </row>
    <row r="29" spans="1:101" x14ac:dyDescent="0.2">
      <c r="A29">
        <v>54968</v>
      </c>
      <c r="B29" t="s">
        <v>105</v>
      </c>
      <c r="C29" t="s">
        <v>595</v>
      </c>
      <c r="D29">
        <v>33299</v>
      </c>
      <c r="E29" t="s">
        <v>596</v>
      </c>
      <c r="F29" t="s">
        <v>207</v>
      </c>
      <c r="G29" t="s">
        <v>597</v>
      </c>
      <c r="H29" t="s">
        <v>207</v>
      </c>
      <c r="I29" t="s">
        <v>207</v>
      </c>
      <c r="J29" t="s">
        <v>207</v>
      </c>
      <c r="K29">
        <v>754</v>
      </c>
      <c r="L29" t="s">
        <v>207</v>
      </c>
      <c r="M29">
        <v>7418</v>
      </c>
      <c r="N29" t="s">
        <v>207</v>
      </c>
      <c r="O29" t="s">
        <v>250</v>
      </c>
      <c r="P29" t="s">
        <v>391</v>
      </c>
      <c r="Q29" t="s">
        <v>207</v>
      </c>
      <c r="R29" t="s">
        <v>207</v>
      </c>
      <c r="S29">
        <v>0</v>
      </c>
      <c r="T29">
        <v>1</v>
      </c>
      <c r="U29">
        <v>0</v>
      </c>
      <c r="V29">
        <v>0</v>
      </c>
      <c r="W29" t="s">
        <v>114</v>
      </c>
      <c r="X29" t="s">
        <v>207</v>
      </c>
      <c r="Y29" t="s">
        <v>207</v>
      </c>
      <c r="Z29" t="s">
        <v>207</v>
      </c>
      <c r="AA29" t="s">
        <v>207</v>
      </c>
      <c r="AB29" t="s">
        <v>207</v>
      </c>
      <c r="AC29" t="s">
        <v>207</v>
      </c>
      <c r="AD29" t="s">
        <v>207</v>
      </c>
      <c r="AE29" t="s">
        <v>207</v>
      </c>
      <c r="AF29" t="s">
        <v>207</v>
      </c>
      <c r="AG29" t="s">
        <v>207</v>
      </c>
      <c r="AH29" t="s">
        <v>207</v>
      </c>
      <c r="AI29" t="s">
        <v>207</v>
      </c>
      <c r="AJ29" t="s">
        <v>207</v>
      </c>
      <c r="AK29" t="s">
        <v>207</v>
      </c>
      <c r="AL29">
        <v>13.37</v>
      </c>
      <c r="AM29">
        <v>7</v>
      </c>
      <c r="AN29" t="s">
        <v>392</v>
      </c>
      <c r="AO29" t="s">
        <v>207</v>
      </c>
      <c r="AP29" t="s">
        <v>207</v>
      </c>
      <c r="AQ29" t="s">
        <v>207</v>
      </c>
      <c r="AR29">
        <v>5.6999998092651403</v>
      </c>
      <c r="AS29" t="s">
        <v>470</v>
      </c>
      <c r="AT29" t="s">
        <v>207</v>
      </c>
      <c r="AU29" t="s">
        <v>207</v>
      </c>
      <c r="AV29">
        <v>35840</v>
      </c>
      <c r="AW29" t="s">
        <v>207</v>
      </c>
      <c r="AX29" t="s">
        <v>207</v>
      </c>
      <c r="AY29" t="s">
        <v>207</v>
      </c>
      <c r="AZ29" t="s">
        <v>207</v>
      </c>
      <c r="BA29" t="s">
        <v>207</v>
      </c>
      <c r="BB29" t="s">
        <v>207</v>
      </c>
      <c r="BC29" t="s">
        <v>207</v>
      </c>
      <c r="BD29" t="s">
        <v>207</v>
      </c>
      <c r="BE29" t="s">
        <v>207</v>
      </c>
      <c r="BF29" t="s">
        <v>423</v>
      </c>
      <c r="BG29" t="s">
        <v>207</v>
      </c>
      <c r="BH29" t="s">
        <v>207</v>
      </c>
      <c r="BI29" t="s">
        <v>207</v>
      </c>
      <c r="BJ29" t="s">
        <v>207</v>
      </c>
      <c r="BK29" t="s">
        <v>207</v>
      </c>
      <c r="BL29" t="s">
        <v>207</v>
      </c>
      <c r="BM29">
        <v>0</v>
      </c>
      <c r="BN29">
        <v>0</v>
      </c>
      <c r="BO29">
        <v>0</v>
      </c>
      <c r="BP29">
        <v>0</v>
      </c>
      <c r="BQ29">
        <v>0</v>
      </c>
      <c r="BR29">
        <v>0</v>
      </c>
      <c r="BS29">
        <v>0</v>
      </c>
      <c r="BT29">
        <v>0</v>
      </c>
      <c r="BU29">
        <v>0</v>
      </c>
      <c r="BV29">
        <v>0</v>
      </c>
      <c r="BW29" t="s">
        <v>396</v>
      </c>
      <c r="BX29" t="s">
        <v>207</v>
      </c>
      <c r="BY29" t="s">
        <v>207</v>
      </c>
      <c r="BZ29" t="s">
        <v>396</v>
      </c>
      <c r="CA29" t="s">
        <v>207</v>
      </c>
      <c r="CB29" t="s">
        <v>598</v>
      </c>
      <c r="CC29" t="s">
        <v>207</v>
      </c>
      <c r="CD29">
        <v>89718</v>
      </c>
      <c r="CE29">
        <v>0</v>
      </c>
      <c r="CF29" t="s">
        <v>207</v>
      </c>
      <c r="CG29" t="s">
        <v>399</v>
      </c>
      <c r="CH29" t="s">
        <v>207</v>
      </c>
      <c r="CI29" t="s">
        <v>400</v>
      </c>
      <c r="CJ29" t="s">
        <v>207</v>
      </c>
      <c r="CK29" t="s">
        <v>207</v>
      </c>
      <c r="CL29">
        <v>1</v>
      </c>
      <c r="CM29" t="s">
        <v>207</v>
      </c>
      <c r="CN29" t="s">
        <v>207</v>
      </c>
      <c r="CO29">
        <v>0.50019997358322099</v>
      </c>
      <c r="CP29">
        <v>0</v>
      </c>
      <c r="CQ29">
        <v>10</v>
      </c>
      <c r="CR29" s="105">
        <v>36559</v>
      </c>
      <c r="CS29">
        <v>65</v>
      </c>
      <c r="CT29" s="106">
        <v>41470</v>
      </c>
      <c r="CU29" t="s">
        <v>207</v>
      </c>
      <c r="CV29" t="s">
        <v>207</v>
      </c>
      <c r="CW29" t="s">
        <v>207</v>
      </c>
    </row>
    <row r="30" spans="1:101" x14ac:dyDescent="0.2">
      <c r="A30">
        <v>4691</v>
      </c>
      <c r="B30" t="s">
        <v>67</v>
      </c>
      <c r="C30" t="s">
        <v>599</v>
      </c>
      <c r="D30">
        <v>59043</v>
      </c>
      <c r="E30" t="s">
        <v>600</v>
      </c>
      <c r="F30" t="s">
        <v>601</v>
      </c>
      <c r="G30" t="s">
        <v>602</v>
      </c>
      <c r="H30" t="s">
        <v>207</v>
      </c>
      <c r="I30" t="s">
        <v>207</v>
      </c>
      <c r="J30" t="s">
        <v>207</v>
      </c>
      <c r="K30">
        <v>754</v>
      </c>
      <c r="L30" t="s">
        <v>207</v>
      </c>
      <c r="M30">
        <v>2911</v>
      </c>
      <c r="N30" t="s">
        <v>207</v>
      </c>
      <c r="O30" t="s">
        <v>250</v>
      </c>
      <c r="P30" t="s">
        <v>391</v>
      </c>
      <c r="Q30" t="s">
        <v>207</v>
      </c>
      <c r="R30" t="s">
        <v>207</v>
      </c>
      <c r="S30">
        <v>0</v>
      </c>
      <c r="T30">
        <v>1</v>
      </c>
      <c r="U30">
        <v>1</v>
      </c>
      <c r="V30">
        <v>0</v>
      </c>
      <c r="W30" t="s">
        <v>114</v>
      </c>
      <c r="X30" t="s">
        <v>207</v>
      </c>
      <c r="Y30" t="s">
        <v>207</v>
      </c>
      <c r="Z30" t="s">
        <v>207</v>
      </c>
      <c r="AA30" t="s">
        <v>207</v>
      </c>
      <c r="AB30" t="s">
        <v>207</v>
      </c>
      <c r="AC30" t="s">
        <v>207</v>
      </c>
      <c r="AD30" t="s">
        <v>207</v>
      </c>
      <c r="AE30" t="s">
        <v>207</v>
      </c>
      <c r="AF30" t="s">
        <v>207</v>
      </c>
      <c r="AG30" t="s">
        <v>207</v>
      </c>
      <c r="AH30">
        <v>5</v>
      </c>
      <c r="AI30">
        <v>56557</v>
      </c>
      <c r="AJ30" t="s">
        <v>207</v>
      </c>
      <c r="AK30" t="s">
        <v>207</v>
      </c>
      <c r="AL30">
        <v>28.73</v>
      </c>
      <c r="AM30">
        <v>12.5</v>
      </c>
      <c r="AN30" t="s">
        <v>392</v>
      </c>
      <c r="AO30" t="s">
        <v>207</v>
      </c>
      <c r="AP30" t="s">
        <v>207</v>
      </c>
      <c r="AQ30">
        <v>88166</v>
      </c>
      <c r="AR30">
        <v>8</v>
      </c>
      <c r="AS30" t="s">
        <v>392</v>
      </c>
      <c r="AT30" t="s">
        <v>207</v>
      </c>
      <c r="AU30" t="s">
        <v>207</v>
      </c>
      <c r="AV30">
        <v>1441</v>
      </c>
      <c r="AW30" t="s">
        <v>207</v>
      </c>
      <c r="AX30" t="s">
        <v>207</v>
      </c>
      <c r="AY30" t="s">
        <v>207</v>
      </c>
      <c r="AZ30" t="s">
        <v>207</v>
      </c>
      <c r="BA30" t="s">
        <v>603</v>
      </c>
      <c r="BB30" t="s">
        <v>207</v>
      </c>
      <c r="BC30" t="s">
        <v>207</v>
      </c>
      <c r="BD30">
        <v>30578</v>
      </c>
      <c r="BE30" t="s">
        <v>511</v>
      </c>
      <c r="BF30" t="s">
        <v>423</v>
      </c>
      <c r="BG30" t="s">
        <v>207</v>
      </c>
      <c r="BH30" t="s">
        <v>207</v>
      </c>
      <c r="BI30" t="s">
        <v>411</v>
      </c>
      <c r="BJ30" t="s">
        <v>207</v>
      </c>
      <c r="BK30" t="s">
        <v>411</v>
      </c>
      <c r="BL30" t="s">
        <v>411</v>
      </c>
      <c r="BM30">
        <v>0</v>
      </c>
      <c r="BN30">
        <v>0</v>
      </c>
      <c r="BO30">
        <v>0</v>
      </c>
      <c r="BP30">
        <v>0</v>
      </c>
      <c r="BQ30">
        <v>0</v>
      </c>
      <c r="BR30">
        <v>0</v>
      </c>
      <c r="BS30">
        <v>0</v>
      </c>
      <c r="BT30">
        <v>0</v>
      </c>
      <c r="BU30">
        <v>0</v>
      </c>
      <c r="BV30">
        <v>0</v>
      </c>
      <c r="BW30" t="s">
        <v>396</v>
      </c>
      <c r="BX30" t="s">
        <v>411</v>
      </c>
      <c r="BY30" t="s">
        <v>207</v>
      </c>
      <c r="BZ30" t="s">
        <v>396</v>
      </c>
      <c r="CA30" t="s">
        <v>207</v>
      </c>
      <c r="CB30" t="s">
        <v>397</v>
      </c>
      <c r="CC30" t="s">
        <v>411</v>
      </c>
      <c r="CD30">
        <v>2060</v>
      </c>
      <c r="CE30">
        <v>0</v>
      </c>
      <c r="CF30" t="s">
        <v>207</v>
      </c>
      <c r="CG30" t="s">
        <v>413</v>
      </c>
      <c r="CH30" t="s">
        <v>207</v>
      </c>
      <c r="CI30" t="s">
        <v>400</v>
      </c>
      <c r="CJ30" t="s">
        <v>207</v>
      </c>
      <c r="CK30" t="s">
        <v>207</v>
      </c>
      <c r="CL30">
        <v>1</v>
      </c>
      <c r="CM30" t="s">
        <v>604</v>
      </c>
      <c r="CN30" t="s">
        <v>207</v>
      </c>
      <c r="CO30">
        <v>0.531199991703033</v>
      </c>
      <c r="CP30">
        <v>0</v>
      </c>
      <c r="CQ30">
        <v>2</v>
      </c>
      <c r="CR30" s="105">
        <v>33536</v>
      </c>
      <c r="CS30">
        <v>65</v>
      </c>
      <c r="CT30" s="106">
        <v>43194</v>
      </c>
      <c r="CU30">
        <v>1287</v>
      </c>
      <c r="CV30" s="106">
        <v>39029</v>
      </c>
      <c r="CW30" t="s">
        <v>207</v>
      </c>
    </row>
    <row r="31" spans="1:101" x14ac:dyDescent="0.2">
      <c r="A31">
        <v>1450</v>
      </c>
      <c r="B31" t="s">
        <v>22</v>
      </c>
      <c r="C31" t="s">
        <v>605</v>
      </c>
      <c r="D31">
        <v>59043</v>
      </c>
      <c r="E31" t="s">
        <v>455</v>
      </c>
      <c r="F31" t="s">
        <v>606</v>
      </c>
      <c r="G31" t="s">
        <v>607</v>
      </c>
      <c r="H31" t="s">
        <v>608</v>
      </c>
      <c r="I31" t="s">
        <v>207</v>
      </c>
      <c r="J31" t="s">
        <v>609</v>
      </c>
      <c r="K31">
        <v>122</v>
      </c>
      <c r="L31" t="s">
        <v>539</v>
      </c>
      <c r="M31">
        <v>123</v>
      </c>
      <c r="N31" t="s">
        <v>207</v>
      </c>
      <c r="O31" t="s">
        <v>250</v>
      </c>
      <c r="P31" t="s">
        <v>391</v>
      </c>
      <c r="Q31" t="s">
        <v>207</v>
      </c>
      <c r="R31" t="s">
        <v>207</v>
      </c>
      <c r="S31">
        <v>0</v>
      </c>
      <c r="T31">
        <v>1</v>
      </c>
      <c r="U31">
        <v>1</v>
      </c>
      <c r="V31">
        <v>0</v>
      </c>
      <c r="W31" t="s">
        <v>114</v>
      </c>
      <c r="X31" t="s">
        <v>207</v>
      </c>
      <c r="Y31" t="s">
        <v>207</v>
      </c>
      <c r="Z31" t="s">
        <v>420</v>
      </c>
      <c r="AA31">
        <v>51243</v>
      </c>
      <c r="AB31">
        <v>0</v>
      </c>
      <c r="AC31">
        <v>29</v>
      </c>
      <c r="AD31">
        <v>120823</v>
      </c>
      <c r="AE31" t="s">
        <v>207</v>
      </c>
      <c r="AF31" t="s">
        <v>207</v>
      </c>
      <c r="AG31" t="s">
        <v>207</v>
      </c>
      <c r="AH31">
        <v>38</v>
      </c>
      <c r="AI31">
        <v>72479</v>
      </c>
      <c r="AJ31">
        <v>47</v>
      </c>
      <c r="AK31">
        <v>274</v>
      </c>
      <c r="AL31">
        <v>41.5</v>
      </c>
      <c r="AM31">
        <v>120</v>
      </c>
      <c r="AN31" t="s">
        <v>392</v>
      </c>
      <c r="AO31" t="s">
        <v>207</v>
      </c>
      <c r="AP31" t="s">
        <v>207</v>
      </c>
      <c r="AQ31">
        <v>27549</v>
      </c>
      <c r="AR31">
        <v>31</v>
      </c>
      <c r="AS31" t="s">
        <v>392</v>
      </c>
      <c r="AT31" t="s">
        <v>207</v>
      </c>
      <c r="AU31" t="s">
        <v>207</v>
      </c>
      <c r="AV31">
        <v>3561</v>
      </c>
      <c r="AW31">
        <v>40090</v>
      </c>
      <c r="AX31" t="s">
        <v>207</v>
      </c>
      <c r="AY31">
        <v>72380</v>
      </c>
      <c r="AZ31" t="s">
        <v>610</v>
      </c>
      <c r="BA31" t="s">
        <v>207</v>
      </c>
      <c r="BB31" t="s">
        <v>207</v>
      </c>
      <c r="BC31" t="s">
        <v>207</v>
      </c>
      <c r="BD31">
        <v>4931</v>
      </c>
      <c r="BE31" t="s">
        <v>434</v>
      </c>
      <c r="BF31" t="s">
        <v>423</v>
      </c>
      <c r="BG31" t="s">
        <v>207</v>
      </c>
      <c r="BH31" t="s">
        <v>207</v>
      </c>
      <c r="BI31" t="s">
        <v>558</v>
      </c>
      <c r="BJ31" t="s">
        <v>611</v>
      </c>
      <c r="BK31" t="s">
        <v>395</v>
      </c>
      <c r="BL31" t="s">
        <v>411</v>
      </c>
      <c r="BM31">
        <v>1</v>
      </c>
      <c r="BN31">
        <v>1</v>
      </c>
      <c r="BO31">
        <v>1</v>
      </c>
      <c r="BP31">
        <v>0</v>
      </c>
      <c r="BQ31">
        <v>0</v>
      </c>
      <c r="BR31">
        <v>0</v>
      </c>
      <c r="BS31">
        <v>0</v>
      </c>
      <c r="BT31">
        <v>1</v>
      </c>
      <c r="BU31">
        <v>1</v>
      </c>
      <c r="BV31">
        <v>0</v>
      </c>
      <c r="BW31" t="s">
        <v>397</v>
      </c>
      <c r="BX31" t="s">
        <v>437</v>
      </c>
      <c r="BY31">
        <v>12108</v>
      </c>
      <c r="BZ31" t="s">
        <v>396</v>
      </c>
      <c r="CA31" t="s">
        <v>207</v>
      </c>
      <c r="CB31" t="s">
        <v>397</v>
      </c>
      <c r="CC31" t="s">
        <v>425</v>
      </c>
      <c r="CD31">
        <v>1739</v>
      </c>
      <c r="CE31">
        <v>1</v>
      </c>
      <c r="CF31">
        <v>4699</v>
      </c>
      <c r="CG31" t="s">
        <v>413</v>
      </c>
      <c r="CH31" t="s">
        <v>207</v>
      </c>
      <c r="CI31" t="s">
        <v>400</v>
      </c>
      <c r="CJ31" t="s">
        <v>207</v>
      </c>
      <c r="CK31" t="s">
        <v>207</v>
      </c>
      <c r="CL31">
        <v>1</v>
      </c>
      <c r="CM31" t="s">
        <v>612</v>
      </c>
      <c r="CN31" t="s">
        <v>207</v>
      </c>
      <c r="CO31">
        <v>0.5</v>
      </c>
      <c r="CP31">
        <v>0</v>
      </c>
      <c r="CQ31">
        <v>2</v>
      </c>
      <c r="CR31" s="105">
        <v>33163</v>
      </c>
      <c r="CS31">
        <v>10</v>
      </c>
      <c r="CT31" s="106">
        <v>43695</v>
      </c>
      <c r="CU31">
        <v>97</v>
      </c>
      <c r="CV31" s="106">
        <v>37635</v>
      </c>
      <c r="CW31" t="s">
        <v>207</v>
      </c>
    </row>
    <row r="32" spans="1:101" x14ac:dyDescent="0.2">
      <c r="A32">
        <v>62460</v>
      </c>
      <c r="B32" t="s">
        <v>80</v>
      </c>
      <c r="C32" t="s">
        <v>613</v>
      </c>
      <c r="D32">
        <v>45620</v>
      </c>
      <c r="E32" t="s">
        <v>614</v>
      </c>
      <c r="F32" t="s">
        <v>207</v>
      </c>
      <c r="G32" t="s">
        <v>615</v>
      </c>
      <c r="H32" t="s">
        <v>207</v>
      </c>
      <c r="I32" t="s">
        <v>207</v>
      </c>
      <c r="J32" t="s">
        <v>207</v>
      </c>
      <c r="K32">
        <v>122</v>
      </c>
      <c r="L32" t="s">
        <v>616</v>
      </c>
      <c r="M32">
        <v>5284</v>
      </c>
      <c r="N32" t="s">
        <v>207</v>
      </c>
      <c r="O32" t="s">
        <v>205</v>
      </c>
      <c r="P32" t="s">
        <v>391</v>
      </c>
      <c r="Q32" t="s">
        <v>207</v>
      </c>
      <c r="R32" t="s">
        <v>207</v>
      </c>
      <c r="S32">
        <v>0</v>
      </c>
      <c r="T32">
        <v>1</v>
      </c>
      <c r="U32">
        <v>0</v>
      </c>
      <c r="V32">
        <v>0</v>
      </c>
      <c r="W32" t="s">
        <v>114</v>
      </c>
      <c r="X32" t="s">
        <v>207</v>
      </c>
      <c r="Y32" t="s">
        <v>207</v>
      </c>
      <c r="Z32" t="s">
        <v>207</v>
      </c>
      <c r="AA32" t="s">
        <v>207</v>
      </c>
      <c r="AB32" t="s">
        <v>207</v>
      </c>
      <c r="AC32" t="s">
        <v>207</v>
      </c>
      <c r="AD32" t="s">
        <v>207</v>
      </c>
      <c r="AE32" t="s">
        <v>207</v>
      </c>
      <c r="AF32" t="s">
        <v>207</v>
      </c>
      <c r="AG32" t="s">
        <v>207</v>
      </c>
      <c r="AH32" t="s">
        <v>207</v>
      </c>
      <c r="AI32" t="s">
        <v>207</v>
      </c>
      <c r="AJ32" t="s">
        <v>207</v>
      </c>
      <c r="AK32" t="s">
        <v>207</v>
      </c>
      <c r="AL32">
        <v>51.64</v>
      </c>
      <c r="AM32">
        <v>47.099998474121101</v>
      </c>
      <c r="AN32" t="s">
        <v>392</v>
      </c>
      <c r="AO32" t="s">
        <v>207</v>
      </c>
      <c r="AP32" t="s">
        <v>207</v>
      </c>
      <c r="AQ32">
        <v>114983</v>
      </c>
      <c r="AR32" t="s">
        <v>207</v>
      </c>
      <c r="AS32" t="s">
        <v>207</v>
      </c>
      <c r="AT32" t="s">
        <v>207</v>
      </c>
      <c r="AU32" t="s">
        <v>207</v>
      </c>
      <c r="AV32" t="s">
        <v>207</v>
      </c>
      <c r="AW32">
        <v>25000</v>
      </c>
      <c r="AX32" t="s">
        <v>207</v>
      </c>
      <c r="AY32">
        <v>76836</v>
      </c>
      <c r="AZ32" t="s">
        <v>207</v>
      </c>
      <c r="BA32" t="s">
        <v>207</v>
      </c>
      <c r="BB32" t="s">
        <v>207</v>
      </c>
      <c r="BC32" t="s">
        <v>207</v>
      </c>
      <c r="BD32" t="s">
        <v>207</v>
      </c>
      <c r="BE32" t="s">
        <v>207</v>
      </c>
      <c r="BF32" t="s">
        <v>423</v>
      </c>
      <c r="BG32" t="s">
        <v>207</v>
      </c>
      <c r="BH32" t="s">
        <v>207</v>
      </c>
      <c r="BI32" t="s">
        <v>207</v>
      </c>
      <c r="BJ32" t="s">
        <v>207</v>
      </c>
      <c r="BK32" t="s">
        <v>207</v>
      </c>
      <c r="BL32" t="s">
        <v>207</v>
      </c>
      <c r="BM32">
        <v>0</v>
      </c>
      <c r="BN32">
        <v>0</v>
      </c>
      <c r="BO32">
        <v>0</v>
      </c>
      <c r="BP32">
        <v>0</v>
      </c>
      <c r="BQ32">
        <v>0</v>
      </c>
      <c r="BR32">
        <v>0</v>
      </c>
      <c r="BS32">
        <v>0</v>
      </c>
      <c r="BT32">
        <v>0</v>
      </c>
      <c r="BU32">
        <v>0</v>
      </c>
      <c r="BV32">
        <v>0</v>
      </c>
      <c r="BW32" t="s">
        <v>396</v>
      </c>
      <c r="BX32" t="s">
        <v>207</v>
      </c>
      <c r="BY32" t="s">
        <v>207</v>
      </c>
      <c r="BZ32" t="s">
        <v>396</v>
      </c>
      <c r="CA32" t="s">
        <v>207</v>
      </c>
      <c r="CB32" t="s">
        <v>396</v>
      </c>
      <c r="CC32" t="s">
        <v>207</v>
      </c>
      <c r="CD32" t="s">
        <v>207</v>
      </c>
      <c r="CE32">
        <v>0</v>
      </c>
      <c r="CF32" t="s">
        <v>207</v>
      </c>
      <c r="CG32" t="s">
        <v>399</v>
      </c>
      <c r="CH32" t="s">
        <v>207</v>
      </c>
      <c r="CI32" t="s">
        <v>400</v>
      </c>
      <c r="CJ32" t="s">
        <v>207</v>
      </c>
      <c r="CK32" t="s">
        <v>207</v>
      </c>
      <c r="CL32">
        <v>1</v>
      </c>
      <c r="CM32" t="s">
        <v>207</v>
      </c>
      <c r="CN32" t="s">
        <v>207</v>
      </c>
      <c r="CO32">
        <v>0.50099998712539695</v>
      </c>
      <c r="CP32">
        <v>0</v>
      </c>
      <c r="CQ32">
        <v>10</v>
      </c>
      <c r="CR32" s="105">
        <v>38719</v>
      </c>
      <c r="CS32">
        <v>65</v>
      </c>
      <c r="CT32" s="106">
        <v>42930</v>
      </c>
      <c r="CU32" t="s">
        <v>207</v>
      </c>
      <c r="CV32" t="s">
        <v>207</v>
      </c>
      <c r="CW32" t="s">
        <v>207</v>
      </c>
    </row>
    <row r="33" spans="1:101" x14ac:dyDescent="0.2">
      <c r="A33">
        <v>282</v>
      </c>
      <c r="B33" t="s">
        <v>98</v>
      </c>
      <c r="C33" t="s">
        <v>617</v>
      </c>
      <c r="D33">
        <v>13397</v>
      </c>
      <c r="E33" t="s">
        <v>576</v>
      </c>
      <c r="F33" t="s">
        <v>618</v>
      </c>
      <c r="G33" t="s">
        <v>619</v>
      </c>
      <c r="H33" t="s">
        <v>207</v>
      </c>
      <c r="I33" t="s">
        <v>207</v>
      </c>
      <c r="J33" t="s">
        <v>207</v>
      </c>
      <c r="K33">
        <v>751</v>
      </c>
      <c r="L33" t="s">
        <v>207</v>
      </c>
      <c r="M33">
        <v>7491</v>
      </c>
      <c r="N33" t="s">
        <v>207</v>
      </c>
      <c r="O33" t="s">
        <v>251</v>
      </c>
      <c r="P33" t="s">
        <v>391</v>
      </c>
      <c r="Q33" t="s">
        <v>207</v>
      </c>
      <c r="R33" t="s">
        <v>207</v>
      </c>
      <c r="S33">
        <v>0</v>
      </c>
      <c r="T33">
        <v>1</v>
      </c>
      <c r="U33">
        <v>1</v>
      </c>
      <c r="V33">
        <v>0</v>
      </c>
      <c r="W33" t="s">
        <v>114</v>
      </c>
      <c r="X33" t="s">
        <v>207</v>
      </c>
      <c r="Y33" t="s">
        <v>207</v>
      </c>
      <c r="Z33" t="s">
        <v>408</v>
      </c>
      <c r="AA33">
        <v>51243</v>
      </c>
      <c r="AB33" t="s">
        <v>207</v>
      </c>
      <c r="AC33" t="s">
        <v>207</v>
      </c>
      <c r="AD33" t="s">
        <v>207</v>
      </c>
      <c r="AE33" t="s">
        <v>207</v>
      </c>
      <c r="AF33" t="s">
        <v>207</v>
      </c>
      <c r="AG33" t="s">
        <v>207</v>
      </c>
      <c r="AH33">
        <v>17</v>
      </c>
      <c r="AI33">
        <v>56557</v>
      </c>
      <c r="AJ33" t="s">
        <v>207</v>
      </c>
      <c r="AK33" t="s">
        <v>207</v>
      </c>
      <c r="AL33">
        <v>65.61</v>
      </c>
      <c r="AM33">
        <v>55</v>
      </c>
      <c r="AN33" t="s">
        <v>392</v>
      </c>
      <c r="AO33" t="s">
        <v>207</v>
      </c>
      <c r="AP33" t="s">
        <v>207</v>
      </c>
      <c r="AQ33">
        <v>1441</v>
      </c>
      <c r="AR33">
        <v>8.5</v>
      </c>
      <c r="AS33" t="s">
        <v>470</v>
      </c>
      <c r="AT33" t="s">
        <v>207</v>
      </c>
      <c r="AU33" t="s">
        <v>207</v>
      </c>
      <c r="AV33">
        <v>35840</v>
      </c>
      <c r="AW33">
        <v>4100</v>
      </c>
      <c r="AX33" t="s">
        <v>207</v>
      </c>
      <c r="AY33">
        <v>1441</v>
      </c>
      <c r="AZ33" t="s">
        <v>207</v>
      </c>
      <c r="BA33" t="s">
        <v>207</v>
      </c>
      <c r="BB33" t="s">
        <v>207</v>
      </c>
      <c r="BC33" t="s">
        <v>207</v>
      </c>
      <c r="BD33">
        <v>4931</v>
      </c>
      <c r="BE33" t="s">
        <v>434</v>
      </c>
      <c r="BF33" t="s">
        <v>423</v>
      </c>
      <c r="BG33" t="s">
        <v>207</v>
      </c>
      <c r="BH33" t="s">
        <v>207</v>
      </c>
      <c r="BI33" t="s">
        <v>489</v>
      </c>
      <c r="BJ33" t="s">
        <v>207</v>
      </c>
      <c r="BK33" t="s">
        <v>395</v>
      </c>
      <c r="BL33" t="s">
        <v>411</v>
      </c>
      <c r="BM33">
        <v>0</v>
      </c>
      <c r="BN33">
        <v>0</v>
      </c>
      <c r="BO33">
        <v>0</v>
      </c>
      <c r="BP33">
        <v>0</v>
      </c>
      <c r="BQ33">
        <v>0</v>
      </c>
      <c r="BR33">
        <v>0</v>
      </c>
      <c r="BS33">
        <v>0</v>
      </c>
      <c r="BT33">
        <v>0</v>
      </c>
      <c r="BU33">
        <v>0</v>
      </c>
      <c r="BV33">
        <v>0</v>
      </c>
      <c r="BW33" t="s">
        <v>397</v>
      </c>
      <c r="BX33" t="s">
        <v>411</v>
      </c>
      <c r="BY33">
        <v>12108</v>
      </c>
      <c r="BZ33" t="s">
        <v>396</v>
      </c>
      <c r="CA33" t="s">
        <v>207</v>
      </c>
      <c r="CB33" t="s">
        <v>396</v>
      </c>
      <c r="CC33" t="s">
        <v>411</v>
      </c>
      <c r="CD33" t="s">
        <v>207</v>
      </c>
      <c r="CE33">
        <v>0</v>
      </c>
      <c r="CF33" t="s">
        <v>207</v>
      </c>
      <c r="CG33" t="s">
        <v>399</v>
      </c>
      <c r="CH33" t="s">
        <v>207</v>
      </c>
      <c r="CI33" t="s">
        <v>400</v>
      </c>
      <c r="CJ33" t="s">
        <v>207</v>
      </c>
      <c r="CK33" t="s">
        <v>207</v>
      </c>
      <c r="CL33">
        <v>1</v>
      </c>
      <c r="CM33" t="s">
        <v>620</v>
      </c>
      <c r="CN33" t="s">
        <v>207</v>
      </c>
      <c r="CO33">
        <v>1</v>
      </c>
      <c r="CP33">
        <v>0</v>
      </c>
      <c r="CQ33">
        <v>2</v>
      </c>
      <c r="CR33" s="105">
        <v>33163</v>
      </c>
      <c r="CS33">
        <v>1287</v>
      </c>
      <c r="CT33" s="106">
        <v>43194</v>
      </c>
      <c r="CU33">
        <v>97</v>
      </c>
      <c r="CV33" s="106">
        <v>37635</v>
      </c>
      <c r="CW33" t="s">
        <v>207</v>
      </c>
    </row>
    <row r="34" spans="1:101" x14ac:dyDescent="0.2">
      <c r="A34">
        <v>4602</v>
      </c>
      <c r="B34" t="s">
        <v>46</v>
      </c>
      <c r="C34" t="s">
        <v>621</v>
      </c>
      <c r="D34">
        <v>55930</v>
      </c>
      <c r="E34" t="s">
        <v>622</v>
      </c>
      <c r="F34" t="s">
        <v>623</v>
      </c>
      <c r="G34" t="s">
        <v>624</v>
      </c>
      <c r="H34" t="s">
        <v>207</v>
      </c>
      <c r="I34" t="s">
        <v>207</v>
      </c>
      <c r="J34" t="s">
        <v>207</v>
      </c>
      <c r="K34">
        <v>751</v>
      </c>
      <c r="L34" t="s">
        <v>207</v>
      </c>
      <c r="M34">
        <v>2084</v>
      </c>
      <c r="N34" t="s">
        <v>207</v>
      </c>
      <c r="O34" t="s">
        <v>250</v>
      </c>
      <c r="P34" t="s">
        <v>391</v>
      </c>
      <c r="Q34" t="s">
        <v>207</v>
      </c>
      <c r="R34" t="s">
        <v>207</v>
      </c>
      <c r="S34">
        <v>0</v>
      </c>
      <c r="T34">
        <v>1</v>
      </c>
      <c r="U34">
        <v>1</v>
      </c>
      <c r="V34">
        <v>0</v>
      </c>
      <c r="W34" t="s">
        <v>126</v>
      </c>
      <c r="X34" t="s">
        <v>207</v>
      </c>
      <c r="Y34" t="s">
        <v>207</v>
      </c>
      <c r="Z34" t="s">
        <v>420</v>
      </c>
      <c r="AA34">
        <v>51243</v>
      </c>
      <c r="AB34">
        <v>5</v>
      </c>
      <c r="AC34">
        <v>30</v>
      </c>
      <c r="AD34">
        <v>6898</v>
      </c>
      <c r="AE34" t="s">
        <v>207</v>
      </c>
      <c r="AF34" t="s">
        <v>207</v>
      </c>
      <c r="AG34" t="s">
        <v>207</v>
      </c>
      <c r="AH34">
        <v>13</v>
      </c>
      <c r="AI34">
        <v>55930</v>
      </c>
      <c r="AJ34" t="s">
        <v>207</v>
      </c>
      <c r="AK34" t="s">
        <v>207</v>
      </c>
      <c r="AL34">
        <v>79.95</v>
      </c>
      <c r="AM34">
        <v>180</v>
      </c>
      <c r="AN34" t="s">
        <v>392</v>
      </c>
      <c r="AO34" t="s">
        <v>207</v>
      </c>
      <c r="AP34" t="s">
        <v>207</v>
      </c>
      <c r="AQ34">
        <v>40637</v>
      </c>
      <c r="AR34">
        <v>12.199999809265099</v>
      </c>
      <c r="AS34" t="s">
        <v>470</v>
      </c>
      <c r="AT34" t="s">
        <v>207</v>
      </c>
      <c r="AU34" t="s">
        <v>207</v>
      </c>
      <c r="AV34">
        <v>35840</v>
      </c>
      <c r="AW34">
        <v>35000</v>
      </c>
      <c r="AX34" t="s">
        <v>207</v>
      </c>
      <c r="AY34">
        <v>56557</v>
      </c>
      <c r="AZ34" t="s">
        <v>625</v>
      </c>
      <c r="BA34" t="s">
        <v>207</v>
      </c>
      <c r="BB34" t="s">
        <v>207</v>
      </c>
      <c r="BC34" t="s">
        <v>207</v>
      </c>
      <c r="BD34">
        <v>4931</v>
      </c>
      <c r="BE34" t="s">
        <v>434</v>
      </c>
      <c r="BF34" t="s">
        <v>423</v>
      </c>
      <c r="BG34" t="s">
        <v>207</v>
      </c>
      <c r="BH34" t="s">
        <v>207</v>
      </c>
      <c r="BI34" t="s">
        <v>449</v>
      </c>
      <c r="BJ34" t="s">
        <v>207</v>
      </c>
      <c r="BK34" t="s">
        <v>395</v>
      </c>
      <c r="BL34" t="s">
        <v>411</v>
      </c>
      <c r="BM34">
        <v>0</v>
      </c>
      <c r="BN34">
        <v>1</v>
      </c>
      <c r="BO34">
        <v>0</v>
      </c>
      <c r="BP34">
        <v>0</v>
      </c>
      <c r="BQ34">
        <v>0</v>
      </c>
      <c r="BR34">
        <v>0</v>
      </c>
      <c r="BS34">
        <v>0</v>
      </c>
      <c r="BT34">
        <v>0</v>
      </c>
      <c r="BU34">
        <v>1</v>
      </c>
      <c r="BV34">
        <v>0</v>
      </c>
      <c r="BW34" t="s">
        <v>397</v>
      </c>
      <c r="BX34" t="s">
        <v>411</v>
      </c>
      <c r="BY34">
        <v>12108</v>
      </c>
      <c r="BZ34" t="s">
        <v>396</v>
      </c>
      <c r="CA34" t="s">
        <v>207</v>
      </c>
      <c r="CB34" t="s">
        <v>396</v>
      </c>
      <c r="CC34" t="s">
        <v>411</v>
      </c>
      <c r="CD34" t="s">
        <v>207</v>
      </c>
      <c r="CE34">
        <v>0</v>
      </c>
      <c r="CF34" t="s">
        <v>207</v>
      </c>
      <c r="CG34" t="s">
        <v>413</v>
      </c>
      <c r="CH34">
        <v>74657</v>
      </c>
      <c r="CI34" t="s">
        <v>400</v>
      </c>
      <c r="CJ34" t="s">
        <v>207</v>
      </c>
      <c r="CK34" t="s">
        <v>207</v>
      </c>
      <c r="CL34">
        <v>1</v>
      </c>
      <c r="CM34" t="s">
        <v>626</v>
      </c>
      <c r="CN34" t="s">
        <v>207</v>
      </c>
      <c r="CO34">
        <v>1</v>
      </c>
      <c r="CP34">
        <v>0</v>
      </c>
      <c r="CQ34">
        <v>2</v>
      </c>
      <c r="CR34" s="105">
        <v>33469</v>
      </c>
      <c r="CS34">
        <v>2</v>
      </c>
      <c r="CT34" s="106">
        <v>43194</v>
      </c>
      <c r="CU34">
        <v>97</v>
      </c>
      <c r="CV34" s="106">
        <v>37624</v>
      </c>
      <c r="CW34" t="s">
        <v>207</v>
      </c>
    </row>
    <row r="35" spans="1:101" x14ac:dyDescent="0.2">
      <c r="A35">
        <v>55401</v>
      </c>
      <c r="B35" t="s">
        <v>65</v>
      </c>
      <c r="C35" t="s">
        <v>627</v>
      </c>
      <c r="D35">
        <v>33508</v>
      </c>
      <c r="E35" t="s">
        <v>628</v>
      </c>
      <c r="F35" t="s">
        <v>629</v>
      </c>
      <c r="G35" t="s">
        <v>630</v>
      </c>
      <c r="H35" t="s">
        <v>207</v>
      </c>
      <c r="I35" t="s">
        <v>207</v>
      </c>
      <c r="J35" t="s">
        <v>207</v>
      </c>
      <c r="K35">
        <v>122</v>
      </c>
      <c r="L35" t="s">
        <v>539</v>
      </c>
      <c r="M35">
        <v>9573</v>
      </c>
      <c r="N35" t="s">
        <v>207</v>
      </c>
      <c r="O35" t="s">
        <v>205</v>
      </c>
      <c r="P35" t="s">
        <v>391</v>
      </c>
      <c r="Q35" t="s">
        <v>207</v>
      </c>
      <c r="R35" t="s">
        <v>207</v>
      </c>
      <c r="S35">
        <v>0</v>
      </c>
      <c r="T35">
        <v>1</v>
      </c>
      <c r="U35">
        <v>0</v>
      </c>
      <c r="V35">
        <v>0</v>
      </c>
      <c r="W35" t="s">
        <v>114</v>
      </c>
      <c r="X35" t="s">
        <v>207</v>
      </c>
      <c r="Y35" t="s">
        <v>207</v>
      </c>
      <c r="Z35" t="s">
        <v>207</v>
      </c>
      <c r="AA35" t="s">
        <v>207</v>
      </c>
      <c r="AB35" t="s">
        <v>207</v>
      </c>
      <c r="AC35" t="s">
        <v>207</v>
      </c>
      <c r="AD35" t="s">
        <v>207</v>
      </c>
      <c r="AE35" t="s">
        <v>207</v>
      </c>
      <c r="AF35" t="s">
        <v>207</v>
      </c>
      <c r="AG35" t="s">
        <v>207</v>
      </c>
      <c r="AH35" t="s">
        <v>207</v>
      </c>
      <c r="AI35" t="s">
        <v>207</v>
      </c>
      <c r="AJ35" t="s">
        <v>207</v>
      </c>
      <c r="AK35" t="s">
        <v>207</v>
      </c>
      <c r="AL35">
        <v>62.83</v>
      </c>
      <c r="AM35">
        <v>45</v>
      </c>
      <c r="AN35" t="s">
        <v>392</v>
      </c>
      <c r="AO35" t="s">
        <v>207</v>
      </c>
      <c r="AP35" t="s">
        <v>207</v>
      </c>
      <c r="AQ35" t="s">
        <v>207</v>
      </c>
      <c r="AR35">
        <v>15.5</v>
      </c>
      <c r="AS35" t="s">
        <v>432</v>
      </c>
      <c r="AT35" t="s">
        <v>207</v>
      </c>
      <c r="AU35" t="s">
        <v>207</v>
      </c>
      <c r="AV35">
        <v>35840</v>
      </c>
      <c r="AW35" t="s">
        <v>207</v>
      </c>
      <c r="AX35" t="s">
        <v>207</v>
      </c>
      <c r="AY35" t="s">
        <v>207</v>
      </c>
      <c r="AZ35" t="s">
        <v>207</v>
      </c>
      <c r="BA35" t="s">
        <v>207</v>
      </c>
      <c r="BB35" t="s">
        <v>207</v>
      </c>
      <c r="BC35" t="s">
        <v>207</v>
      </c>
      <c r="BD35" t="s">
        <v>207</v>
      </c>
      <c r="BE35" t="s">
        <v>207</v>
      </c>
      <c r="BF35" t="s">
        <v>423</v>
      </c>
      <c r="BG35" t="s">
        <v>207</v>
      </c>
      <c r="BH35" t="s">
        <v>207</v>
      </c>
      <c r="BI35" t="s">
        <v>207</v>
      </c>
      <c r="BJ35" t="s">
        <v>207</v>
      </c>
      <c r="BK35" t="s">
        <v>207</v>
      </c>
      <c r="BL35" t="s">
        <v>207</v>
      </c>
      <c r="BM35">
        <v>0</v>
      </c>
      <c r="BN35">
        <v>0</v>
      </c>
      <c r="BO35">
        <v>0</v>
      </c>
      <c r="BP35">
        <v>0</v>
      </c>
      <c r="BQ35">
        <v>0</v>
      </c>
      <c r="BR35">
        <v>0</v>
      </c>
      <c r="BS35">
        <v>0</v>
      </c>
      <c r="BT35">
        <v>0</v>
      </c>
      <c r="BU35">
        <v>0</v>
      </c>
      <c r="BV35">
        <v>0</v>
      </c>
      <c r="BW35" t="s">
        <v>396</v>
      </c>
      <c r="BX35" t="s">
        <v>207</v>
      </c>
      <c r="BY35" t="s">
        <v>207</v>
      </c>
      <c r="BZ35" t="s">
        <v>396</v>
      </c>
      <c r="CA35" t="s">
        <v>207</v>
      </c>
      <c r="CB35" t="s">
        <v>396</v>
      </c>
      <c r="CC35" t="s">
        <v>207</v>
      </c>
      <c r="CD35" t="s">
        <v>207</v>
      </c>
      <c r="CE35">
        <v>0</v>
      </c>
      <c r="CF35" t="s">
        <v>207</v>
      </c>
      <c r="CG35" t="s">
        <v>399</v>
      </c>
      <c r="CH35" t="s">
        <v>207</v>
      </c>
      <c r="CI35" t="s">
        <v>400</v>
      </c>
      <c r="CJ35" t="s">
        <v>207</v>
      </c>
      <c r="CK35" t="s">
        <v>207</v>
      </c>
      <c r="CL35">
        <v>1</v>
      </c>
      <c r="CM35" t="s">
        <v>631</v>
      </c>
      <c r="CN35" t="s">
        <v>207</v>
      </c>
      <c r="CO35">
        <v>0.75</v>
      </c>
      <c r="CP35">
        <v>0</v>
      </c>
      <c r="CQ35">
        <v>10</v>
      </c>
      <c r="CR35" s="105">
        <v>36599</v>
      </c>
      <c r="CS35">
        <v>97</v>
      </c>
      <c r="CT35" s="106">
        <v>41516</v>
      </c>
      <c r="CU35" t="s">
        <v>207</v>
      </c>
      <c r="CV35" t="s">
        <v>207</v>
      </c>
      <c r="CW35" t="s">
        <v>207</v>
      </c>
    </row>
    <row r="36" spans="1:101" x14ac:dyDescent="0.2">
      <c r="A36">
        <v>7762</v>
      </c>
      <c r="B36" t="s">
        <v>87</v>
      </c>
      <c r="C36" t="s">
        <v>632</v>
      </c>
      <c r="D36">
        <v>5258</v>
      </c>
      <c r="E36" t="s">
        <v>600</v>
      </c>
      <c r="F36" t="s">
        <v>633</v>
      </c>
      <c r="G36" t="s">
        <v>634</v>
      </c>
      <c r="H36" t="s">
        <v>207</v>
      </c>
      <c r="I36" t="s">
        <v>207</v>
      </c>
      <c r="J36" t="s">
        <v>207</v>
      </c>
      <c r="K36">
        <v>751</v>
      </c>
      <c r="L36" t="s">
        <v>207</v>
      </c>
      <c r="M36">
        <v>8340</v>
      </c>
      <c r="N36" t="s">
        <v>207</v>
      </c>
      <c r="O36" t="s">
        <v>250</v>
      </c>
      <c r="P36" t="s">
        <v>391</v>
      </c>
      <c r="Q36" t="s">
        <v>207</v>
      </c>
      <c r="R36" t="s">
        <v>207</v>
      </c>
      <c r="S36">
        <v>0</v>
      </c>
      <c r="T36">
        <v>1</v>
      </c>
      <c r="U36">
        <v>0</v>
      </c>
      <c r="V36">
        <v>0</v>
      </c>
      <c r="W36" t="s">
        <v>114</v>
      </c>
      <c r="X36" t="s">
        <v>207</v>
      </c>
      <c r="Y36" t="s">
        <v>207</v>
      </c>
      <c r="Z36" t="s">
        <v>207</v>
      </c>
      <c r="AA36" t="s">
        <v>207</v>
      </c>
      <c r="AB36" t="s">
        <v>207</v>
      </c>
      <c r="AC36" t="s">
        <v>207</v>
      </c>
      <c r="AD36" t="s">
        <v>207</v>
      </c>
      <c r="AE36" t="s">
        <v>207</v>
      </c>
      <c r="AF36" t="s">
        <v>207</v>
      </c>
      <c r="AG36" t="s">
        <v>207</v>
      </c>
      <c r="AH36" t="s">
        <v>207</v>
      </c>
      <c r="AI36" t="s">
        <v>207</v>
      </c>
      <c r="AJ36" t="s">
        <v>207</v>
      </c>
      <c r="AK36" t="s">
        <v>207</v>
      </c>
      <c r="AL36">
        <v>29.65</v>
      </c>
      <c r="AM36">
        <v>20</v>
      </c>
      <c r="AN36" t="s">
        <v>392</v>
      </c>
      <c r="AO36" t="s">
        <v>207</v>
      </c>
      <c r="AP36" t="s">
        <v>207</v>
      </c>
      <c r="AQ36">
        <v>5258</v>
      </c>
      <c r="AR36">
        <v>13</v>
      </c>
      <c r="AS36" t="s">
        <v>470</v>
      </c>
      <c r="AT36" t="s">
        <v>207</v>
      </c>
      <c r="AU36" t="s">
        <v>207</v>
      </c>
      <c r="AV36">
        <v>35840</v>
      </c>
      <c r="AW36" t="s">
        <v>207</v>
      </c>
      <c r="AX36" t="s">
        <v>207</v>
      </c>
      <c r="AY36" t="s">
        <v>207</v>
      </c>
      <c r="AZ36" t="s">
        <v>635</v>
      </c>
      <c r="BA36" t="s">
        <v>636</v>
      </c>
      <c r="BB36" t="s">
        <v>207</v>
      </c>
      <c r="BC36" t="s">
        <v>207</v>
      </c>
      <c r="BD36">
        <v>5258</v>
      </c>
      <c r="BE36" t="s">
        <v>422</v>
      </c>
      <c r="BF36" t="s">
        <v>423</v>
      </c>
      <c r="BG36" t="s">
        <v>207</v>
      </c>
      <c r="BH36" t="s">
        <v>207</v>
      </c>
      <c r="BI36" t="s">
        <v>207</v>
      </c>
      <c r="BJ36" t="s">
        <v>207</v>
      </c>
      <c r="BK36" t="s">
        <v>207</v>
      </c>
      <c r="BL36" t="s">
        <v>207</v>
      </c>
      <c r="BM36">
        <v>0</v>
      </c>
      <c r="BN36">
        <v>0</v>
      </c>
      <c r="BO36">
        <v>0</v>
      </c>
      <c r="BP36">
        <v>0</v>
      </c>
      <c r="BQ36">
        <v>0</v>
      </c>
      <c r="BR36">
        <v>0</v>
      </c>
      <c r="BS36">
        <v>0</v>
      </c>
      <c r="BT36">
        <v>0</v>
      </c>
      <c r="BU36">
        <v>0</v>
      </c>
      <c r="BV36">
        <v>0</v>
      </c>
      <c r="BW36" t="s">
        <v>207</v>
      </c>
      <c r="BX36" t="s">
        <v>207</v>
      </c>
      <c r="BY36" t="s">
        <v>207</v>
      </c>
      <c r="BZ36" t="s">
        <v>207</v>
      </c>
      <c r="CA36" t="s">
        <v>207</v>
      </c>
      <c r="CB36" t="s">
        <v>396</v>
      </c>
      <c r="CC36" t="s">
        <v>207</v>
      </c>
      <c r="CD36" t="s">
        <v>207</v>
      </c>
      <c r="CE36">
        <v>0</v>
      </c>
      <c r="CF36" t="s">
        <v>207</v>
      </c>
      <c r="CG36" t="s">
        <v>399</v>
      </c>
      <c r="CH36" t="s">
        <v>207</v>
      </c>
      <c r="CI36" t="s">
        <v>400</v>
      </c>
      <c r="CJ36" t="s">
        <v>207</v>
      </c>
      <c r="CK36" t="s">
        <v>207</v>
      </c>
      <c r="CL36">
        <v>1</v>
      </c>
      <c r="CM36" t="s">
        <v>637</v>
      </c>
      <c r="CN36" t="s">
        <v>207</v>
      </c>
      <c r="CO36">
        <v>0.5625</v>
      </c>
      <c r="CP36">
        <v>0</v>
      </c>
      <c r="CQ36">
        <v>10</v>
      </c>
      <c r="CR36" s="105">
        <v>34065</v>
      </c>
      <c r="CS36">
        <v>65</v>
      </c>
      <c r="CT36" s="106">
        <v>41470</v>
      </c>
      <c r="CU36" t="s">
        <v>207</v>
      </c>
      <c r="CV36" t="s">
        <v>207</v>
      </c>
      <c r="CW36" t="s">
        <v>207</v>
      </c>
    </row>
    <row r="37" spans="1:101" x14ac:dyDescent="0.2">
      <c r="A37">
        <v>27264</v>
      </c>
      <c r="B37" t="s">
        <v>96</v>
      </c>
      <c r="C37" t="s">
        <v>638</v>
      </c>
      <c r="D37">
        <v>43281</v>
      </c>
      <c r="E37" t="s">
        <v>639</v>
      </c>
      <c r="F37" t="s">
        <v>207</v>
      </c>
      <c r="G37" t="s">
        <v>640</v>
      </c>
      <c r="H37" t="s">
        <v>207</v>
      </c>
      <c r="I37" t="s">
        <v>207</v>
      </c>
      <c r="J37" t="s">
        <v>207</v>
      </c>
      <c r="K37">
        <v>751</v>
      </c>
      <c r="L37" t="s">
        <v>207</v>
      </c>
      <c r="M37">
        <v>3492</v>
      </c>
      <c r="N37" t="s">
        <v>207</v>
      </c>
      <c r="O37" t="s">
        <v>250</v>
      </c>
      <c r="P37" t="s">
        <v>391</v>
      </c>
      <c r="Q37" t="s">
        <v>207</v>
      </c>
      <c r="R37" t="s">
        <v>207</v>
      </c>
      <c r="S37">
        <v>0</v>
      </c>
      <c r="T37">
        <v>1</v>
      </c>
      <c r="U37">
        <v>0</v>
      </c>
      <c r="V37">
        <v>0</v>
      </c>
      <c r="W37" t="s">
        <v>114</v>
      </c>
      <c r="X37" t="s">
        <v>207</v>
      </c>
      <c r="Y37" t="s">
        <v>207</v>
      </c>
      <c r="Z37" t="s">
        <v>207</v>
      </c>
      <c r="AA37" t="s">
        <v>207</v>
      </c>
      <c r="AB37" t="s">
        <v>207</v>
      </c>
      <c r="AC37" t="s">
        <v>207</v>
      </c>
      <c r="AD37" t="s">
        <v>207</v>
      </c>
      <c r="AE37" t="s">
        <v>207</v>
      </c>
      <c r="AF37" t="s">
        <v>207</v>
      </c>
      <c r="AG37" t="s">
        <v>207</v>
      </c>
      <c r="AH37" t="s">
        <v>207</v>
      </c>
      <c r="AI37" t="s">
        <v>207</v>
      </c>
      <c r="AJ37" t="s">
        <v>207</v>
      </c>
      <c r="AK37" t="s">
        <v>207</v>
      </c>
      <c r="AL37">
        <v>29.7</v>
      </c>
      <c r="AM37">
        <v>20.5</v>
      </c>
      <c r="AN37" t="s">
        <v>392</v>
      </c>
      <c r="AO37" t="s">
        <v>207</v>
      </c>
      <c r="AP37" t="s">
        <v>207</v>
      </c>
      <c r="AQ37">
        <v>111646</v>
      </c>
      <c r="AR37" t="s">
        <v>207</v>
      </c>
      <c r="AS37" t="s">
        <v>207</v>
      </c>
      <c r="AT37" t="s">
        <v>207</v>
      </c>
      <c r="AU37" t="s">
        <v>207</v>
      </c>
      <c r="AV37" t="s">
        <v>207</v>
      </c>
      <c r="AW37">
        <v>58.400001525878899</v>
      </c>
      <c r="AX37" t="s">
        <v>207</v>
      </c>
      <c r="AY37">
        <v>111347</v>
      </c>
      <c r="AZ37" t="s">
        <v>207</v>
      </c>
      <c r="BA37" t="s">
        <v>207</v>
      </c>
      <c r="BB37" t="s">
        <v>207</v>
      </c>
      <c r="BC37" t="s">
        <v>207</v>
      </c>
      <c r="BD37" t="s">
        <v>207</v>
      </c>
      <c r="BE37" t="s">
        <v>207</v>
      </c>
      <c r="BF37" t="s">
        <v>423</v>
      </c>
      <c r="BG37" t="s">
        <v>207</v>
      </c>
      <c r="BH37" t="s">
        <v>207</v>
      </c>
      <c r="BI37" t="s">
        <v>207</v>
      </c>
      <c r="BJ37" t="s">
        <v>207</v>
      </c>
      <c r="BK37" t="s">
        <v>207</v>
      </c>
      <c r="BL37" t="s">
        <v>207</v>
      </c>
      <c r="BM37">
        <v>0</v>
      </c>
      <c r="BN37">
        <v>0</v>
      </c>
      <c r="BO37">
        <v>0</v>
      </c>
      <c r="BP37">
        <v>0</v>
      </c>
      <c r="BQ37">
        <v>0</v>
      </c>
      <c r="BR37">
        <v>0</v>
      </c>
      <c r="BS37">
        <v>0</v>
      </c>
      <c r="BT37">
        <v>0</v>
      </c>
      <c r="BU37">
        <v>0</v>
      </c>
      <c r="BV37">
        <v>0</v>
      </c>
      <c r="BW37" t="s">
        <v>396</v>
      </c>
      <c r="BX37" t="s">
        <v>207</v>
      </c>
      <c r="BY37" t="s">
        <v>207</v>
      </c>
      <c r="BZ37" t="s">
        <v>396</v>
      </c>
      <c r="CA37" t="s">
        <v>207</v>
      </c>
      <c r="CB37" t="s">
        <v>396</v>
      </c>
      <c r="CC37" t="s">
        <v>207</v>
      </c>
      <c r="CD37" t="s">
        <v>207</v>
      </c>
      <c r="CE37">
        <v>0</v>
      </c>
      <c r="CF37" t="s">
        <v>207</v>
      </c>
      <c r="CG37" t="s">
        <v>399</v>
      </c>
      <c r="CH37" t="s">
        <v>207</v>
      </c>
      <c r="CI37" t="s">
        <v>400</v>
      </c>
      <c r="CJ37" t="s">
        <v>207</v>
      </c>
      <c r="CK37" t="s">
        <v>207</v>
      </c>
      <c r="CL37">
        <v>1</v>
      </c>
      <c r="CM37" t="s">
        <v>207</v>
      </c>
      <c r="CN37" t="s">
        <v>207</v>
      </c>
      <c r="CO37">
        <v>0.50019997358322099</v>
      </c>
      <c r="CP37">
        <v>0</v>
      </c>
      <c r="CQ37">
        <v>10</v>
      </c>
      <c r="CR37" s="105">
        <v>35624</v>
      </c>
      <c r="CS37">
        <v>65</v>
      </c>
      <c r="CT37" s="106">
        <v>42697</v>
      </c>
      <c r="CU37">
        <v>10</v>
      </c>
      <c r="CV37" s="106">
        <v>37521</v>
      </c>
      <c r="CW37" t="s">
        <v>207</v>
      </c>
    </row>
    <row r="38" spans="1:101" x14ac:dyDescent="0.2">
      <c r="A38">
        <v>1351</v>
      </c>
      <c r="B38" t="s">
        <v>56</v>
      </c>
      <c r="C38" t="s">
        <v>641</v>
      </c>
      <c r="D38">
        <v>559</v>
      </c>
      <c r="E38" t="s">
        <v>600</v>
      </c>
      <c r="F38" t="s">
        <v>642</v>
      </c>
      <c r="G38" t="s">
        <v>643</v>
      </c>
      <c r="H38" t="s">
        <v>207</v>
      </c>
      <c r="I38" t="s">
        <v>207</v>
      </c>
      <c r="J38" t="s">
        <v>207</v>
      </c>
      <c r="K38">
        <v>514</v>
      </c>
      <c r="L38" t="s">
        <v>207</v>
      </c>
      <c r="M38">
        <v>665</v>
      </c>
      <c r="N38" t="s">
        <v>207</v>
      </c>
      <c r="O38" t="s">
        <v>250</v>
      </c>
      <c r="P38" t="s">
        <v>391</v>
      </c>
      <c r="Q38" t="s">
        <v>207</v>
      </c>
      <c r="R38" t="s">
        <v>207</v>
      </c>
      <c r="S38">
        <v>0</v>
      </c>
      <c r="T38">
        <v>0</v>
      </c>
      <c r="U38">
        <v>0</v>
      </c>
      <c r="V38">
        <v>1</v>
      </c>
      <c r="W38" t="s">
        <v>126</v>
      </c>
      <c r="X38" t="s">
        <v>207</v>
      </c>
      <c r="Y38" t="s">
        <v>207</v>
      </c>
      <c r="Z38" t="s">
        <v>445</v>
      </c>
      <c r="AA38">
        <v>51243</v>
      </c>
      <c r="AB38">
        <v>10</v>
      </c>
      <c r="AC38">
        <v>200</v>
      </c>
      <c r="AD38">
        <v>11230</v>
      </c>
      <c r="AE38" t="s">
        <v>207</v>
      </c>
      <c r="AF38" t="s">
        <v>207</v>
      </c>
      <c r="AG38" t="s">
        <v>207</v>
      </c>
      <c r="AH38" t="s">
        <v>207</v>
      </c>
      <c r="AI38" t="s">
        <v>207</v>
      </c>
      <c r="AJ38" t="s">
        <v>207</v>
      </c>
      <c r="AK38" t="s">
        <v>207</v>
      </c>
      <c r="AL38">
        <v>59.98</v>
      </c>
      <c r="AM38">
        <v>103</v>
      </c>
      <c r="AN38" t="s">
        <v>392</v>
      </c>
      <c r="AO38" t="s">
        <v>207</v>
      </c>
      <c r="AP38" t="s">
        <v>207</v>
      </c>
      <c r="AQ38">
        <v>40637</v>
      </c>
      <c r="AR38" t="s">
        <v>207</v>
      </c>
      <c r="AS38" t="s">
        <v>207</v>
      </c>
      <c r="AT38" t="s">
        <v>207</v>
      </c>
      <c r="AU38" t="s">
        <v>207</v>
      </c>
      <c r="AV38" t="s">
        <v>207</v>
      </c>
      <c r="AW38">
        <v>9100</v>
      </c>
      <c r="AX38" t="s">
        <v>207</v>
      </c>
      <c r="AY38">
        <v>40637</v>
      </c>
      <c r="AZ38" t="s">
        <v>207</v>
      </c>
      <c r="BA38" t="s">
        <v>207</v>
      </c>
      <c r="BB38" t="s">
        <v>207</v>
      </c>
      <c r="BC38" t="s">
        <v>207</v>
      </c>
      <c r="BD38">
        <v>4931</v>
      </c>
      <c r="BE38" t="s">
        <v>434</v>
      </c>
      <c r="BF38" t="s">
        <v>393</v>
      </c>
      <c r="BG38" t="s">
        <v>394</v>
      </c>
      <c r="BH38" t="s">
        <v>410</v>
      </c>
      <c r="BI38" t="s">
        <v>435</v>
      </c>
      <c r="BJ38" t="s">
        <v>207</v>
      </c>
      <c r="BK38" t="s">
        <v>207</v>
      </c>
      <c r="BL38" t="s">
        <v>207</v>
      </c>
      <c r="BM38">
        <v>0</v>
      </c>
      <c r="BN38">
        <v>0</v>
      </c>
      <c r="BO38">
        <v>0</v>
      </c>
      <c r="BP38">
        <v>0</v>
      </c>
      <c r="BQ38">
        <v>0</v>
      </c>
      <c r="BR38">
        <v>1</v>
      </c>
      <c r="BS38">
        <v>0</v>
      </c>
      <c r="BT38">
        <v>0</v>
      </c>
      <c r="BU38">
        <v>0</v>
      </c>
      <c r="BV38">
        <v>0</v>
      </c>
      <c r="BW38" t="s">
        <v>397</v>
      </c>
      <c r="BX38" t="s">
        <v>207</v>
      </c>
      <c r="BY38">
        <v>12108</v>
      </c>
      <c r="BZ38" t="s">
        <v>396</v>
      </c>
      <c r="CA38" t="s">
        <v>207</v>
      </c>
      <c r="CB38" t="s">
        <v>396</v>
      </c>
      <c r="CC38" t="s">
        <v>207</v>
      </c>
      <c r="CD38" t="s">
        <v>207</v>
      </c>
      <c r="CE38">
        <v>0</v>
      </c>
      <c r="CF38" t="s">
        <v>207</v>
      </c>
      <c r="CG38" t="s">
        <v>399</v>
      </c>
      <c r="CH38" t="s">
        <v>207</v>
      </c>
      <c r="CI38" t="s">
        <v>400</v>
      </c>
      <c r="CJ38" t="s">
        <v>207</v>
      </c>
      <c r="CK38" t="s">
        <v>207</v>
      </c>
      <c r="CL38">
        <v>1</v>
      </c>
      <c r="CM38" t="s">
        <v>644</v>
      </c>
      <c r="CN38" t="s">
        <v>207</v>
      </c>
      <c r="CO38">
        <v>0.5</v>
      </c>
      <c r="CP38">
        <v>0</v>
      </c>
      <c r="CQ38">
        <v>1</v>
      </c>
      <c r="CR38" s="105">
        <v>33163</v>
      </c>
      <c r="CS38">
        <v>1</v>
      </c>
      <c r="CT38" s="106">
        <v>37880</v>
      </c>
      <c r="CU38">
        <v>132</v>
      </c>
      <c r="CV38" s="106">
        <v>34998</v>
      </c>
      <c r="CW38" t="s">
        <v>207</v>
      </c>
    </row>
    <row r="39" spans="1:101" x14ac:dyDescent="0.2">
      <c r="A39">
        <v>56098</v>
      </c>
      <c r="B39" t="s">
        <v>77</v>
      </c>
      <c r="C39" t="s">
        <v>645</v>
      </c>
      <c r="D39">
        <v>33784</v>
      </c>
      <c r="E39" t="s">
        <v>646</v>
      </c>
      <c r="F39" t="s">
        <v>207</v>
      </c>
      <c r="G39" t="s">
        <v>207</v>
      </c>
      <c r="H39" t="s">
        <v>207</v>
      </c>
      <c r="I39" t="s">
        <v>207</v>
      </c>
      <c r="J39" t="s">
        <v>207</v>
      </c>
      <c r="K39">
        <v>751</v>
      </c>
      <c r="L39" t="s">
        <v>207</v>
      </c>
      <c r="M39">
        <v>6510</v>
      </c>
      <c r="N39" t="s">
        <v>207</v>
      </c>
      <c r="O39" t="s">
        <v>207</v>
      </c>
      <c r="P39" t="s">
        <v>391</v>
      </c>
      <c r="Q39" t="s">
        <v>207</v>
      </c>
      <c r="R39" t="s">
        <v>207</v>
      </c>
      <c r="S39">
        <v>0</v>
      </c>
      <c r="T39">
        <v>1</v>
      </c>
      <c r="U39">
        <v>0</v>
      </c>
      <c r="V39">
        <v>0</v>
      </c>
      <c r="W39" t="s">
        <v>114</v>
      </c>
      <c r="X39" t="s">
        <v>207</v>
      </c>
      <c r="Y39" t="s">
        <v>207</v>
      </c>
      <c r="Z39" t="s">
        <v>207</v>
      </c>
      <c r="AA39" t="s">
        <v>207</v>
      </c>
      <c r="AB39" t="s">
        <v>207</v>
      </c>
      <c r="AC39" t="s">
        <v>207</v>
      </c>
      <c r="AD39" t="s">
        <v>207</v>
      </c>
      <c r="AE39" t="s">
        <v>207</v>
      </c>
      <c r="AF39" t="s">
        <v>207</v>
      </c>
      <c r="AG39" t="s">
        <v>207</v>
      </c>
      <c r="AH39" t="s">
        <v>207</v>
      </c>
      <c r="AI39" t="s">
        <v>207</v>
      </c>
      <c r="AJ39" t="s">
        <v>207</v>
      </c>
      <c r="AK39" t="s">
        <v>207</v>
      </c>
      <c r="AL39">
        <v>30.38</v>
      </c>
      <c r="AM39">
        <v>14.800000190734901</v>
      </c>
      <c r="AN39" t="s">
        <v>470</v>
      </c>
      <c r="AO39" t="s">
        <v>207</v>
      </c>
      <c r="AP39" t="s">
        <v>207</v>
      </c>
      <c r="AQ39">
        <v>33784</v>
      </c>
      <c r="AR39" t="s">
        <v>207</v>
      </c>
      <c r="AS39" t="s">
        <v>207</v>
      </c>
      <c r="AT39" t="s">
        <v>207</v>
      </c>
      <c r="AU39" t="s">
        <v>207</v>
      </c>
      <c r="AV39" t="s">
        <v>207</v>
      </c>
      <c r="AW39" t="s">
        <v>207</v>
      </c>
      <c r="AX39" t="s">
        <v>207</v>
      </c>
      <c r="AY39" t="s">
        <v>207</v>
      </c>
      <c r="AZ39" t="s">
        <v>207</v>
      </c>
      <c r="BA39" t="s">
        <v>207</v>
      </c>
      <c r="BB39" t="s">
        <v>207</v>
      </c>
      <c r="BC39" t="s">
        <v>207</v>
      </c>
      <c r="BD39" t="s">
        <v>207</v>
      </c>
      <c r="BE39" t="s">
        <v>207</v>
      </c>
      <c r="BF39" t="s">
        <v>423</v>
      </c>
      <c r="BG39" t="s">
        <v>207</v>
      </c>
      <c r="BH39" t="s">
        <v>207</v>
      </c>
      <c r="BI39" t="s">
        <v>207</v>
      </c>
      <c r="BJ39" t="s">
        <v>207</v>
      </c>
      <c r="BK39" t="s">
        <v>207</v>
      </c>
      <c r="BL39" t="s">
        <v>207</v>
      </c>
      <c r="BM39">
        <v>0</v>
      </c>
      <c r="BN39">
        <v>0</v>
      </c>
      <c r="BO39">
        <v>0</v>
      </c>
      <c r="BP39">
        <v>0</v>
      </c>
      <c r="BQ39">
        <v>0</v>
      </c>
      <c r="BR39">
        <v>0</v>
      </c>
      <c r="BS39">
        <v>0</v>
      </c>
      <c r="BT39">
        <v>0</v>
      </c>
      <c r="BU39">
        <v>0</v>
      </c>
      <c r="BV39">
        <v>0</v>
      </c>
      <c r="BW39" t="s">
        <v>396</v>
      </c>
      <c r="BX39" t="s">
        <v>207</v>
      </c>
      <c r="BY39" t="s">
        <v>207</v>
      </c>
      <c r="BZ39" t="s">
        <v>396</v>
      </c>
      <c r="CA39" t="s">
        <v>207</v>
      </c>
      <c r="CB39" t="s">
        <v>396</v>
      </c>
      <c r="CC39" t="s">
        <v>207</v>
      </c>
      <c r="CD39" t="s">
        <v>207</v>
      </c>
      <c r="CE39">
        <v>0</v>
      </c>
      <c r="CF39" t="s">
        <v>207</v>
      </c>
      <c r="CG39" t="s">
        <v>399</v>
      </c>
      <c r="CH39" t="s">
        <v>207</v>
      </c>
      <c r="CI39" t="s">
        <v>400</v>
      </c>
      <c r="CJ39" t="s">
        <v>207</v>
      </c>
      <c r="CK39" t="s">
        <v>207</v>
      </c>
      <c r="CL39">
        <v>1</v>
      </c>
      <c r="CM39" t="s">
        <v>207</v>
      </c>
      <c r="CN39" t="s">
        <v>207</v>
      </c>
      <c r="CO39">
        <v>0.515600025653839</v>
      </c>
      <c r="CP39">
        <v>0</v>
      </c>
      <c r="CQ39">
        <v>97</v>
      </c>
      <c r="CR39" s="105">
        <v>36636</v>
      </c>
      <c r="CS39" t="s">
        <v>207</v>
      </c>
      <c r="CT39" s="106">
        <v>36636</v>
      </c>
      <c r="CU39" t="s">
        <v>207</v>
      </c>
      <c r="CV39" t="s">
        <v>207</v>
      </c>
      <c r="CW39" t="s">
        <v>207</v>
      </c>
    </row>
    <row r="40" spans="1:101" x14ac:dyDescent="0.2">
      <c r="A40">
        <v>55424</v>
      </c>
      <c r="B40" t="s">
        <v>24</v>
      </c>
      <c r="C40" t="s">
        <v>647</v>
      </c>
      <c r="D40">
        <v>75176</v>
      </c>
      <c r="E40" t="s">
        <v>648</v>
      </c>
      <c r="F40" t="s">
        <v>207</v>
      </c>
      <c r="G40" t="s">
        <v>649</v>
      </c>
      <c r="H40" t="s">
        <v>207</v>
      </c>
      <c r="I40" t="s">
        <v>207</v>
      </c>
      <c r="J40" t="s">
        <v>207</v>
      </c>
      <c r="K40">
        <v>122</v>
      </c>
      <c r="L40" t="s">
        <v>650</v>
      </c>
      <c r="M40">
        <v>2968</v>
      </c>
      <c r="N40" t="s">
        <v>207</v>
      </c>
      <c r="O40" t="s">
        <v>205</v>
      </c>
      <c r="P40" t="s">
        <v>391</v>
      </c>
      <c r="Q40" t="s">
        <v>207</v>
      </c>
      <c r="R40" t="s">
        <v>207</v>
      </c>
      <c r="S40">
        <v>0</v>
      </c>
      <c r="T40">
        <v>1</v>
      </c>
      <c r="U40">
        <v>0</v>
      </c>
      <c r="V40">
        <v>0</v>
      </c>
      <c r="W40" t="s">
        <v>114</v>
      </c>
      <c r="X40" t="s">
        <v>207</v>
      </c>
      <c r="Y40" t="s">
        <v>207</v>
      </c>
      <c r="Z40" t="s">
        <v>207</v>
      </c>
      <c r="AA40" t="s">
        <v>207</v>
      </c>
      <c r="AB40" t="s">
        <v>207</v>
      </c>
      <c r="AC40" t="s">
        <v>207</v>
      </c>
      <c r="AD40" t="s">
        <v>207</v>
      </c>
      <c r="AE40" t="s">
        <v>207</v>
      </c>
      <c r="AF40" t="s">
        <v>207</v>
      </c>
      <c r="AG40" t="s">
        <v>207</v>
      </c>
      <c r="AH40" t="s">
        <v>207</v>
      </c>
      <c r="AI40" t="s">
        <v>207</v>
      </c>
      <c r="AJ40" t="s">
        <v>207</v>
      </c>
      <c r="AK40" t="s">
        <v>207</v>
      </c>
      <c r="AL40">
        <v>30.38</v>
      </c>
      <c r="AM40">
        <v>14.800000190734901</v>
      </c>
      <c r="AN40" t="s">
        <v>470</v>
      </c>
      <c r="AO40" t="s">
        <v>207</v>
      </c>
      <c r="AP40" t="s">
        <v>207</v>
      </c>
      <c r="AQ40">
        <v>108468</v>
      </c>
      <c r="AR40">
        <v>5.3000001907348597</v>
      </c>
      <c r="AS40" t="s">
        <v>470</v>
      </c>
      <c r="AT40" t="s">
        <v>207</v>
      </c>
      <c r="AU40" t="s">
        <v>207</v>
      </c>
      <c r="AV40">
        <v>35840</v>
      </c>
      <c r="AW40">
        <v>36.099998474121101</v>
      </c>
      <c r="AX40" t="s">
        <v>207</v>
      </c>
      <c r="AY40">
        <v>115192</v>
      </c>
      <c r="AZ40" t="s">
        <v>207</v>
      </c>
      <c r="BA40" t="s">
        <v>207</v>
      </c>
      <c r="BB40" t="s">
        <v>207</v>
      </c>
      <c r="BC40" t="s">
        <v>207</v>
      </c>
      <c r="BD40" t="s">
        <v>207</v>
      </c>
      <c r="BE40" t="s">
        <v>207</v>
      </c>
      <c r="BF40" t="s">
        <v>423</v>
      </c>
      <c r="BG40" t="s">
        <v>207</v>
      </c>
      <c r="BH40" t="s">
        <v>207</v>
      </c>
      <c r="BI40" t="s">
        <v>207</v>
      </c>
      <c r="BJ40" t="s">
        <v>207</v>
      </c>
      <c r="BK40" t="s">
        <v>207</v>
      </c>
      <c r="BL40" t="s">
        <v>207</v>
      </c>
      <c r="BM40">
        <v>0</v>
      </c>
      <c r="BN40">
        <v>0</v>
      </c>
      <c r="BO40">
        <v>0</v>
      </c>
      <c r="BP40">
        <v>0</v>
      </c>
      <c r="BQ40">
        <v>0</v>
      </c>
      <c r="BR40">
        <v>0</v>
      </c>
      <c r="BS40">
        <v>0</v>
      </c>
      <c r="BT40">
        <v>0</v>
      </c>
      <c r="BU40">
        <v>0</v>
      </c>
      <c r="BV40">
        <v>0</v>
      </c>
      <c r="BW40" t="s">
        <v>396</v>
      </c>
      <c r="BX40" t="s">
        <v>207</v>
      </c>
      <c r="BY40" t="s">
        <v>207</v>
      </c>
      <c r="BZ40" t="s">
        <v>396</v>
      </c>
      <c r="CA40" t="s">
        <v>207</v>
      </c>
      <c r="CB40" t="s">
        <v>396</v>
      </c>
      <c r="CC40" t="s">
        <v>207</v>
      </c>
      <c r="CD40" t="s">
        <v>207</v>
      </c>
      <c r="CE40">
        <v>0</v>
      </c>
      <c r="CF40" t="s">
        <v>207</v>
      </c>
      <c r="CG40" t="s">
        <v>399</v>
      </c>
      <c r="CH40" t="s">
        <v>207</v>
      </c>
      <c r="CI40" t="s">
        <v>400</v>
      </c>
      <c r="CJ40" t="s">
        <v>207</v>
      </c>
      <c r="CK40" t="s">
        <v>207</v>
      </c>
      <c r="CL40">
        <v>1</v>
      </c>
      <c r="CM40" t="s">
        <v>651</v>
      </c>
      <c r="CN40" t="s">
        <v>207</v>
      </c>
      <c r="CO40">
        <v>0.5</v>
      </c>
      <c r="CP40">
        <v>0</v>
      </c>
      <c r="CQ40">
        <v>10</v>
      </c>
      <c r="CR40" s="105">
        <v>36601</v>
      </c>
      <c r="CS40">
        <v>65</v>
      </c>
      <c r="CT40" s="106">
        <v>43215</v>
      </c>
      <c r="CU40" t="s">
        <v>207</v>
      </c>
      <c r="CV40" t="s">
        <v>207</v>
      </c>
      <c r="CW40" t="s">
        <v>207</v>
      </c>
    </row>
    <row r="41" spans="1:101" x14ac:dyDescent="0.2">
      <c r="A41">
        <v>56074</v>
      </c>
      <c r="B41" t="s">
        <v>59</v>
      </c>
      <c r="C41" t="s">
        <v>652</v>
      </c>
      <c r="D41">
        <v>33800</v>
      </c>
      <c r="E41" t="s">
        <v>628</v>
      </c>
      <c r="F41" t="s">
        <v>207</v>
      </c>
      <c r="G41" t="s">
        <v>653</v>
      </c>
      <c r="H41" t="s">
        <v>207</v>
      </c>
      <c r="I41" t="s">
        <v>207</v>
      </c>
      <c r="J41" t="s">
        <v>207</v>
      </c>
      <c r="K41">
        <v>122</v>
      </c>
      <c r="L41" t="s">
        <v>593</v>
      </c>
      <c r="M41">
        <v>264</v>
      </c>
      <c r="N41" t="s">
        <v>207</v>
      </c>
      <c r="O41" t="s">
        <v>205</v>
      </c>
      <c r="P41" t="s">
        <v>391</v>
      </c>
      <c r="Q41" t="s">
        <v>207</v>
      </c>
      <c r="R41" t="s">
        <v>207</v>
      </c>
      <c r="S41">
        <v>0</v>
      </c>
      <c r="T41">
        <v>1</v>
      </c>
      <c r="U41">
        <v>0</v>
      </c>
      <c r="V41">
        <v>0</v>
      </c>
      <c r="W41" t="s">
        <v>114</v>
      </c>
      <c r="X41" t="s">
        <v>207</v>
      </c>
      <c r="Y41" t="s">
        <v>207</v>
      </c>
      <c r="Z41" t="s">
        <v>207</v>
      </c>
      <c r="AA41" t="s">
        <v>207</v>
      </c>
      <c r="AB41" t="s">
        <v>207</v>
      </c>
      <c r="AC41" t="s">
        <v>207</v>
      </c>
      <c r="AD41" t="s">
        <v>207</v>
      </c>
      <c r="AE41" t="s">
        <v>207</v>
      </c>
      <c r="AF41" t="s">
        <v>207</v>
      </c>
      <c r="AG41" t="s">
        <v>207</v>
      </c>
      <c r="AH41" t="s">
        <v>207</v>
      </c>
      <c r="AI41" t="s">
        <v>207</v>
      </c>
      <c r="AJ41" t="s">
        <v>207</v>
      </c>
      <c r="AK41" t="s">
        <v>207</v>
      </c>
      <c r="AL41">
        <v>47.49</v>
      </c>
      <c r="AM41">
        <v>44</v>
      </c>
      <c r="AN41" t="s">
        <v>392</v>
      </c>
      <c r="AO41" t="s">
        <v>207</v>
      </c>
      <c r="AP41" t="s">
        <v>207</v>
      </c>
      <c r="AQ41">
        <v>35840</v>
      </c>
      <c r="AR41" t="s">
        <v>207</v>
      </c>
      <c r="AS41" t="s">
        <v>207</v>
      </c>
      <c r="AT41" t="s">
        <v>207</v>
      </c>
      <c r="AU41" t="s">
        <v>207</v>
      </c>
      <c r="AV41" t="s">
        <v>207</v>
      </c>
      <c r="AW41" t="s">
        <v>207</v>
      </c>
      <c r="AX41" t="s">
        <v>207</v>
      </c>
      <c r="AY41" t="s">
        <v>207</v>
      </c>
      <c r="AZ41" t="s">
        <v>207</v>
      </c>
      <c r="BA41" t="s">
        <v>207</v>
      </c>
      <c r="BB41" t="s">
        <v>207</v>
      </c>
      <c r="BC41" t="s">
        <v>207</v>
      </c>
      <c r="BD41" t="s">
        <v>207</v>
      </c>
      <c r="BE41" t="s">
        <v>207</v>
      </c>
      <c r="BF41" t="s">
        <v>423</v>
      </c>
      <c r="BG41" t="s">
        <v>207</v>
      </c>
      <c r="BH41" t="s">
        <v>207</v>
      </c>
      <c r="BI41" t="s">
        <v>207</v>
      </c>
      <c r="BJ41" t="s">
        <v>207</v>
      </c>
      <c r="BK41" t="s">
        <v>207</v>
      </c>
      <c r="BL41" t="s">
        <v>207</v>
      </c>
      <c r="BM41">
        <v>0</v>
      </c>
      <c r="BN41">
        <v>0</v>
      </c>
      <c r="BO41">
        <v>0</v>
      </c>
      <c r="BP41">
        <v>0</v>
      </c>
      <c r="BQ41">
        <v>0</v>
      </c>
      <c r="BR41">
        <v>0</v>
      </c>
      <c r="BS41">
        <v>0</v>
      </c>
      <c r="BT41">
        <v>0</v>
      </c>
      <c r="BU41">
        <v>0</v>
      </c>
      <c r="BV41">
        <v>0</v>
      </c>
      <c r="BW41" t="s">
        <v>397</v>
      </c>
      <c r="BX41" t="s">
        <v>207</v>
      </c>
      <c r="BY41">
        <v>89718</v>
      </c>
      <c r="BZ41" t="s">
        <v>396</v>
      </c>
      <c r="CA41" t="s">
        <v>207</v>
      </c>
      <c r="CB41" t="s">
        <v>396</v>
      </c>
      <c r="CC41" t="s">
        <v>207</v>
      </c>
      <c r="CD41" t="s">
        <v>207</v>
      </c>
      <c r="CE41">
        <v>0</v>
      </c>
      <c r="CF41" t="s">
        <v>207</v>
      </c>
      <c r="CG41" t="s">
        <v>399</v>
      </c>
      <c r="CH41" t="s">
        <v>207</v>
      </c>
      <c r="CI41" t="s">
        <v>400</v>
      </c>
      <c r="CJ41" t="s">
        <v>207</v>
      </c>
      <c r="CK41" t="s">
        <v>207</v>
      </c>
      <c r="CL41">
        <v>1</v>
      </c>
      <c r="CM41" t="s">
        <v>207</v>
      </c>
      <c r="CN41" t="s">
        <v>207</v>
      </c>
      <c r="CO41">
        <v>0.625</v>
      </c>
      <c r="CP41">
        <v>0</v>
      </c>
      <c r="CQ41">
        <v>10</v>
      </c>
      <c r="CR41" s="105">
        <v>36635</v>
      </c>
      <c r="CS41">
        <v>2</v>
      </c>
      <c r="CT41" s="106">
        <v>41114</v>
      </c>
      <c r="CU41" t="s">
        <v>207</v>
      </c>
      <c r="CV41" t="s">
        <v>207</v>
      </c>
      <c r="CW41" t="s">
        <v>207</v>
      </c>
    </row>
    <row r="42" spans="1:101" x14ac:dyDescent="0.2">
      <c r="A42">
        <v>55408</v>
      </c>
      <c r="B42" t="s">
        <v>44</v>
      </c>
      <c r="C42" t="s">
        <v>654</v>
      </c>
      <c r="D42">
        <v>33508</v>
      </c>
      <c r="E42" t="s">
        <v>655</v>
      </c>
      <c r="F42" t="s">
        <v>207</v>
      </c>
      <c r="G42" t="s">
        <v>656</v>
      </c>
      <c r="H42" t="s">
        <v>207</v>
      </c>
      <c r="I42" t="s">
        <v>207</v>
      </c>
      <c r="J42" t="s">
        <v>207</v>
      </c>
      <c r="K42">
        <v>126</v>
      </c>
      <c r="L42" t="s">
        <v>207</v>
      </c>
      <c r="M42">
        <v>2142</v>
      </c>
      <c r="N42" t="s">
        <v>207</v>
      </c>
      <c r="O42" t="s">
        <v>205</v>
      </c>
      <c r="P42" t="s">
        <v>391</v>
      </c>
      <c r="Q42" t="s">
        <v>207</v>
      </c>
      <c r="R42" t="s">
        <v>207</v>
      </c>
      <c r="S42">
        <v>0</v>
      </c>
      <c r="T42">
        <v>1</v>
      </c>
      <c r="U42">
        <v>0</v>
      </c>
      <c r="V42">
        <v>0</v>
      </c>
      <c r="W42" t="s">
        <v>126</v>
      </c>
      <c r="X42" t="s">
        <v>207</v>
      </c>
      <c r="Y42" t="s">
        <v>207</v>
      </c>
      <c r="Z42" t="s">
        <v>207</v>
      </c>
      <c r="AA42" t="s">
        <v>207</v>
      </c>
      <c r="AB42" t="s">
        <v>207</v>
      </c>
      <c r="AC42" t="s">
        <v>207</v>
      </c>
      <c r="AD42" t="s">
        <v>207</v>
      </c>
      <c r="AE42" t="s">
        <v>207</v>
      </c>
      <c r="AF42" t="s">
        <v>207</v>
      </c>
      <c r="AG42" t="s">
        <v>207</v>
      </c>
      <c r="AH42" t="s">
        <v>207</v>
      </c>
      <c r="AI42" t="s">
        <v>207</v>
      </c>
      <c r="AJ42" t="s">
        <v>207</v>
      </c>
      <c r="AK42" t="s">
        <v>207</v>
      </c>
      <c r="AL42">
        <v>10</v>
      </c>
      <c r="AM42">
        <v>6</v>
      </c>
      <c r="AN42" t="s">
        <v>470</v>
      </c>
      <c r="AO42" t="s">
        <v>207</v>
      </c>
      <c r="AP42" t="s">
        <v>207</v>
      </c>
      <c r="AQ42">
        <v>108468</v>
      </c>
      <c r="AR42" t="s">
        <v>207</v>
      </c>
      <c r="AS42" t="s">
        <v>207</v>
      </c>
      <c r="AT42" t="s">
        <v>207</v>
      </c>
      <c r="AU42" t="s">
        <v>207</v>
      </c>
      <c r="AV42" t="s">
        <v>207</v>
      </c>
      <c r="AW42" t="s">
        <v>207</v>
      </c>
      <c r="AX42" t="s">
        <v>207</v>
      </c>
      <c r="AY42" t="s">
        <v>207</v>
      </c>
      <c r="AZ42" t="s">
        <v>207</v>
      </c>
      <c r="BA42" t="s">
        <v>207</v>
      </c>
      <c r="BB42" t="s">
        <v>207</v>
      </c>
      <c r="BC42" t="s">
        <v>207</v>
      </c>
      <c r="BD42" t="s">
        <v>207</v>
      </c>
      <c r="BE42" t="s">
        <v>207</v>
      </c>
      <c r="BF42" t="s">
        <v>423</v>
      </c>
      <c r="BG42" t="s">
        <v>207</v>
      </c>
      <c r="BH42" t="s">
        <v>207</v>
      </c>
      <c r="BI42" t="s">
        <v>207</v>
      </c>
      <c r="BJ42" t="s">
        <v>207</v>
      </c>
      <c r="BK42" t="s">
        <v>207</v>
      </c>
      <c r="BL42" t="s">
        <v>207</v>
      </c>
      <c r="BM42">
        <v>0</v>
      </c>
      <c r="BN42">
        <v>0</v>
      </c>
      <c r="BO42">
        <v>0</v>
      </c>
      <c r="BP42">
        <v>0</v>
      </c>
      <c r="BQ42">
        <v>0</v>
      </c>
      <c r="BR42">
        <v>0</v>
      </c>
      <c r="BS42">
        <v>0</v>
      </c>
      <c r="BT42">
        <v>0</v>
      </c>
      <c r="BU42">
        <v>0</v>
      </c>
      <c r="BV42">
        <v>0</v>
      </c>
      <c r="BW42" t="s">
        <v>396</v>
      </c>
      <c r="BX42" t="s">
        <v>207</v>
      </c>
      <c r="BY42" t="s">
        <v>207</v>
      </c>
      <c r="BZ42" t="s">
        <v>396</v>
      </c>
      <c r="CA42" t="s">
        <v>207</v>
      </c>
      <c r="CB42" t="s">
        <v>396</v>
      </c>
      <c r="CC42" t="s">
        <v>207</v>
      </c>
      <c r="CD42" t="s">
        <v>207</v>
      </c>
      <c r="CE42">
        <v>0</v>
      </c>
      <c r="CF42" t="s">
        <v>207</v>
      </c>
      <c r="CG42" t="s">
        <v>399</v>
      </c>
      <c r="CH42" t="s">
        <v>207</v>
      </c>
      <c r="CI42" t="s">
        <v>400</v>
      </c>
      <c r="CJ42" t="s">
        <v>207</v>
      </c>
      <c r="CK42" t="s">
        <v>207</v>
      </c>
      <c r="CL42">
        <v>1</v>
      </c>
      <c r="CM42" t="s">
        <v>207</v>
      </c>
      <c r="CN42" t="s">
        <v>207</v>
      </c>
      <c r="CO42">
        <v>0.75</v>
      </c>
      <c r="CP42">
        <v>0</v>
      </c>
      <c r="CQ42">
        <v>10</v>
      </c>
      <c r="CR42" s="105">
        <v>36599</v>
      </c>
      <c r="CS42">
        <v>65</v>
      </c>
      <c r="CT42" s="106">
        <v>43216</v>
      </c>
      <c r="CU42" t="s">
        <v>207</v>
      </c>
      <c r="CV42" t="s">
        <v>207</v>
      </c>
      <c r="CW42" t="s">
        <v>207</v>
      </c>
    </row>
    <row r="43" spans="1:101" x14ac:dyDescent="0.2">
      <c r="A43">
        <v>50950</v>
      </c>
      <c r="B43" t="s">
        <v>66</v>
      </c>
      <c r="C43" t="s">
        <v>657</v>
      </c>
      <c r="D43">
        <v>82810</v>
      </c>
      <c r="E43" t="s">
        <v>622</v>
      </c>
      <c r="F43" t="s">
        <v>207</v>
      </c>
      <c r="G43" t="s">
        <v>658</v>
      </c>
      <c r="H43" t="s">
        <v>207</v>
      </c>
      <c r="I43" t="s">
        <v>207</v>
      </c>
      <c r="J43" t="s">
        <v>207</v>
      </c>
      <c r="K43">
        <v>130</v>
      </c>
      <c r="L43" t="s">
        <v>207</v>
      </c>
      <c r="M43">
        <v>4225</v>
      </c>
      <c r="N43" t="s">
        <v>207</v>
      </c>
      <c r="O43" t="s">
        <v>205</v>
      </c>
      <c r="P43" t="s">
        <v>391</v>
      </c>
      <c r="Q43" t="s">
        <v>207</v>
      </c>
      <c r="R43" t="s">
        <v>207</v>
      </c>
      <c r="S43">
        <v>0</v>
      </c>
      <c r="T43">
        <v>1</v>
      </c>
      <c r="U43">
        <v>0</v>
      </c>
      <c r="V43">
        <v>0</v>
      </c>
      <c r="W43" t="s">
        <v>126</v>
      </c>
      <c r="X43" t="s">
        <v>207</v>
      </c>
      <c r="Y43" t="s">
        <v>207</v>
      </c>
      <c r="Z43" t="s">
        <v>207</v>
      </c>
      <c r="AA43" t="s">
        <v>207</v>
      </c>
      <c r="AB43" t="s">
        <v>207</v>
      </c>
      <c r="AC43" t="s">
        <v>207</v>
      </c>
      <c r="AD43" t="s">
        <v>207</v>
      </c>
      <c r="AE43" t="s">
        <v>207</v>
      </c>
      <c r="AF43" t="s">
        <v>207</v>
      </c>
      <c r="AG43" t="s">
        <v>207</v>
      </c>
      <c r="AH43" t="s">
        <v>207</v>
      </c>
      <c r="AI43" t="s">
        <v>207</v>
      </c>
      <c r="AJ43" t="s">
        <v>207</v>
      </c>
      <c r="AK43" t="s">
        <v>207</v>
      </c>
      <c r="AL43">
        <v>46.94</v>
      </c>
      <c r="AM43">
        <v>42.299999237060497</v>
      </c>
      <c r="AN43" t="s">
        <v>392</v>
      </c>
      <c r="AO43" t="s">
        <v>207</v>
      </c>
      <c r="AP43" t="s">
        <v>207</v>
      </c>
      <c r="AQ43">
        <v>114983</v>
      </c>
      <c r="AR43">
        <v>21</v>
      </c>
      <c r="AS43" t="s">
        <v>392</v>
      </c>
      <c r="AT43" t="s">
        <v>207</v>
      </c>
      <c r="AU43" t="s">
        <v>207</v>
      </c>
      <c r="AV43">
        <v>35840</v>
      </c>
      <c r="AW43" t="s">
        <v>207</v>
      </c>
      <c r="AX43" t="s">
        <v>207</v>
      </c>
      <c r="AY43" t="s">
        <v>207</v>
      </c>
      <c r="AZ43" t="s">
        <v>207</v>
      </c>
      <c r="BA43" t="s">
        <v>207</v>
      </c>
      <c r="BB43" t="s">
        <v>207</v>
      </c>
      <c r="BC43" t="s">
        <v>207</v>
      </c>
      <c r="BD43" t="s">
        <v>207</v>
      </c>
      <c r="BE43" t="s">
        <v>207</v>
      </c>
      <c r="BF43" t="s">
        <v>423</v>
      </c>
      <c r="BG43" t="s">
        <v>207</v>
      </c>
      <c r="BH43" t="s">
        <v>207</v>
      </c>
      <c r="BI43" t="s">
        <v>207</v>
      </c>
      <c r="BJ43" t="s">
        <v>207</v>
      </c>
      <c r="BK43" t="s">
        <v>207</v>
      </c>
      <c r="BL43" t="s">
        <v>207</v>
      </c>
      <c r="BM43">
        <v>0</v>
      </c>
      <c r="BN43">
        <v>0</v>
      </c>
      <c r="BO43">
        <v>0</v>
      </c>
      <c r="BP43">
        <v>0</v>
      </c>
      <c r="BQ43">
        <v>0</v>
      </c>
      <c r="BR43">
        <v>0</v>
      </c>
      <c r="BS43">
        <v>0</v>
      </c>
      <c r="BT43">
        <v>0</v>
      </c>
      <c r="BU43">
        <v>0</v>
      </c>
      <c r="BV43">
        <v>0</v>
      </c>
      <c r="BW43" t="s">
        <v>396</v>
      </c>
      <c r="BX43" t="s">
        <v>207</v>
      </c>
      <c r="BY43" t="s">
        <v>207</v>
      </c>
      <c r="BZ43" t="s">
        <v>396</v>
      </c>
      <c r="CA43" t="s">
        <v>207</v>
      </c>
      <c r="CB43" t="s">
        <v>396</v>
      </c>
      <c r="CC43" t="s">
        <v>207</v>
      </c>
      <c r="CD43" t="s">
        <v>207</v>
      </c>
      <c r="CE43">
        <v>0</v>
      </c>
      <c r="CF43" t="s">
        <v>207</v>
      </c>
      <c r="CG43" t="s">
        <v>399</v>
      </c>
      <c r="CH43" t="s">
        <v>207</v>
      </c>
      <c r="CI43" t="s">
        <v>400</v>
      </c>
      <c r="CJ43" t="s">
        <v>207</v>
      </c>
      <c r="CK43" t="s">
        <v>207</v>
      </c>
      <c r="CL43">
        <v>1</v>
      </c>
      <c r="CM43" t="s">
        <v>207</v>
      </c>
      <c r="CN43" t="s">
        <v>207</v>
      </c>
      <c r="CO43">
        <v>0.5</v>
      </c>
      <c r="CP43">
        <v>0</v>
      </c>
      <c r="CQ43">
        <v>10</v>
      </c>
      <c r="CR43" s="105">
        <v>36188</v>
      </c>
      <c r="CS43">
        <v>65</v>
      </c>
      <c r="CT43" s="106">
        <v>43180</v>
      </c>
      <c r="CU43" t="s">
        <v>207</v>
      </c>
      <c r="CV43" t="s">
        <v>207</v>
      </c>
      <c r="CW43" t="s">
        <v>207</v>
      </c>
    </row>
    <row r="44" spans="1:101" x14ac:dyDescent="0.2">
      <c r="A44">
        <v>55155</v>
      </c>
      <c r="B44" t="s">
        <v>10</v>
      </c>
      <c r="C44" t="s">
        <v>659</v>
      </c>
      <c r="D44">
        <v>33021</v>
      </c>
      <c r="E44" t="s">
        <v>660</v>
      </c>
      <c r="F44" t="s">
        <v>207</v>
      </c>
      <c r="G44" t="s">
        <v>661</v>
      </c>
      <c r="H44" t="s">
        <v>207</v>
      </c>
      <c r="I44" t="s">
        <v>207</v>
      </c>
      <c r="J44" t="s">
        <v>207</v>
      </c>
      <c r="K44">
        <v>122</v>
      </c>
      <c r="L44" t="s">
        <v>552</v>
      </c>
      <c r="M44">
        <v>8561</v>
      </c>
      <c r="N44" t="s">
        <v>207</v>
      </c>
      <c r="O44" t="s">
        <v>205</v>
      </c>
      <c r="P44" t="s">
        <v>391</v>
      </c>
      <c r="Q44" t="s">
        <v>207</v>
      </c>
      <c r="R44" t="s">
        <v>207</v>
      </c>
      <c r="S44">
        <v>0</v>
      </c>
      <c r="T44">
        <v>1</v>
      </c>
      <c r="U44">
        <v>0</v>
      </c>
      <c r="V44">
        <v>0</v>
      </c>
      <c r="W44" t="s">
        <v>114</v>
      </c>
      <c r="X44" t="s">
        <v>207</v>
      </c>
      <c r="Y44" t="s">
        <v>207</v>
      </c>
      <c r="Z44" t="s">
        <v>207</v>
      </c>
      <c r="AA44" t="s">
        <v>207</v>
      </c>
      <c r="AB44" t="s">
        <v>207</v>
      </c>
      <c r="AC44" t="s">
        <v>207</v>
      </c>
      <c r="AD44" t="s">
        <v>207</v>
      </c>
      <c r="AE44" t="s">
        <v>207</v>
      </c>
      <c r="AF44" t="s">
        <v>207</v>
      </c>
      <c r="AG44" t="s">
        <v>207</v>
      </c>
      <c r="AH44" t="s">
        <v>207</v>
      </c>
      <c r="AI44" t="s">
        <v>207</v>
      </c>
      <c r="AJ44" t="s">
        <v>207</v>
      </c>
      <c r="AK44" t="s">
        <v>207</v>
      </c>
      <c r="AL44">
        <v>28.25</v>
      </c>
      <c r="AM44">
        <v>18</v>
      </c>
      <c r="AN44" t="s">
        <v>392</v>
      </c>
      <c r="AO44" t="s">
        <v>207</v>
      </c>
      <c r="AP44" t="s">
        <v>207</v>
      </c>
      <c r="AQ44" t="s">
        <v>207</v>
      </c>
      <c r="AR44">
        <v>17.5</v>
      </c>
      <c r="AS44" t="s">
        <v>207</v>
      </c>
      <c r="AT44" t="s">
        <v>207</v>
      </c>
      <c r="AU44" t="s">
        <v>207</v>
      </c>
      <c r="AV44">
        <v>35840</v>
      </c>
      <c r="AW44" t="s">
        <v>207</v>
      </c>
      <c r="AX44" t="s">
        <v>207</v>
      </c>
      <c r="AY44" t="s">
        <v>207</v>
      </c>
      <c r="AZ44" t="s">
        <v>207</v>
      </c>
      <c r="BA44" t="s">
        <v>207</v>
      </c>
      <c r="BB44" t="s">
        <v>207</v>
      </c>
      <c r="BC44" t="s">
        <v>207</v>
      </c>
      <c r="BD44" t="s">
        <v>207</v>
      </c>
      <c r="BE44" t="s">
        <v>207</v>
      </c>
      <c r="BF44" t="s">
        <v>423</v>
      </c>
      <c r="BG44" t="s">
        <v>207</v>
      </c>
      <c r="BH44" t="s">
        <v>207</v>
      </c>
      <c r="BI44" t="s">
        <v>207</v>
      </c>
      <c r="BJ44" t="s">
        <v>207</v>
      </c>
      <c r="BK44" t="s">
        <v>207</v>
      </c>
      <c r="BL44" t="s">
        <v>207</v>
      </c>
      <c r="BM44">
        <v>0</v>
      </c>
      <c r="BN44">
        <v>0</v>
      </c>
      <c r="BO44">
        <v>0</v>
      </c>
      <c r="BP44">
        <v>0</v>
      </c>
      <c r="BQ44">
        <v>0</v>
      </c>
      <c r="BR44">
        <v>0</v>
      </c>
      <c r="BS44">
        <v>0</v>
      </c>
      <c r="BT44">
        <v>0</v>
      </c>
      <c r="BU44">
        <v>0</v>
      </c>
      <c r="BV44">
        <v>0</v>
      </c>
      <c r="BW44" t="s">
        <v>396</v>
      </c>
      <c r="BX44" t="s">
        <v>207</v>
      </c>
      <c r="BY44" t="s">
        <v>207</v>
      </c>
      <c r="BZ44" t="s">
        <v>396</v>
      </c>
      <c r="CA44" t="s">
        <v>207</v>
      </c>
      <c r="CB44" t="s">
        <v>396</v>
      </c>
      <c r="CC44" t="s">
        <v>207</v>
      </c>
      <c r="CD44" t="s">
        <v>207</v>
      </c>
      <c r="CE44">
        <v>0</v>
      </c>
      <c r="CF44" t="s">
        <v>207</v>
      </c>
      <c r="CG44" t="s">
        <v>399</v>
      </c>
      <c r="CH44" t="s">
        <v>207</v>
      </c>
      <c r="CI44" t="s">
        <v>400</v>
      </c>
      <c r="CJ44" t="s">
        <v>207</v>
      </c>
      <c r="CK44" t="s">
        <v>207</v>
      </c>
      <c r="CL44">
        <v>1</v>
      </c>
      <c r="CM44" t="s">
        <v>207</v>
      </c>
      <c r="CN44" t="s">
        <v>207</v>
      </c>
      <c r="CO44">
        <v>0.5</v>
      </c>
      <c r="CP44">
        <v>0</v>
      </c>
      <c r="CQ44">
        <v>97</v>
      </c>
      <c r="CR44" s="105">
        <v>36571</v>
      </c>
      <c r="CS44" t="s">
        <v>207</v>
      </c>
      <c r="CT44" s="106">
        <v>36819</v>
      </c>
      <c r="CU44" t="s">
        <v>207</v>
      </c>
      <c r="CV44" t="s">
        <v>207</v>
      </c>
      <c r="CW44" t="s">
        <v>207</v>
      </c>
    </row>
    <row r="45" spans="1:101" x14ac:dyDescent="0.2">
      <c r="A45">
        <v>4752</v>
      </c>
      <c r="B45" t="s">
        <v>36</v>
      </c>
      <c r="C45" t="s">
        <v>662</v>
      </c>
      <c r="D45">
        <v>57778</v>
      </c>
      <c r="E45" t="s">
        <v>663</v>
      </c>
      <c r="F45" t="s">
        <v>664</v>
      </c>
      <c r="G45" t="s">
        <v>665</v>
      </c>
      <c r="H45" t="s">
        <v>207</v>
      </c>
      <c r="I45" t="s">
        <v>207</v>
      </c>
      <c r="J45" t="s">
        <v>207</v>
      </c>
      <c r="K45">
        <v>754</v>
      </c>
      <c r="L45" t="s">
        <v>207</v>
      </c>
      <c r="M45">
        <v>5578</v>
      </c>
      <c r="N45" t="s">
        <v>207</v>
      </c>
      <c r="O45" t="s">
        <v>250</v>
      </c>
      <c r="P45" t="s">
        <v>391</v>
      </c>
      <c r="Q45" t="s">
        <v>207</v>
      </c>
      <c r="R45" t="s">
        <v>207</v>
      </c>
      <c r="S45">
        <v>0</v>
      </c>
      <c r="T45">
        <v>1</v>
      </c>
      <c r="U45">
        <v>0</v>
      </c>
      <c r="V45">
        <v>0</v>
      </c>
      <c r="W45" t="s">
        <v>114</v>
      </c>
      <c r="X45" t="s">
        <v>207</v>
      </c>
      <c r="Y45" t="s">
        <v>207</v>
      </c>
      <c r="Z45" t="s">
        <v>207</v>
      </c>
      <c r="AA45" t="s">
        <v>207</v>
      </c>
      <c r="AB45" t="s">
        <v>207</v>
      </c>
      <c r="AC45" t="s">
        <v>207</v>
      </c>
      <c r="AD45" t="s">
        <v>207</v>
      </c>
      <c r="AE45" t="s">
        <v>207</v>
      </c>
      <c r="AF45" t="s">
        <v>207</v>
      </c>
      <c r="AG45" t="s">
        <v>207</v>
      </c>
      <c r="AH45" t="s">
        <v>207</v>
      </c>
      <c r="AI45" t="s">
        <v>207</v>
      </c>
      <c r="AJ45" t="s">
        <v>207</v>
      </c>
      <c r="AK45" t="s">
        <v>207</v>
      </c>
      <c r="AL45">
        <v>50.93</v>
      </c>
      <c r="AM45">
        <v>47</v>
      </c>
      <c r="AN45" t="s">
        <v>392</v>
      </c>
      <c r="AO45">
        <v>34.299999237060497</v>
      </c>
      <c r="AP45" t="s">
        <v>392</v>
      </c>
      <c r="AQ45">
        <v>1441</v>
      </c>
      <c r="AR45">
        <v>26</v>
      </c>
      <c r="AS45" t="s">
        <v>392</v>
      </c>
      <c r="AT45" t="s">
        <v>207</v>
      </c>
      <c r="AU45" t="s">
        <v>207</v>
      </c>
      <c r="AV45">
        <v>56557</v>
      </c>
      <c r="AW45">
        <v>1700</v>
      </c>
      <c r="AX45" t="s">
        <v>207</v>
      </c>
      <c r="AY45">
        <v>56557</v>
      </c>
      <c r="AZ45" t="s">
        <v>207</v>
      </c>
      <c r="BA45" t="s">
        <v>207</v>
      </c>
      <c r="BB45" t="s">
        <v>207</v>
      </c>
      <c r="BC45" t="s">
        <v>207</v>
      </c>
      <c r="BD45">
        <v>4537</v>
      </c>
      <c r="BE45" t="s">
        <v>397</v>
      </c>
      <c r="BF45" t="s">
        <v>423</v>
      </c>
      <c r="BG45" t="s">
        <v>207</v>
      </c>
      <c r="BH45" t="s">
        <v>207</v>
      </c>
      <c r="BI45" t="s">
        <v>411</v>
      </c>
      <c r="BJ45" t="s">
        <v>207</v>
      </c>
      <c r="BK45" t="s">
        <v>411</v>
      </c>
      <c r="BL45" t="s">
        <v>411</v>
      </c>
      <c r="BM45">
        <v>0</v>
      </c>
      <c r="BN45">
        <v>0</v>
      </c>
      <c r="BO45">
        <v>0</v>
      </c>
      <c r="BP45">
        <v>0</v>
      </c>
      <c r="BQ45">
        <v>0</v>
      </c>
      <c r="BR45">
        <v>0</v>
      </c>
      <c r="BS45">
        <v>0</v>
      </c>
      <c r="BT45">
        <v>0</v>
      </c>
      <c r="BU45">
        <v>0</v>
      </c>
      <c r="BV45">
        <v>0</v>
      </c>
      <c r="BW45" t="s">
        <v>396</v>
      </c>
      <c r="BX45" t="s">
        <v>411</v>
      </c>
      <c r="BY45" t="s">
        <v>207</v>
      </c>
      <c r="BZ45" t="s">
        <v>396</v>
      </c>
      <c r="CA45" t="s">
        <v>207</v>
      </c>
      <c r="CB45" t="s">
        <v>396</v>
      </c>
      <c r="CC45" t="s">
        <v>411</v>
      </c>
      <c r="CD45" t="s">
        <v>207</v>
      </c>
      <c r="CE45">
        <v>0</v>
      </c>
      <c r="CF45" t="s">
        <v>207</v>
      </c>
      <c r="CG45" t="s">
        <v>413</v>
      </c>
      <c r="CH45">
        <v>43281</v>
      </c>
      <c r="CI45" t="s">
        <v>400</v>
      </c>
      <c r="CJ45" t="s">
        <v>207</v>
      </c>
      <c r="CK45" t="s">
        <v>207</v>
      </c>
      <c r="CL45">
        <v>1</v>
      </c>
      <c r="CM45" t="s">
        <v>666</v>
      </c>
      <c r="CN45" t="s">
        <v>207</v>
      </c>
      <c r="CO45">
        <v>0.50019997358322099</v>
      </c>
      <c r="CP45">
        <v>0</v>
      </c>
      <c r="CQ45">
        <v>2</v>
      </c>
      <c r="CR45" s="105">
        <v>33568</v>
      </c>
      <c r="CS45">
        <v>2</v>
      </c>
      <c r="CT45" s="106">
        <v>41064</v>
      </c>
      <c r="CU45">
        <v>97</v>
      </c>
      <c r="CV45" s="106">
        <v>37624</v>
      </c>
      <c r="CW45" t="s">
        <v>207</v>
      </c>
    </row>
    <row r="46" spans="1:101" x14ac:dyDescent="0.2">
      <c r="A46">
        <v>56233</v>
      </c>
      <c r="B46" t="s">
        <v>32</v>
      </c>
      <c r="C46" t="s">
        <v>667</v>
      </c>
      <c r="D46">
        <v>33782</v>
      </c>
      <c r="E46" t="s">
        <v>668</v>
      </c>
      <c r="F46" t="s">
        <v>207</v>
      </c>
      <c r="G46" t="s">
        <v>207</v>
      </c>
      <c r="H46" t="s">
        <v>207</v>
      </c>
      <c r="I46" t="s">
        <v>207</v>
      </c>
      <c r="J46" t="s">
        <v>207</v>
      </c>
      <c r="K46">
        <v>754</v>
      </c>
      <c r="L46" t="s">
        <v>207</v>
      </c>
      <c r="M46">
        <v>4897</v>
      </c>
      <c r="N46" t="s">
        <v>207</v>
      </c>
      <c r="O46" t="s">
        <v>207</v>
      </c>
      <c r="P46" t="s">
        <v>391</v>
      </c>
      <c r="Q46" t="s">
        <v>207</v>
      </c>
      <c r="R46" t="s">
        <v>207</v>
      </c>
      <c r="S46">
        <v>0</v>
      </c>
      <c r="T46">
        <v>1</v>
      </c>
      <c r="U46">
        <v>0</v>
      </c>
      <c r="V46">
        <v>0</v>
      </c>
      <c r="W46" t="s">
        <v>114</v>
      </c>
      <c r="X46" t="s">
        <v>207</v>
      </c>
      <c r="Y46" t="s">
        <v>207</v>
      </c>
      <c r="Z46" t="s">
        <v>207</v>
      </c>
      <c r="AA46" t="s">
        <v>207</v>
      </c>
      <c r="AB46" t="s">
        <v>207</v>
      </c>
      <c r="AC46" t="s">
        <v>207</v>
      </c>
      <c r="AD46" t="s">
        <v>207</v>
      </c>
      <c r="AE46" t="s">
        <v>207</v>
      </c>
      <c r="AF46" t="s">
        <v>207</v>
      </c>
      <c r="AG46" t="s">
        <v>207</v>
      </c>
      <c r="AH46" t="s">
        <v>207</v>
      </c>
      <c r="AI46" t="s">
        <v>207</v>
      </c>
      <c r="AJ46" t="s">
        <v>207</v>
      </c>
      <c r="AK46" t="s">
        <v>207</v>
      </c>
      <c r="AL46">
        <v>13.79</v>
      </c>
      <c r="AM46">
        <v>5.9000000953674299</v>
      </c>
      <c r="AN46" t="s">
        <v>470</v>
      </c>
      <c r="AO46" t="s">
        <v>207</v>
      </c>
      <c r="AP46" t="s">
        <v>207</v>
      </c>
      <c r="AQ46">
        <v>33782</v>
      </c>
      <c r="AR46" t="s">
        <v>207</v>
      </c>
      <c r="AS46" t="s">
        <v>207</v>
      </c>
      <c r="AT46" t="s">
        <v>207</v>
      </c>
      <c r="AU46" t="s">
        <v>207</v>
      </c>
      <c r="AV46" t="s">
        <v>207</v>
      </c>
      <c r="AW46" t="s">
        <v>207</v>
      </c>
      <c r="AX46" t="s">
        <v>207</v>
      </c>
      <c r="AY46" t="s">
        <v>207</v>
      </c>
      <c r="AZ46" t="s">
        <v>207</v>
      </c>
      <c r="BA46" t="s">
        <v>207</v>
      </c>
      <c r="BB46" t="s">
        <v>207</v>
      </c>
      <c r="BC46" t="s">
        <v>207</v>
      </c>
      <c r="BD46" t="s">
        <v>207</v>
      </c>
      <c r="BE46" t="s">
        <v>207</v>
      </c>
      <c r="BF46" t="s">
        <v>423</v>
      </c>
      <c r="BG46" t="s">
        <v>207</v>
      </c>
      <c r="BH46" t="s">
        <v>207</v>
      </c>
      <c r="BI46" t="s">
        <v>207</v>
      </c>
      <c r="BJ46" t="s">
        <v>207</v>
      </c>
      <c r="BK46" t="s">
        <v>207</v>
      </c>
      <c r="BL46" t="s">
        <v>207</v>
      </c>
      <c r="BM46">
        <v>0</v>
      </c>
      <c r="BN46">
        <v>0</v>
      </c>
      <c r="BO46">
        <v>0</v>
      </c>
      <c r="BP46">
        <v>0</v>
      </c>
      <c r="BQ46">
        <v>0</v>
      </c>
      <c r="BR46">
        <v>0</v>
      </c>
      <c r="BS46">
        <v>0</v>
      </c>
      <c r="BT46">
        <v>0</v>
      </c>
      <c r="BU46">
        <v>0</v>
      </c>
      <c r="BV46">
        <v>0</v>
      </c>
      <c r="BW46" t="s">
        <v>396</v>
      </c>
      <c r="BX46" t="s">
        <v>207</v>
      </c>
      <c r="BY46" t="s">
        <v>207</v>
      </c>
      <c r="BZ46" t="s">
        <v>396</v>
      </c>
      <c r="CA46" t="s">
        <v>207</v>
      </c>
      <c r="CB46" t="s">
        <v>396</v>
      </c>
      <c r="CC46" t="s">
        <v>207</v>
      </c>
      <c r="CD46" t="s">
        <v>207</v>
      </c>
      <c r="CE46">
        <v>0</v>
      </c>
      <c r="CF46" t="s">
        <v>207</v>
      </c>
      <c r="CG46" t="s">
        <v>399</v>
      </c>
      <c r="CH46" t="s">
        <v>207</v>
      </c>
      <c r="CI46" t="s">
        <v>400</v>
      </c>
      <c r="CJ46" t="s">
        <v>207</v>
      </c>
      <c r="CK46" t="s">
        <v>207</v>
      </c>
      <c r="CL46">
        <v>1</v>
      </c>
      <c r="CM46" t="s">
        <v>669</v>
      </c>
      <c r="CN46" t="s">
        <v>207</v>
      </c>
      <c r="CO46">
        <v>1</v>
      </c>
      <c r="CP46">
        <v>0</v>
      </c>
      <c r="CQ46">
        <v>97</v>
      </c>
      <c r="CR46" s="105">
        <v>36648</v>
      </c>
      <c r="CS46">
        <v>309</v>
      </c>
      <c r="CT46" s="106">
        <v>37690</v>
      </c>
      <c r="CU46" t="s">
        <v>207</v>
      </c>
      <c r="CV46" t="s">
        <v>207</v>
      </c>
      <c r="CW46" t="s">
        <v>207</v>
      </c>
    </row>
    <row r="47" spans="1:101" x14ac:dyDescent="0.2">
      <c r="A47">
        <v>25308</v>
      </c>
      <c r="B47" t="s">
        <v>76</v>
      </c>
      <c r="C47" t="s">
        <v>670</v>
      </c>
      <c r="D47">
        <v>9417</v>
      </c>
      <c r="E47" t="s">
        <v>671</v>
      </c>
      <c r="F47" t="s">
        <v>672</v>
      </c>
      <c r="G47" t="s">
        <v>673</v>
      </c>
      <c r="H47" t="s">
        <v>207</v>
      </c>
      <c r="I47" t="s">
        <v>207</v>
      </c>
      <c r="J47" t="s">
        <v>207</v>
      </c>
      <c r="K47">
        <v>132</v>
      </c>
      <c r="L47" t="s">
        <v>207</v>
      </c>
      <c r="M47">
        <v>3260</v>
      </c>
      <c r="N47" t="s">
        <v>207</v>
      </c>
      <c r="O47" t="s">
        <v>205</v>
      </c>
      <c r="P47" t="s">
        <v>444</v>
      </c>
      <c r="Q47" t="s">
        <v>207</v>
      </c>
      <c r="R47" t="s">
        <v>207</v>
      </c>
      <c r="S47">
        <v>0</v>
      </c>
      <c r="T47">
        <v>1</v>
      </c>
      <c r="U47">
        <v>0</v>
      </c>
      <c r="V47">
        <v>0</v>
      </c>
      <c r="W47" t="s">
        <v>126</v>
      </c>
      <c r="X47" t="s">
        <v>207</v>
      </c>
      <c r="Y47" t="s">
        <v>207</v>
      </c>
      <c r="Z47" t="s">
        <v>207</v>
      </c>
      <c r="AA47" t="s">
        <v>207</v>
      </c>
      <c r="AB47" t="s">
        <v>207</v>
      </c>
      <c r="AC47" t="s">
        <v>207</v>
      </c>
      <c r="AD47" t="s">
        <v>207</v>
      </c>
      <c r="AE47" t="s">
        <v>207</v>
      </c>
      <c r="AF47" t="s">
        <v>207</v>
      </c>
      <c r="AG47" t="s">
        <v>207</v>
      </c>
      <c r="AH47" t="s">
        <v>207</v>
      </c>
      <c r="AI47" t="s">
        <v>207</v>
      </c>
      <c r="AJ47" t="s">
        <v>207</v>
      </c>
      <c r="AK47" t="s">
        <v>207</v>
      </c>
      <c r="AL47">
        <v>74.239999999999995</v>
      </c>
      <c r="AM47">
        <v>114.199996948242</v>
      </c>
      <c r="AN47" t="s">
        <v>470</v>
      </c>
      <c r="AO47" t="s">
        <v>207</v>
      </c>
      <c r="AP47" t="s">
        <v>207</v>
      </c>
      <c r="AQ47">
        <v>108468</v>
      </c>
      <c r="AR47" t="s">
        <v>207</v>
      </c>
      <c r="AS47" t="s">
        <v>207</v>
      </c>
      <c r="AT47" t="s">
        <v>207</v>
      </c>
      <c r="AU47" t="s">
        <v>207</v>
      </c>
      <c r="AV47" t="s">
        <v>207</v>
      </c>
      <c r="AW47">
        <v>10800</v>
      </c>
      <c r="AX47" t="s">
        <v>207</v>
      </c>
      <c r="AY47">
        <v>120627</v>
      </c>
      <c r="AZ47" t="s">
        <v>207</v>
      </c>
      <c r="BA47" t="s">
        <v>207</v>
      </c>
      <c r="BB47" t="s">
        <v>207</v>
      </c>
      <c r="BC47" t="s">
        <v>207</v>
      </c>
      <c r="BD47" t="s">
        <v>207</v>
      </c>
      <c r="BE47" t="s">
        <v>207</v>
      </c>
      <c r="BF47" t="s">
        <v>423</v>
      </c>
      <c r="BG47" t="s">
        <v>207</v>
      </c>
      <c r="BH47" t="s">
        <v>207</v>
      </c>
      <c r="BI47" t="s">
        <v>207</v>
      </c>
      <c r="BJ47" t="s">
        <v>207</v>
      </c>
      <c r="BK47" t="s">
        <v>207</v>
      </c>
      <c r="BL47" t="s">
        <v>207</v>
      </c>
      <c r="BM47">
        <v>0</v>
      </c>
      <c r="BN47">
        <v>0</v>
      </c>
      <c r="BO47">
        <v>0</v>
      </c>
      <c r="BP47">
        <v>0</v>
      </c>
      <c r="BQ47">
        <v>0</v>
      </c>
      <c r="BR47">
        <v>0</v>
      </c>
      <c r="BS47">
        <v>0</v>
      </c>
      <c r="BT47">
        <v>0</v>
      </c>
      <c r="BU47">
        <v>0</v>
      </c>
      <c r="BV47">
        <v>0</v>
      </c>
      <c r="BW47" t="s">
        <v>397</v>
      </c>
      <c r="BX47" t="s">
        <v>207</v>
      </c>
      <c r="BY47">
        <v>55380</v>
      </c>
      <c r="BZ47" t="s">
        <v>396</v>
      </c>
      <c r="CA47" t="s">
        <v>207</v>
      </c>
      <c r="CB47" t="s">
        <v>396</v>
      </c>
      <c r="CC47" t="s">
        <v>207</v>
      </c>
      <c r="CD47" t="s">
        <v>207</v>
      </c>
      <c r="CE47">
        <v>0</v>
      </c>
      <c r="CF47" t="s">
        <v>207</v>
      </c>
      <c r="CG47" t="s">
        <v>399</v>
      </c>
      <c r="CH47" t="s">
        <v>207</v>
      </c>
      <c r="CI47" t="s">
        <v>400</v>
      </c>
      <c r="CJ47" t="s">
        <v>207</v>
      </c>
      <c r="CK47" t="s">
        <v>207</v>
      </c>
      <c r="CL47">
        <v>1</v>
      </c>
      <c r="CM47" t="s">
        <v>207</v>
      </c>
      <c r="CN47" t="s">
        <v>207</v>
      </c>
      <c r="CO47">
        <v>0.50010001659393299</v>
      </c>
      <c r="CP47">
        <v>0</v>
      </c>
      <c r="CQ47">
        <v>1</v>
      </c>
      <c r="CR47" s="105">
        <v>35335</v>
      </c>
      <c r="CS47">
        <v>65</v>
      </c>
      <c r="CT47" s="106">
        <v>43648</v>
      </c>
      <c r="CU47" t="s">
        <v>207</v>
      </c>
      <c r="CV47" t="s">
        <v>207</v>
      </c>
      <c r="CW47" t="s">
        <v>207</v>
      </c>
    </row>
    <row r="48" spans="1:101" x14ac:dyDescent="0.2">
      <c r="A48">
        <v>28054</v>
      </c>
      <c r="B48" t="s">
        <v>78</v>
      </c>
      <c r="C48" t="s">
        <v>674</v>
      </c>
      <c r="D48">
        <v>13397</v>
      </c>
      <c r="E48" t="s">
        <v>576</v>
      </c>
      <c r="F48" t="s">
        <v>675</v>
      </c>
      <c r="G48" t="s">
        <v>676</v>
      </c>
      <c r="H48" t="s">
        <v>207</v>
      </c>
      <c r="I48" t="s">
        <v>207</v>
      </c>
      <c r="J48" t="s">
        <v>207</v>
      </c>
      <c r="K48">
        <v>667</v>
      </c>
      <c r="L48" t="s">
        <v>207</v>
      </c>
      <c r="M48">
        <v>5964</v>
      </c>
      <c r="N48" t="s">
        <v>207</v>
      </c>
      <c r="O48" t="s">
        <v>251</v>
      </c>
      <c r="P48" t="s">
        <v>444</v>
      </c>
      <c r="Q48" t="s">
        <v>207</v>
      </c>
      <c r="R48" t="s">
        <v>207</v>
      </c>
      <c r="S48">
        <v>0</v>
      </c>
      <c r="T48">
        <v>1</v>
      </c>
      <c r="U48">
        <v>0</v>
      </c>
      <c r="V48">
        <v>0</v>
      </c>
      <c r="W48" t="s">
        <v>114</v>
      </c>
      <c r="X48" t="s">
        <v>207</v>
      </c>
      <c r="Y48" t="s">
        <v>207</v>
      </c>
      <c r="Z48" t="s">
        <v>207</v>
      </c>
      <c r="AA48" t="s">
        <v>207</v>
      </c>
      <c r="AB48">
        <v>10</v>
      </c>
      <c r="AC48" t="s">
        <v>207</v>
      </c>
      <c r="AD48">
        <v>26334</v>
      </c>
      <c r="AE48" t="s">
        <v>207</v>
      </c>
      <c r="AF48" t="s">
        <v>207</v>
      </c>
      <c r="AG48" t="s">
        <v>207</v>
      </c>
      <c r="AH48">
        <v>9</v>
      </c>
      <c r="AI48">
        <v>56557</v>
      </c>
      <c r="AJ48" t="s">
        <v>207</v>
      </c>
      <c r="AK48" t="s">
        <v>207</v>
      </c>
      <c r="AL48">
        <v>56.3</v>
      </c>
      <c r="AM48">
        <v>70</v>
      </c>
      <c r="AN48" t="s">
        <v>392</v>
      </c>
      <c r="AO48" t="s">
        <v>207</v>
      </c>
      <c r="AP48" t="s">
        <v>207</v>
      </c>
      <c r="AQ48">
        <v>56557</v>
      </c>
      <c r="AR48" t="s">
        <v>207</v>
      </c>
      <c r="AS48" t="s">
        <v>207</v>
      </c>
      <c r="AT48" t="s">
        <v>207</v>
      </c>
      <c r="AU48" t="s">
        <v>207</v>
      </c>
      <c r="AV48" t="s">
        <v>207</v>
      </c>
      <c r="AW48">
        <v>8000</v>
      </c>
      <c r="AX48" t="s">
        <v>207</v>
      </c>
      <c r="AY48">
        <v>56557</v>
      </c>
      <c r="AZ48" t="s">
        <v>207</v>
      </c>
      <c r="BA48" t="s">
        <v>207</v>
      </c>
      <c r="BB48" t="s">
        <v>207</v>
      </c>
      <c r="BC48" t="s">
        <v>207</v>
      </c>
      <c r="BD48">
        <v>28033</v>
      </c>
      <c r="BE48" t="s">
        <v>397</v>
      </c>
      <c r="BF48" t="s">
        <v>423</v>
      </c>
      <c r="BG48" t="s">
        <v>207</v>
      </c>
      <c r="BH48" t="s">
        <v>207</v>
      </c>
      <c r="BI48" t="s">
        <v>411</v>
      </c>
      <c r="BJ48" t="s">
        <v>207</v>
      </c>
      <c r="BK48" t="s">
        <v>411</v>
      </c>
      <c r="BL48" t="s">
        <v>411</v>
      </c>
      <c r="BM48">
        <v>0</v>
      </c>
      <c r="BN48">
        <v>0</v>
      </c>
      <c r="BO48">
        <v>0</v>
      </c>
      <c r="BP48">
        <v>0</v>
      </c>
      <c r="BQ48">
        <v>0</v>
      </c>
      <c r="BR48">
        <v>0</v>
      </c>
      <c r="BS48">
        <v>0</v>
      </c>
      <c r="BT48">
        <v>0</v>
      </c>
      <c r="BU48">
        <v>0</v>
      </c>
      <c r="BV48">
        <v>0</v>
      </c>
      <c r="BW48" t="s">
        <v>397</v>
      </c>
      <c r="BX48" t="s">
        <v>411</v>
      </c>
      <c r="BY48">
        <v>12228</v>
      </c>
      <c r="BZ48" t="s">
        <v>396</v>
      </c>
      <c r="CA48" t="s">
        <v>207</v>
      </c>
      <c r="CB48" t="s">
        <v>396</v>
      </c>
      <c r="CC48" t="s">
        <v>411</v>
      </c>
      <c r="CD48" t="s">
        <v>207</v>
      </c>
      <c r="CE48">
        <v>0</v>
      </c>
      <c r="CF48" t="s">
        <v>207</v>
      </c>
      <c r="CG48" t="s">
        <v>399</v>
      </c>
      <c r="CH48" t="s">
        <v>207</v>
      </c>
      <c r="CI48" t="s">
        <v>400</v>
      </c>
      <c r="CJ48" t="s">
        <v>207</v>
      </c>
      <c r="CK48" t="s">
        <v>207</v>
      </c>
      <c r="CL48">
        <v>1</v>
      </c>
      <c r="CM48" t="s">
        <v>677</v>
      </c>
      <c r="CN48" t="s">
        <v>207</v>
      </c>
      <c r="CO48">
        <v>0.50199997425079301</v>
      </c>
      <c r="CP48">
        <v>0</v>
      </c>
      <c r="CQ48">
        <v>1</v>
      </c>
      <c r="CR48" s="105">
        <v>35780</v>
      </c>
      <c r="CS48">
        <v>2</v>
      </c>
      <c r="CT48" s="106">
        <v>43693</v>
      </c>
      <c r="CU48" t="s">
        <v>207</v>
      </c>
      <c r="CV48" t="s">
        <v>207</v>
      </c>
      <c r="CW48" t="s">
        <v>207</v>
      </c>
    </row>
    <row r="49" spans="1:101" x14ac:dyDescent="0.2">
      <c r="A49">
        <v>50980</v>
      </c>
      <c r="B49" t="s">
        <v>81</v>
      </c>
      <c r="C49" t="s">
        <v>678</v>
      </c>
      <c r="D49">
        <v>94476</v>
      </c>
      <c r="E49" t="s">
        <v>679</v>
      </c>
      <c r="F49" t="s">
        <v>680</v>
      </c>
      <c r="G49" t="s">
        <v>681</v>
      </c>
      <c r="H49" t="s">
        <v>207</v>
      </c>
      <c r="I49" t="s">
        <v>207</v>
      </c>
      <c r="J49" t="s">
        <v>207</v>
      </c>
      <c r="K49">
        <v>130</v>
      </c>
      <c r="L49" t="s">
        <v>207</v>
      </c>
      <c r="M49">
        <v>3125</v>
      </c>
      <c r="N49" t="s">
        <v>207</v>
      </c>
      <c r="O49" t="s">
        <v>205</v>
      </c>
      <c r="P49" t="s">
        <v>391</v>
      </c>
      <c r="Q49" t="s">
        <v>207</v>
      </c>
      <c r="R49" t="s">
        <v>207</v>
      </c>
      <c r="S49">
        <v>0</v>
      </c>
      <c r="T49">
        <v>1</v>
      </c>
      <c r="U49">
        <v>1</v>
      </c>
      <c r="V49">
        <v>0</v>
      </c>
      <c r="W49" t="s">
        <v>126</v>
      </c>
      <c r="X49" t="s">
        <v>207</v>
      </c>
      <c r="Y49" t="s">
        <v>207</v>
      </c>
      <c r="Z49" t="s">
        <v>207</v>
      </c>
      <c r="AA49" t="s">
        <v>207</v>
      </c>
      <c r="AB49" t="s">
        <v>207</v>
      </c>
      <c r="AC49" t="s">
        <v>207</v>
      </c>
      <c r="AD49" t="s">
        <v>207</v>
      </c>
      <c r="AE49" t="s">
        <v>207</v>
      </c>
      <c r="AF49" t="s">
        <v>207</v>
      </c>
      <c r="AG49" t="s">
        <v>207</v>
      </c>
      <c r="AH49" t="s">
        <v>207</v>
      </c>
      <c r="AI49" t="s">
        <v>207</v>
      </c>
      <c r="AJ49" t="s">
        <v>207</v>
      </c>
      <c r="AK49" t="s">
        <v>207</v>
      </c>
      <c r="AL49">
        <v>65.53</v>
      </c>
      <c r="AM49">
        <v>66</v>
      </c>
      <c r="AN49" t="s">
        <v>470</v>
      </c>
      <c r="AO49" t="s">
        <v>207</v>
      </c>
      <c r="AP49" t="s">
        <v>207</v>
      </c>
      <c r="AQ49">
        <v>108468</v>
      </c>
      <c r="AR49" t="s">
        <v>207</v>
      </c>
      <c r="AS49" t="s">
        <v>207</v>
      </c>
      <c r="AT49" t="s">
        <v>207</v>
      </c>
      <c r="AU49" t="s">
        <v>207</v>
      </c>
      <c r="AV49" t="s">
        <v>207</v>
      </c>
      <c r="AW49">
        <v>2019.59997558594</v>
      </c>
      <c r="AX49" t="s">
        <v>207</v>
      </c>
      <c r="AY49">
        <v>120627</v>
      </c>
      <c r="AZ49" t="s">
        <v>207</v>
      </c>
      <c r="BA49" t="s">
        <v>207</v>
      </c>
      <c r="BB49" t="s">
        <v>207</v>
      </c>
      <c r="BC49" t="s">
        <v>207</v>
      </c>
      <c r="BD49" t="s">
        <v>207</v>
      </c>
      <c r="BE49" t="s">
        <v>207</v>
      </c>
      <c r="BF49" t="s">
        <v>423</v>
      </c>
      <c r="BG49" t="s">
        <v>207</v>
      </c>
      <c r="BH49" t="s">
        <v>207</v>
      </c>
      <c r="BI49" t="s">
        <v>207</v>
      </c>
      <c r="BJ49" t="s">
        <v>207</v>
      </c>
      <c r="BK49" t="s">
        <v>207</v>
      </c>
      <c r="BL49" t="s">
        <v>207</v>
      </c>
      <c r="BM49">
        <v>0</v>
      </c>
      <c r="BN49">
        <v>0</v>
      </c>
      <c r="BO49">
        <v>0</v>
      </c>
      <c r="BP49">
        <v>0</v>
      </c>
      <c r="BQ49">
        <v>0</v>
      </c>
      <c r="BR49">
        <v>0</v>
      </c>
      <c r="BS49">
        <v>0</v>
      </c>
      <c r="BT49">
        <v>0</v>
      </c>
      <c r="BU49">
        <v>0</v>
      </c>
      <c r="BV49">
        <v>0</v>
      </c>
      <c r="BW49" t="s">
        <v>396</v>
      </c>
      <c r="BX49" t="s">
        <v>207</v>
      </c>
      <c r="BY49" t="s">
        <v>207</v>
      </c>
      <c r="BZ49" t="s">
        <v>396</v>
      </c>
      <c r="CA49" t="s">
        <v>207</v>
      </c>
      <c r="CB49" t="s">
        <v>396</v>
      </c>
      <c r="CC49" t="s">
        <v>207</v>
      </c>
      <c r="CD49" t="s">
        <v>207</v>
      </c>
      <c r="CE49">
        <v>0</v>
      </c>
      <c r="CF49" t="s">
        <v>207</v>
      </c>
      <c r="CG49" t="s">
        <v>399</v>
      </c>
      <c r="CH49" t="s">
        <v>207</v>
      </c>
      <c r="CI49" t="s">
        <v>400</v>
      </c>
      <c r="CJ49" t="s">
        <v>207</v>
      </c>
      <c r="CK49" t="s">
        <v>207</v>
      </c>
      <c r="CL49">
        <v>1</v>
      </c>
      <c r="CM49" t="s">
        <v>207</v>
      </c>
      <c r="CN49" t="s">
        <v>207</v>
      </c>
      <c r="CO49">
        <v>0.50010001659393299</v>
      </c>
      <c r="CP49">
        <v>0</v>
      </c>
      <c r="CQ49">
        <v>10</v>
      </c>
      <c r="CR49" s="105">
        <v>36188</v>
      </c>
      <c r="CS49">
        <v>65</v>
      </c>
      <c r="CT49" s="106">
        <v>43648</v>
      </c>
      <c r="CU49" t="s">
        <v>207</v>
      </c>
      <c r="CV49" t="s">
        <v>207</v>
      </c>
      <c r="CW49" t="s">
        <v>207</v>
      </c>
    </row>
    <row r="50" spans="1:101" x14ac:dyDescent="0.2">
      <c r="A50">
        <v>56033</v>
      </c>
      <c r="B50" t="s">
        <v>43</v>
      </c>
      <c r="C50" t="s">
        <v>682</v>
      </c>
      <c r="D50">
        <v>33784</v>
      </c>
      <c r="E50" t="s">
        <v>628</v>
      </c>
      <c r="F50" t="s">
        <v>207</v>
      </c>
      <c r="G50" t="s">
        <v>207</v>
      </c>
      <c r="H50" t="s">
        <v>207</v>
      </c>
      <c r="I50" t="s">
        <v>207</v>
      </c>
      <c r="J50" t="s">
        <v>207</v>
      </c>
      <c r="K50">
        <v>751</v>
      </c>
      <c r="L50" t="s">
        <v>207</v>
      </c>
      <c r="M50">
        <v>8498</v>
      </c>
      <c r="N50" t="s">
        <v>207</v>
      </c>
      <c r="O50" t="s">
        <v>207</v>
      </c>
      <c r="P50" t="s">
        <v>391</v>
      </c>
      <c r="Q50" t="s">
        <v>207</v>
      </c>
      <c r="R50" t="s">
        <v>207</v>
      </c>
      <c r="S50">
        <v>0</v>
      </c>
      <c r="T50">
        <v>1</v>
      </c>
      <c r="U50">
        <v>0</v>
      </c>
      <c r="V50">
        <v>0</v>
      </c>
      <c r="W50" t="s">
        <v>114</v>
      </c>
      <c r="X50" t="s">
        <v>207</v>
      </c>
      <c r="Y50" t="s">
        <v>207</v>
      </c>
      <c r="Z50" t="s">
        <v>207</v>
      </c>
      <c r="AA50" t="s">
        <v>207</v>
      </c>
      <c r="AB50" t="s">
        <v>207</v>
      </c>
      <c r="AC50" t="s">
        <v>207</v>
      </c>
      <c r="AD50" t="s">
        <v>207</v>
      </c>
      <c r="AE50" t="s">
        <v>207</v>
      </c>
      <c r="AF50" t="s">
        <v>207</v>
      </c>
      <c r="AG50" t="s">
        <v>207</v>
      </c>
      <c r="AH50" t="s">
        <v>207</v>
      </c>
      <c r="AI50" t="s">
        <v>207</v>
      </c>
      <c r="AJ50" t="s">
        <v>207</v>
      </c>
      <c r="AK50" t="s">
        <v>207</v>
      </c>
      <c r="AL50">
        <v>47.12</v>
      </c>
      <c r="AM50">
        <v>25.100000381469702</v>
      </c>
      <c r="AN50" t="s">
        <v>470</v>
      </c>
      <c r="AO50" t="s">
        <v>207</v>
      </c>
      <c r="AP50" t="s">
        <v>207</v>
      </c>
      <c r="AQ50">
        <v>108468</v>
      </c>
      <c r="AR50">
        <v>20.700000762939499</v>
      </c>
      <c r="AS50" t="s">
        <v>392</v>
      </c>
      <c r="AT50" t="s">
        <v>207</v>
      </c>
      <c r="AU50" t="s">
        <v>207</v>
      </c>
      <c r="AV50">
        <v>35840</v>
      </c>
      <c r="AW50" t="s">
        <v>207</v>
      </c>
      <c r="AX50" t="s">
        <v>207</v>
      </c>
      <c r="AY50" t="s">
        <v>207</v>
      </c>
      <c r="AZ50" t="s">
        <v>207</v>
      </c>
      <c r="BA50" t="s">
        <v>207</v>
      </c>
      <c r="BB50" t="s">
        <v>207</v>
      </c>
      <c r="BC50" t="s">
        <v>207</v>
      </c>
      <c r="BD50" t="s">
        <v>207</v>
      </c>
      <c r="BE50" t="s">
        <v>207</v>
      </c>
      <c r="BF50" t="s">
        <v>423</v>
      </c>
      <c r="BG50" t="s">
        <v>207</v>
      </c>
      <c r="BH50" t="s">
        <v>207</v>
      </c>
      <c r="BI50" t="s">
        <v>207</v>
      </c>
      <c r="BJ50" t="s">
        <v>207</v>
      </c>
      <c r="BK50" t="s">
        <v>207</v>
      </c>
      <c r="BL50" t="s">
        <v>207</v>
      </c>
      <c r="BM50">
        <v>0</v>
      </c>
      <c r="BN50">
        <v>0</v>
      </c>
      <c r="BO50">
        <v>0</v>
      </c>
      <c r="BP50">
        <v>0</v>
      </c>
      <c r="BQ50">
        <v>0</v>
      </c>
      <c r="BR50">
        <v>0</v>
      </c>
      <c r="BS50">
        <v>0</v>
      </c>
      <c r="BT50">
        <v>0</v>
      </c>
      <c r="BU50">
        <v>0</v>
      </c>
      <c r="BV50">
        <v>0</v>
      </c>
      <c r="BW50" t="s">
        <v>396</v>
      </c>
      <c r="BX50" t="s">
        <v>207</v>
      </c>
      <c r="BY50" t="s">
        <v>207</v>
      </c>
      <c r="BZ50" t="s">
        <v>396</v>
      </c>
      <c r="CA50" t="s">
        <v>207</v>
      </c>
      <c r="CB50" t="s">
        <v>396</v>
      </c>
      <c r="CC50" t="s">
        <v>207</v>
      </c>
      <c r="CD50" t="s">
        <v>207</v>
      </c>
      <c r="CE50">
        <v>0</v>
      </c>
      <c r="CF50" t="s">
        <v>207</v>
      </c>
      <c r="CG50" t="s">
        <v>399</v>
      </c>
      <c r="CH50" t="s">
        <v>207</v>
      </c>
      <c r="CI50" t="s">
        <v>400</v>
      </c>
      <c r="CJ50" t="s">
        <v>207</v>
      </c>
      <c r="CK50" t="s">
        <v>207</v>
      </c>
      <c r="CL50">
        <v>1</v>
      </c>
      <c r="CM50" t="s">
        <v>207</v>
      </c>
      <c r="CN50" t="s">
        <v>207</v>
      </c>
      <c r="CO50">
        <v>0.531199991703033</v>
      </c>
      <c r="CP50">
        <v>0</v>
      </c>
      <c r="CQ50">
        <v>10</v>
      </c>
      <c r="CR50" s="105">
        <v>36634</v>
      </c>
      <c r="CS50">
        <v>65</v>
      </c>
      <c r="CT50" s="106">
        <v>43215</v>
      </c>
      <c r="CU50" t="s">
        <v>207</v>
      </c>
      <c r="CV50" t="s">
        <v>207</v>
      </c>
      <c r="CW50" t="s">
        <v>207</v>
      </c>
    </row>
    <row r="51" spans="1:101" x14ac:dyDescent="0.2">
      <c r="A51">
        <v>52976</v>
      </c>
      <c r="B51" t="s">
        <v>35</v>
      </c>
      <c r="C51" t="s">
        <v>683</v>
      </c>
      <c r="D51">
        <v>58032</v>
      </c>
      <c r="E51" t="s">
        <v>684</v>
      </c>
      <c r="F51" t="s">
        <v>207</v>
      </c>
      <c r="G51" t="s">
        <v>685</v>
      </c>
      <c r="H51" t="s">
        <v>207</v>
      </c>
      <c r="I51" t="s">
        <v>207</v>
      </c>
      <c r="J51" t="s">
        <v>207</v>
      </c>
      <c r="K51">
        <v>130</v>
      </c>
      <c r="L51" t="s">
        <v>207</v>
      </c>
      <c r="M51">
        <v>9958</v>
      </c>
      <c r="N51" t="s">
        <v>207</v>
      </c>
      <c r="O51" t="s">
        <v>205</v>
      </c>
      <c r="P51" t="s">
        <v>391</v>
      </c>
      <c r="Q51" t="s">
        <v>207</v>
      </c>
      <c r="R51" t="s">
        <v>207</v>
      </c>
      <c r="S51">
        <v>0</v>
      </c>
      <c r="T51">
        <v>1</v>
      </c>
      <c r="U51">
        <v>0</v>
      </c>
      <c r="V51">
        <v>0</v>
      </c>
      <c r="W51" t="s">
        <v>126</v>
      </c>
      <c r="X51" t="s">
        <v>207</v>
      </c>
      <c r="Y51" t="s">
        <v>207</v>
      </c>
      <c r="Z51" t="s">
        <v>207</v>
      </c>
      <c r="AA51" t="s">
        <v>207</v>
      </c>
      <c r="AB51" t="s">
        <v>207</v>
      </c>
      <c r="AC51" t="s">
        <v>207</v>
      </c>
      <c r="AD51" t="s">
        <v>207</v>
      </c>
      <c r="AE51" t="s">
        <v>207</v>
      </c>
      <c r="AF51" t="s">
        <v>207</v>
      </c>
      <c r="AG51" t="s">
        <v>207</v>
      </c>
      <c r="AH51" t="s">
        <v>207</v>
      </c>
      <c r="AI51" t="s">
        <v>207</v>
      </c>
      <c r="AJ51" t="s">
        <v>207</v>
      </c>
      <c r="AK51" t="s">
        <v>207</v>
      </c>
      <c r="AL51">
        <v>56.33</v>
      </c>
      <c r="AM51">
        <v>54.200000762939503</v>
      </c>
      <c r="AN51" t="s">
        <v>392</v>
      </c>
      <c r="AO51" t="s">
        <v>207</v>
      </c>
      <c r="AP51" t="s">
        <v>207</v>
      </c>
      <c r="AQ51">
        <v>115182</v>
      </c>
      <c r="AR51">
        <v>7.6999998092651403</v>
      </c>
      <c r="AS51" t="s">
        <v>470</v>
      </c>
      <c r="AT51" t="s">
        <v>207</v>
      </c>
      <c r="AU51" t="s">
        <v>207</v>
      </c>
      <c r="AV51">
        <v>35840</v>
      </c>
      <c r="AW51">
        <v>388.29998779296898</v>
      </c>
      <c r="AX51" t="s">
        <v>207</v>
      </c>
      <c r="AY51">
        <v>115182</v>
      </c>
      <c r="AZ51" t="s">
        <v>207</v>
      </c>
      <c r="BA51" t="s">
        <v>207</v>
      </c>
      <c r="BB51" t="s">
        <v>207</v>
      </c>
      <c r="BC51" t="s">
        <v>207</v>
      </c>
      <c r="BD51">
        <v>89718</v>
      </c>
      <c r="BE51" t="s">
        <v>397</v>
      </c>
      <c r="BF51" t="s">
        <v>423</v>
      </c>
      <c r="BG51" t="s">
        <v>207</v>
      </c>
      <c r="BH51" t="s">
        <v>207</v>
      </c>
      <c r="BI51" t="s">
        <v>207</v>
      </c>
      <c r="BJ51" t="s">
        <v>207</v>
      </c>
      <c r="BK51" t="s">
        <v>207</v>
      </c>
      <c r="BL51" t="s">
        <v>207</v>
      </c>
      <c r="BM51">
        <v>0</v>
      </c>
      <c r="BN51">
        <v>0</v>
      </c>
      <c r="BO51">
        <v>0</v>
      </c>
      <c r="BP51">
        <v>0</v>
      </c>
      <c r="BQ51">
        <v>0</v>
      </c>
      <c r="BR51">
        <v>0</v>
      </c>
      <c r="BS51">
        <v>0</v>
      </c>
      <c r="BT51">
        <v>0</v>
      </c>
      <c r="BU51">
        <v>0</v>
      </c>
      <c r="BV51">
        <v>0</v>
      </c>
      <c r="BW51" t="s">
        <v>396</v>
      </c>
      <c r="BX51" t="s">
        <v>207</v>
      </c>
      <c r="BY51" t="s">
        <v>207</v>
      </c>
      <c r="BZ51" t="s">
        <v>396</v>
      </c>
      <c r="CA51" t="s">
        <v>207</v>
      </c>
      <c r="CB51" t="s">
        <v>396</v>
      </c>
      <c r="CC51" t="s">
        <v>207</v>
      </c>
      <c r="CD51" t="s">
        <v>207</v>
      </c>
      <c r="CE51">
        <v>0</v>
      </c>
      <c r="CF51" t="s">
        <v>207</v>
      </c>
      <c r="CG51" t="s">
        <v>399</v>
      </c>
      <c r="CH51" t="s">
        <v>207</v>
      </c>
      <c r="CI51" t="s">
        <v>400</v>
      </c>
      <c r="CJ51" t="s">
        <v>207</v>
      </c>
      <c r="CK51" t="s">
        <v>207</v>
      </c>
      <c r="CL51">
        <v>1</v>
      </c>
      <c r="CM51" t="s">
        <v>686</v>
      </c>
      <c r="CN51" t="s">
        <v>207</v>
      </c>
      <c r="CO51">
        <v>0.5</v>
      </c>
      <c r="CP51">
        <v>0</v>
      </c>
      <c r="CQ51">
        <v>97</v>
      </c>
      <c r="CR51" s="105">
        <v>36326</v>
      </c>
      <c r="CS51">
        <v>65</v>
      </c>
      <c r="CT51" s="106">
        <v>42934</v>
      </c>
      <c r="CU51">
        <v>10</v>
      </c>
      <c r="CV51" s="106">
        <v>37932</v>
      </c>
      <c r="CW51" t="s">
        <v>207</v>
      </c>
    </row>
    <row r="52" spans="1:101" x14ac:dyDescent="0.2">
      <c r="A52">
        <v>62957</v>
      </c>
      <c r="B52" t="s">
        <v>85</v>
      </c>
      <c r="C52" t="s">
        <v>687</v>
      </c>
      <c r="D52">
        <v>57680</v>
      </c>
      <c r="E52" t="s">
        <v>688</v>
      </c>
      <c r="F52" t="s">
        <v>207</v>
      </c>
      <c r="G52" t="s">
        <v>207</v>
      </c>
      <c r="H52" t="s">
        <v>207</v>
      </c>
      <c r="I52" t="s">
        <v>207</v>
      </c>
      <c r="J52" t="s">
        <v>207</v>
      </c>
      <c r="K52">
        <v>692</v>
      </c>
      <c r="L52" t="s">
        <v>207</v>
      </c>
      <c r="M52">
        <v>240</v>
      </c>
      <c r="N52" t="s">
        <v>207</v>
      </c>
      <c r="O52" t="s">
        <v>205</v>
      </c>
      <c r="P52" t="s">
        <v>391</v>
      </c>
      <c r="Q52" t="s">
        <v>207</v>
      </c>
      <c r="R52" t="s">
        <v>207</v>
      </c>
      <c r="S52">
        <v>0</v>
      </c>
      <c r="T52">
        <v>1</v>
      </c>
      <c r="U52">
        <v>0</v>
      </c>
      <c r="V52">
        <v>0</v>
      </c>
      <c r="W52" t="s">
        <v>126</v>
      </c>
      <c r="X52" t="s">
        <v>207</v>
      </c>
      <c r="Y52" t="s">
        <v>207</v>
      </c>
      <c r="Z52" t="s">
        <v>207</v>
      </c>
      <c r="AA52" t="s">
        <v>207</v>
      </c>
      <c r="AB52" t="s">
        <v>207</v>
      </c>
      <c r="AC52" t="s">
        <v>207</v>
      </c>
      <c r="AD52" t="s">
        <v>207</v>
      </c>
      <c r="AE52" t="s">
        <v>207</v>
      </c>
      <c r="AF52" t="s">
        <v>207</v>
      </c>
      <c r="AG52" t="s">
        <v>207</v>
      </c>
      <c r="AH52" t="s">
        <v>207</v>
      </c>
      <c r="AI52" t="s">
        <v>207</v>
      </c>
      <c r="AJ52" t="s">
        <v>207</v>
      </c>
      <c r="AK52" t="s">
        <v>207</v>
      </c>
      <c r="AL52">
        <v>14.21</v>
      </c>
      <c r="AM52">
        <v>5.5999999046325701</v>
      </c>
      <c r="AN52" t="s">
        <v>470</v>
      </c>
      <c r="AO52" t="s">
        <v>207</v>
      </c>
      <c r="AP52" t="s">
        <v>207</v>
      </c>
      <c r="AQ52">
        <v>57680</v>
      </c>
      <c r="AR52" t="s">
        <v>207</v>
      </c>
      <c r="AS52" t="s">
        <v>207</v>
      </c>
      <c r="AT52" t="s">
        <v>207</v>
      </c>
      <c r="AU52" t="s">
        <v>207</v>
      </c>
      <c r="AV52" t="s">
        <v>207</v>
      </c>
      <c r="AW52" t="s">
        <v>207</v>
      </c>
      <c r="AX52" t="s">
        <v>207</v>
      </c>
      <c r="AY52" t="s">
        <v>207</v>
      </c>
      <c r="AZ52" t="s">
        <v>207</v>
      </c>
      <c r="BA52" t="s">
        <v>207</v>
      </c>
      <c r="BB52" t="s">
        <v>207</v>
      </c>
      <c r="BC52" t="s">
        <v>207</v>
      </c>
      <c r="BD52" t="s">
        <v>207</v>
      </c>
      <c r="BE52" t="s">
        <v>207</v>
      </c>
      <c r="BF52" t="s">
        <v>423</v>
      </c>
      <c r="BG52" t="s">
        <v>207</v>
      </c>
      <c r="BH52" t="s">
        <v>207</v>
      </c>
      <c r="BI52" t="s">
        <v>207</v>
      </c>
      <c r="BJ52" t="s">
        <v>207</v>
      </c>
      <c r="BK52" t="s">
        <v>207</v>
      </c>
      <c r="BL52" t="s">
        <v>207</v>
      </c>
      <c r="BM52">
        <v>0</v>
      </c>
      <c r="BN52">
        <v>0</v>
      </c>
      <c r="BO52">
        <v>0</v>
      </c>
      <c r="BP52">
        <v>0</v>
      </c>
      <c r="BQ52">
        <v>0</v>
      </c>
      <c r="BR52">
        <v>0</v>
      </c>
      <c r="BS52">
        <v>0</v>
      </c>
      <c r="BT52">
        <v>0</v>
      </c>
      <c r="BU52">
        <v>0</v>
      </c>
      <c r="BV52">
        <v>0</v>
      </c>
      <c r="BW52" t="s">
        <v>396</v>
      </c>
      <c r="BX52" t="s">
        <v>207</v>
      </c>
      <c r="BY52" t="s">
        <v>207</v>
      </c>
      <c r="BZ52" t="s">
        <v>396</v>
      </c>
      <c r="CA52" t="s">
        <v>207</v>
      </c>
      <c r="CB52" t="s">
        <v>396</v>
      </c>
      <c r="CC52" t="s">
        <v>207</v>
      </c>
      <c r="CD52" t="s">
        <v>207</v>
      </c>
      <c r="CE52">
        <v>0</v>
      </c>
      <c r="CF52" t="s">
        <v>207</v>
      </c>
      <c r="CG52" t="s">
        <v>399</v>
      </c>
      <c r="CH52" t="s">
        <v>207</v>
      </c>
      <c r="CI52" t="s">
        <v>400</v>
      </c>
      <c r="CJ52" t="s">
        <v>207</v>
      </c>
      <c r="CK52" t="s">
        <v>207</v>
      </c>
      <c r="CL52">
        <v>1</v>
      </c>
      <c r="CM52" t="s">
        <v>689</v>
      </c>
      <c r="CN52" t="s">
        <v>207</v>
      </c>
      <c r="CO52">
        <v>0.5</v>
      </c>
      <c r="CP52">
        <v>0</v>
      </c>
      <c r="CQ52">
        <v>10</v>
      </c>
      <c r="CR52" s="105">
        <v>39042</v>
      </c>
      <c r="CS52">
        <v>303</v>
      </c>
      <c r="CT52" s="106">
        <v>41213</v>
      </c>
      <c r="CU52" t="s">
        <v>207</v>
      </c>
      <c r="CV52" t="s">
        <v>207</v>
      </c>
      <c r="CW52" t="s">
        <v>207</v>
      </c>
    </row>
    <row r="53" spans="1:101" x14ac:dyDescent="0.2">
      <c r="A53">
        <v>12304</v>
      </c>
      <c r="B53" t="s">
        <v>48</v>
      </c>
      <c r="C53" t="s">
        <v>690</v>
      </c>
      <c r="D53">
        <v>4537</v>
      </c>
      <c r="E53" t="s">
        <v>679</v>
      </c>
      <c r="F53" t="s">
        <v>691</v>
      </c>
      <c r="G53" t="s">
        <v>692</v>
      </c>
      <c r="H53" t="s">
        <v>207</v>
      </c>
      <c r="I53" t="s">
        <v>207</v>
      </c>
      <c r="J53" t="s">
        <v>207</v>
      </c>
      <c r="K53">
        <v>125</v>
      </c>
      <c r="L53" t="s">
        <v>693</v>
      </c>
      <c r="M53">
        <v>2532</v>
      </c>
      <c r="N53" t="s">
        <v>207</v>
      </c>
      <c r="O53" t="s">
        <v>250</v>
      </c>
      <c r="P53" t="s">
        <v>391</v>
      </c>
      <c r="Q53" t="s">
        <v>207</v>
      </c>
      <c r="R53" t="s">
        <v>207</v>
      </c>
      <c r="S53">
        <v>0</v>
      </c>
      <c r="T53">
        <v>1</v>
      </c>
      <c r="U53">
        <v>0</v>
      </c>
      <c r="V53">
        <v>0</v>
      </c>
      <c r="W53" t="s">
        <v>126</v>
      </c>
      <c r="X53" t="s">
        <v>207</v>
      </c>
      <c r="Y53" t="s">
        <v>207</v>
      </c>
      <c r="Z53" t="s">
        <v>420</v>
      </c>
      <c r="AA53">
        <v>51243</v>
      </c>
      <c r="AB53" t="s">
        <v>207</v>
      </c>
      <c r="AC53" t="s">
        <v>207</v>
      </c>
      <c r="AD53" t="s">
        <v>207</v>
      </c>
      <c r="AE53" t="s">
        <v>207</v>
      </c>
      <c r="AF53" t="s">
        <v>207</v>
      </c>
      <c r="AG53" t="s">
        <v>207</v>
      </c>
      <c r="AH53" t="s">
        <v>207</v>
      </c>
      <c r="AI53" t="s">
        <v>207</v>
      </c>
      <c r="AJ53" t="s">
        <v>207</v>
      </c>
      <c r="AK53" t="s">
        <v>207</v>
      </c>
      <c r="AL53">
        <v>61.26</v>
      </c>
      <c r="AM53">
        <v>60</v>
      </c>
      <c r="AN53" t="s">
        <v>392</v>
      </c>
      <c r="AO53" t="s">
        <v>207</v>
      </c>
      <c r="AP53" t="s">
        <v>207</v>
      </c>
      <c r="AQ53">
        <v>12468</v>
      </c>
      <c r="AR53">
        <v>22</v>
      </c>
      <c r="AS53" t="s">
        <v>470</v>
      </c>
      <c r="AT53" t="s">
        <v>207</v>
      </c>
      <c r="AU53" t="s">
        <v>207</v>
      </c>
      <c r="AV53">
        <v>35840</v>
      </c>
      <c r="AW53" t="s">
        <v>207</v>
      </c>
      <c r="AX53" t="s">
        <v>207</v>
      </c>
      <c r="AY53" t="s">
        <v>207</v>
      </c>
      <c r="AZ53" t="s">
        <v>207</v>
      </c>
      <c r="BA53" t="s">
        <v>207</v>
      </c>
      <c r="BB53" t="s">
        <v>207</v>
      </c>
      <c r="BC53" t="s">
        <v>207</v>
      </c>
      <c r="BD53">
        <v>4537</v>
      </c>
      <c r="BE53" t="s">
        <v>397</v>
      </c>
      <c r="BF53" t="s">
        <v>423</v>
      </c>
      <c r="BG53" t="s">
        <v>207</v>
      </c>
      <c r="BH53" t="s">
        <v>207</v>
      </c>
      <c r="BI53" t="s">
        <v>207</v>
      </c>
      <c r="BJ53" t="s">
        <v>207</v>
      </c>
      <c r="BK53" t="s">
        <v>207</v>
      </c>
      <c r="BL53" t="s">
        <v>207</v>
      </c>
      <c r="BM53">
        <v>0</v>
      </c>
      <c r="BN53">
        <v>0</v>
      </c>
      <c r="BO53">
        <v>0</v>
      </c>
      <c r="BP53">
        <v>0</v>
      </c>
      <c r="BQ53">
        <v>0</v>
      </c>
      <c r="BR53">
        <v>0</v>
      </c>
      <c r="BS53">
        <v>0</v>
      </c>
      <c r="BT53">
        <v>0</v>
      </c>
      <c r="BU53">
        <v>0</v>
      </c>
      <c r="BV53">
        <v>0</v>
      </c>
      <c r="BW53" t="s">
        <v>397</v>
      </c>
      <c r="BX53" t="s">
        <v>207</v>
      </c>
      <c r="BY53">
        <v>4537</v>
      </c>
      <c r="BZ53" t="s">
        <v>207</v>
      </c>
      <c r="CA53" t="s">
        <v>207</v>
      </c>
      <c r="CB53" t="s">
        <v>207</v>
      </c>
      <c r="CC53" t="s">
        <v>207</v>
      </c>
      <c r="CD53" t="s">
        <v>207</v>
      </c>
      <c r="CE53">
        <v>0</v>
      </c>
      <c r="CF53" t="s">
        <v>207</v>
      </c>
      <c r="CG53" t="s">
        <v>399</v>
      </c>
      <c r="CH53" t="s">
        <v>207</v>
      </c>
      <c r="CI53" t="s">
        <v>400</v>
      </c>
      <c r="CJ53" t="s">
        <v>207</v>
      </c>
      <c r="CK53" t="s">
        <v>207</v>
      </c>
      <c r="CL53">
        <v>1</v>
      </c>
      <c r="CM53" t="s">
        <v>207</v>
      </c>
      <c r="CN53" t="s">
        <v>207</v>
      </c>
      <c r="CO53">
        <v>1</v>
      </c>
      <c r="CP53">
        <v>0</v>
      </c>
      <c r="CQ53">
        <v>3</v>
      </c>
      <c r="CR53" s="105">
        <v>34558</v>
      </c>
      <c r="CS53">
        <v>303</v>
      </c>
      <c r="CT53" s="106">
        <v>40652</v>
      </c>
      <c r="CU53" t="s">
        <v>207</v>
      </c>
      <c r="CV53" t="s">
        <v>207</v>
      </c>
      <c r="CW53" t="s">
        <v>207</v>
      </c>
    </row>
    <row r="54" spans="1:101" x14ac:dyDescent="0.2">
      <c r="A54">
        <v>15825</v>
      </c>
      <c r="B54" t="s">
        <v>68</v>
      </c>
      <c r="C54" t="s">
        <v>694</v>
      </c>
      <c r="D54">
        <v>559</v>
      </c>
      <c r="E54" t="s">
        <v>695</v>
      </c>
      <c r="F54" t="s">
        <v>207</v>
      </c>
      <c r="G54" t="s">
        <v>696</v>
      </c>
      <c r="H54" t="s">
        <v>207</v>
      </c>
      <c r="I54" t="s">
        <v>207</v>
      </c>
      <c r="J54" t="s">
        <v>207</v>
      </c>
      <c r="K54">
        <v>405</v>
      </c>
      <c r="L54" t="s">
        <v>697</v>
      </c>
      <c r="M54">
        <v>7359</v>
      </c>
      <c r="N54" t="s">
        <v>207</v>
      </c>
      <c r="O54" t="s">
        <v>250</v>
      </c>
      <c r="P54" t="s">
        <v>391</v>
      </c>
      <c r="Q54" t="s">
        <v>207</v>
      </c>
      <c r="R54" t="s">
        <v>698</v>
      </c>
      <c r="S54">
        <v>1</v>
      </c>
      <c r="T54">
        <v>1</v>
      </c>
      <c r="U54">
        <v>1</v>
      </c>
      <c r="V54">
        <v>1</v>
      </c>
      <c r="W54" t="s">
        <v>126</v>
      </c>
      <c r="X54" t="s">
        <v>207</v>
      </c>
      <c r="Y54" t="s">
        <v>207</v>
      </c>
      <c r="Z54" t="s">
        <v>408</v>
      </c>
      <c r="AA54">
        <v>51243</v>
      </c>
      <c r="AB54" t="s">
        <v>207</v>
      </c>
      <c r="AC54" t="s">
        <v>207</v>
      </c>
      <c r="AD54" t="s">
        <v>207</v>
      </c>
      <c r="AE54" t="s">
        <v>207</v>
      </c>
      <c r="AF54" t="s">
        <v>207</v>
      </c>
      <c r="AG54" t="s">
        <v>207</v>
      </c>
      <c r="AH54" t="s">
        <v>207</v>
      </c>
      <c r="AI54" t="s">
        <v>207</v>
      </c>
      <c r="AJ54" t="s">
        <v>207</v>
      </c>
      <c r="AK54" t="s">
        <v>207</v>
      </c>
      <c r="AL54">
        <v>13.75</v>
      </c>
      <c r="AM54">
        <v>12.1000003814697</v>
      </c>
      <c r="AN54" t="s">
        <v>392</v>
      </c>
      <c r="AO54" t="s">
        <v>207</v>
      </c>
      <c r="AP54" t="s">
        <v>207</v>
      </c>
      <c r="AQ54">
        <v>114983</v>
      </c>
      <c r="AR54">
        <v>7.5</v>
      </c>
      <c r="AS54" t="s">
        <v>470</v>
      </c>
      <c r="AT54" t="s">
        <v>207</v>
      </c>
      <c r="AU54" t="s">
        <v>207</v>
      </c>
      <c r="AV54">
        <v>35840</v>
      </c>
      <c r="AW54">
        <v>14.8999996185303</v>
      </c>
      <c r="AX54" t="s">
        <v>207</v>
      </c>
      <c r="AY54">
        <v>114983</v>
      </c>
      <c r="AZ54" t="s">
        <v>699</v>
      </c>
      <c r="BA54" t="s">
        <v>207</v>
      </c>
      <c r="BB54" t="s">
        <v>207</v>
      </c>
      <c r="BC54" t="s">
        <v>207</v>
      </c>
      <c r="BD54">
        <v>559</v>
      </c>
      <c r="BE54" t="s">
        <v>519</v>
      </c>
      <c r="BF54" t="s">
        <v>393</v>
      </c>
      <c r="BG54" t="s">
        <v>409</v>
      </c>
      <c r="BH54" t="s">
        <v>207</v>
      </c>
      <c r="BI54" t="s">
        <v>207</v>
      </c>
      <c r="BJ54" t="s">
        <v>207</v>
      </c>
      <c r="BK54" t="s">
        <v>207</v>
      </c>
      <c r="BL54" t="s">
        <v>207</v>
      </c>
      <c r="BM54">
        <v>0</v>
      </c>
      <c r="BN54">
        <v>0</v>
      </c>
      <c r="BO54">
        <v>0</v>
      </c>
      <c r="BP54">
        <v>1</v>
      </c>
      <c r="BQ54">
        <v>0</v>
      </c>
      <c r="BR54">
        <v>0</v>
      </c>
      <c r="BS54">
        <v>0</v>
      </c>
      <c r="BT54">
        <v>0</v>
      </c>
      <c r="BU54">
        <v>0</v>
      </c>
      <c r="BV54">
        <v>0</v>
      </c>
      <c r="BW54" t="s">
        <v>396</v>
      </c>
      <c r="BX54" t="s">
        <v>207</v>
      </c>
      <c r="BY54" t="s">
        <v>207</v>
      </c>
      <c r="BZ54" t="s">
        <v>396</v>
      </c>
      <c r="CA54" t="s">
        <v>207</v>
      </c>
      <c r="CB54" t="s">
        <v>396</v>
      </c>
      <c r="CC54" t="s">
        <v>207</v>
      </c>
      <c r="CD54" t="s">
        <v>207</v>
      </c>
      <c r="CE54">
        <v>0</v>
      </c>
      <c r="CF54" t="s">
        <v>207</v>
      </c>
      <c r="CG54" t="s">
        <v>399</v>
      </c>
      <c r="CH54" t="s">
        <v>207</v>
      </c>
      <c r="CI54" t="s">
        <v>400</v>
      </c>
      <c r="CJ54" t="s">
        <v>207</v>
      </c>
      <c r="CK54" t="s">
        <v>207</v>
      </c>
      <c r="CL54">
        <v>1</v>
      </c>
      <c r="CM54" t="s">
        <v>700</v>
      </c>
      <c r="CN54" t="s">
        <v>207</v>
      </c>
      <c r="CO54">
        <v>0.5</v>
      </c>
      <c r="CP54">
        <v>0</v>
      </c>
      <c r="CQ54">
        <v>1</v>
      </c>
      <c r="CR54" s="105">
        <v>35030</v>
      </c>
      <c r="CS54">
        <v>65</v>
      </c>
      <c r="CT54" s="106">
        <v>42930</v>
      </c>
      <c r="CU54" t="s">
        <v>207</v>
      </c>
      <c r="CV54" t="s">
        <v>207</v>
      </c>
      <c r="CW54" t="s">
        <v>207</v>
      </c>
    </row>
    <row r="55" spans="1:101" x14ac:dyDescent="0.2">
      <c r="A55">
        <v>4799</v>
      </c>
      <c r="B55" t="s">
        <v>18</v>
      </c>
      <c r="C55" t="s">
        <v>701</v>
      </c>
      <c r="D55">
        <v>82587</v>
      </c>
      <c r="E55" t="s">
        <v>702</v>
      </c>
      <c r="F55" t="s">
        <v>703</v>
      </c>
      <c r="G55" t="s">
        <v>704</v>
      </c>
      <c r="H55" t="s">
        <v>207</v>
      </c>
      <c r="I55" t="s">
        <v>207</v>
      </c>
      <c r="J55" t="s">
        <v>207</v>
      </c>
      <c r="K55">
        <v>431</v>
      </c>
      <c r="L55" t="s">
        <v>207</v>
      </c>
      <c r="M55">
        <v>7138</v>
      </c>
      <c r="N55" t="s">
        <v>207</v>
      </c>
      <c r="O55" t="s">
        <v>205</v>
      </c>
      <c r="P55" t="s">
        <v>391</v>
      </c>
      <c r="Q55" t="s">
        <v>207</v>
      </c>
      <c r="R55" t="s">
        <v>207</v>
      </c>
      <c r="S55">
        <v>0</v>
      </c>
      <c r="T55">
        <v>1</v>
      </c>
      <c r="U55">
        <v>0</v>
      </c>
      <c r="V55">
        <v>0</v>
      </c>
      <c r="W55" t="s">
        <v>114</v>
      </c>
      <c r="X55" t="s">
        <v>207</v>
      </c>
      <c r="Y55" t="s">
        <v>207</v>
      </c>
      <c r="Z55" t="s">
        <v>207</v>
      </c>
      <c r="AA55" t="s">
        <v>207</v>
      </c>
      <c r="AB55" t="s">
        <v>207</v>
      </c>
      <c r="AC55" t="s">
        <v>207</v>
      </c>
      <c r="AD55" t="s">
        <v>207</v>
      </c>
      <c r="AE55" t="s">
        <v>207</v>
      </c>
      <c r="AF55" t="s">
        <v>207</v>
      </c>
      <c r="AG55" t="s">
        <v>207</v>
      </c>
      <c r="AH55" t="s">
        <v>207</v>
      </c>
      <c r="AI55" t="s">
        <v>207</v>
      </c>
      <c r="AJ55" t="s">
        <v>207</v>
      </c>
      <c r="AK55" t="s">
        <v>207</v>
      </c>
      <c r="AL55">
        <v>62.19</v>
      </c>
      <c r="AM55">
        <v>100</v>
      </c>
      <c r="AN55" t="s">
        <v>392</v>
      </c>
      <c r="AO55" t="s">
        <v>207</v>
      </c>
      <c r="AP55" t="s">
        <v>207</v>
      </c>
      <c r="AQ55">
        <v>56557</v>
      </c>
      <c r="AR55" t="s">
        <v>207</v>
      </c>
      <c r="AS55" t="s">
        <v>207</v>
      </c>
      <c r="AT55" t="s">
        <v>207</v>
      </c>
      <c r="AU55" t="s">
        <v>207</v>
      </c>
      <c r="AV55" t="s">
        <v>207</v>
      </c>
      <c r="AW55">
        <v>8000</v>
      </c>
      <c r="AX55" t="s">
        <v>207</v>
      </c>
      <c r="AY55">
        <v>56557</v>
      </c>
      <c r="AZ55" t="s">
        <v>207</v>
      </c>
      <c r="BA55" t="s">
        <v>207</v>
      </c>
      <c r="BB55" t="s">
        <v>207</v>
      </c>
      <c r="BC55" t="s">
        <v>207</v>
      </c>
      <c r="BD55">
        <v>2058</v>
      </c>
      <c r="BE55" t="s">
        <v>397</v>
      </c>
      <c r="BF55" t="s">
        <v>423</v>
      </c>
      <c r="BG55" t="s">
        <v>207</v>
      </c>
      <c r="BH55" t="s">
        <v>207</v>
      </c>
      <c r="BI55" t="s">
        <v>411</v>
      </c>
      <c r="BJ55" t="s">
        <v>207</v>
      </c>
      <c r="BK55" t="s">
        <v>411</v>
      </c>
      <c r="BL55" t="s">
        <v>411</v>
      </c>
      <c r="BM55">
        <v>0</v>
      </c>
      <c r="BN55">
        <v>0</v>
      </c>
      <c r="BO55">
        <v>0</v>
      </c>
      <c r="BP55">
        <v>0</v>
      </c>
      <c r="BQ55">
        <v>0</v>
      </c>
      <c r="BR55">
        <v>0</v>
      </c>
      <c r="BS55">
        <v>0</v>
      </c>
      <c r="BT55">
        <v>0</v>
      </c>
      <c r="BU55">
        <v>0</v>
      </c>
      <c r="BV55">
        <v>0</v>
      </c>
      <c r="BW55" t="s">
        <v>397</v>
      </c>
      <c r="BX55" t="s">
        <v>411</v>
      </c>
      <c r="BY55">
        <v>12108</v>
      </c>
      <c r="BZ55" t="s">
        <v>396</v>
      </c>
      <c r="CA55" t="s">
        <v>207</v>
      </c>
      <c r="CB55" t="s">
        <v>438</v>
      </c>
      <c r="CC55" t="s">
        <v>398</v>
      </c>
      <c r="CD55">
        <v>2060</v>
      </c>
      <c r="CE55">
        <v>0</v>
      </c>
      <c r="CF55" t="s">
        <v>207</v>
      </c>
      <c r="CG55" t="s">
        <v>413</v>
      </c>
      <c r="CH55">
        <v>45309</v>
      </c>
      <c r="CI55" t="s">
        <v>400</v>
      </c>
      <c r="CJ55" t="s">
        <v>207</v>
      </c>
      <c r="CK55" t="s">
        <v>207</v>
      </c>
      <c r="CL55">
        <v>1</v>
      </c>
      <c r="CM55" t="s">
        <v>705</v>
      </c>
      <c r="CN55" t="s">
        <v>207</v>
      </c>
      <c r="CO55">
        <v>0.5</v>
      </c>
      <c r="CP55">
        <v>0</v>
      </c>
      <c r="CQ55">
        <v>2</v>
      </c>
      <c r="CR55" s="105">
        <v>33581</v>
      </c>
      <c r="CS55">
        <v>10</v>
      </c>
      <c r="CT55" s="106">
        <v>41856</v>
      </c>
      <c r="CU55">
        <v>97</v>
      </c>
      <c r="CV55" s="106">
        <v>37630</v>
      </c>
      <c r="CW55" t="s">
        <v>207</v>
      </c>
    </row>
    <row r="56" spans="1:101" x14ac:dyDescent="0.2">
      <c r="A56">
        <v>3016</v>
      </c>
      <c r="B56" t="s">
        <v>45</v>
      </c>
      <c r="C56" t="s">
        <v>706</v>
      </c>
      <c r="D56">
        <v>4832</v>
      </c>
      <c r="E56" t="s">
        <v>702</v>
      </c>
      <c r="F56" t="s">
        <v>707</v>
      </c>
      <c r="G56" t="s">
        <v>708</v>
      </c>
      <c r="H56" t="s">
        <v>207</v>
      </c>
      <c r="I56" t="s">
        <v>207</v>
      </c>
      <c r="J56" t="s">
        <v>207</v>
      </c>
      <c r="K56">
        <v>127</v>
      </c>
      <c r="L56" t="s">
        <v>207</v>
      </c>
      <c r="M56">
        <v>9735</v>
      </c>
      <c r="N56" t="s">
        <v>207</v>
      </c>
      <c r="O56" t="s">
        <v>205</v>
      </c>
      <c r="P56" t="s">
        <v>391</v>
      </c>
      <c r="Q56" t="s">
        <v>207</v>
      </c>
      <c r="R56" t="s">
        <v>207</v>
      </c>
      <c r="S56">
        <v>0</v>
      </c>
      <c r="T56">
        <v>1</v>
      </c>
      <c r="U56">
        <v>1</v>
      </c>
      <c r="V56">
        <v>0</v>
      </c>
      <c r="W56" t="s">
        <v>126</v>
      </c>
      <c r="X56" t="s">
        <v>207</v>
      </c>
      <c r="Y56" t="s">
        <v>207</v>
      </c>
      <c r="Z56" t="s">
        <v>207</v>
      </c>
      <c r="AA56" t="s">
        <v>207</v>
      </c>
      <c r="AB56">
        <v>5</v>
      </c>
      <c r="AC56" t="s">
        <v>207</v>
      </c>
      <c r="AD56">
        <v>27732</v>
      </c>
      <c r="AE56" t="s">
        <v>207</v>
      </c>
      <c r="AF56" t="s">
        <v>207</v>
      </c>
      <c r="AG56" t="s">
        <v>207</v>
      </c>
      <c r="AH56" t="s">
        <v>207</v>
      </c>
      <c r="AI56" t="s">
        <v>207</v>
      </c>
      <c r="AJ56">
        <v>10.199999809265099</v>
      </c>
      <c r="AK56">
        <v>72462</v>
      </c>
      <c r="AL56">
        <v>31.55</v>
      </c>
      <c r="AM56">
        <v>28</v>
      </c>
      <c r="AN56" t="s">
        <v>470</v>
      </c>
      <c r="AO56" t="s">
        <v>207</v>
      </c>
      <c r="AP56" t="s">
        <v>207</v>
      </c>
      <c r="AQ56">
        <v>59043</v>
      </c>
      <c r="AR56">
        <v>15</v>
      </c>
      <c r="AS56" t="s">
        <v>392</v>
      </c>
      <c r="AT56" t="s">
        <v>207</v>
      </c>
      <c r="AU56" t="s">
        <v>207</v>
      </c>
      <c r="AV56">
        <v>12193</v>
      </c>
      <c r="AW56" t="s">
        <v>207</v>
      </c>
      <c r="AX56" t="s">
        <v>207</v>
      </c>
      <c r="AY56" t="s">
        <v>207</v>
      </c>
      <c r="AZ56" t="s">
        <v>709</v>
      </c>
      <c r="BA56" t="s">
        <v>207</v>
      </c>
      <c r="BB56" t="s">
        <v>207</v>
      </c>
      <c r="BC56" t="s">
        <v>207</v>
      </c>
      <c r="BD56">
        <v>5258</v>
      </c>
      <c r="BE56" t="s">
        <v>397</v>
      </c>
      <c r="BF56" t="s">
        <v>423</v>
      </c>
      <c r="BG56" t="s">
        <v>207</v>
      </c>
      <c r="BH56" t="s">
        <v>207</v>
      </c>
      <c r="BI56" t="s">
        <v>411</v>
      </c>
      <c r="BJ56" t="s">
        <v>207</v>
      </c>
      <c r="BK56" t="s">
        <v>411</v>
      </c>
      <c r="BL56" t="s">
        <v>411</v>
      </c>
      <c r="BM56">
        <v>0</v>
      </c>
      <c r="BN56">
        <v>0</v>
      </c>
      <c r="BO56">
        <v>0</v>
      </c>
      <c r="BP56">
        <v>0</v>
      </c>
      <c r="BQ56">
        <v>0</v>
      </c>
      <c r="BR56">
        <v>0</v>
      </c>
      <c r="BS56">
        <v>0</v>
      </c>
      <c r="BT56">
        <v>0</v>
      </c>
      <c r="BU56">
        <v>0</v>
      </c>
      <c r="BV56">
        <v>0</v>
      </c>
      <c r="BW56" t="s">
        <v>397</v>
      </c>
      <c r="BX56" t="s">
        <v>411</v>
      </c>
      <c r="BY56">
        <v>12108</v>
      </c>
      <c r="BZ56" t="s">
        <v>412</v>
      </c>
      <c r="CA56">
        <v>44091</v>
      </c>
      <c r="CB56" t="s">
        <v>397</v>
      </c>
      <c r="CC56" t="s">
        <v>398</v>
      </c>
      <c r="CD56">
        <v>2060</v>
      </c>
      <c r="CE56">
        <v>0</v>
      </c>
      <c r="CF56" t="s">
        <v>207</v>
      </c>
      <c r="CG56" t="s">
        <v>413</v>
      </c>
      <c r="CH56">
        <v>8923</v>
      </c>
      <c r="CI56" t="s">
        <v>400</v>
      </c>
      <c r="CJ56" t="s">
        <v>207</v>
      </c>
      <c r="CK56" t="s">
        <v>207</v>
      </c>
      <c r="CL56">
        <v>1</v>
      </c>
      <c r="CM56" t="s">
        <v>710</v>
      </c>
      <c r="CN56" t="s">
        <v>207</v>
      </c>
      <c r="CO56">
        <v>0.50389999151229903</v>
      </c>
      <c r="CP56">
        <v>0</v>
      </c>
      <c r="CQ56">
        <v>1</v>
      </c>
      <c r="CR56" s="105">
        <v>33359</v>
      </c>
      <c r="CS56">
        <v>14</v>
      </c>
      <c r="CT56" s="106">
        <v>43676</v>
      </c>
      <c r="CU56">
        <v>10</v>
      </c>
      <c r="CV56" s="106">
        <v>35556</v>
      </c>
      <c r="CW56" t="s">
        <v>207</v>
      </c>
    </row>
    <row r="57" spans="1:101" x14ac:dyDescent="0.2">
      <c r="A57">
        <v>3228</v>
      </c>
      <c r="B57" t="s">
        <v>102</v>
      </c>
      <c r="C57" t="s">
        <v>711</v>
      </c>
      <c r="D57">
        <v>26855</v>
      </c>
      <c r="E57" t="s">
        <v>712</v>
      </c>
      <c r="F57" t="s">
        <v>713</v>
      </c>
      <c r="G57" t="s">
        <v>714</v>
      </c>
      <c r="H57" t="s">
        <v>715</v>
      </c>
      <c r="I57" t="s">
        <v>716</v>
      </c>
      <c r="J57" t="s">
        <v>207</v>
      </c>
      <c r="K57">
        <v>216</v>
      </c>
      <c r="L57" t="s">
        <v>717</v>
      </c>
      <c r="M57">
        <v>9880</v>
      </c>
      <c r="N57" t="s">
        <v>207</v>
      </c>
      <c r="O57" t="s">
        <v>250</v>
      </c>
      <c r="P57" t="s">
        <v>391</v>
      </c>
      <c r="Q57" t="s">
        <v>207</v>
      </c>
      <c r="R57" t="s">
        <v>207</v>
      </c>
      <c r="S57">
        <v>0</v>
      </c>
      <c r="T57">
        <v>1</v>
      </c>
      <c r="U57">
        <v>1</v>
      </c>
      <c r="V57">
        <v>0</v>
      </c>
      <c r="W57" t="s">
        <v>114</v>
      </c>
      <c r="X57" t="s">
        <v>207</v>
      </c>
      <c r="Y57" t="s">
        <v>207</v>
      </c>
      <c r="Z57" t="s">
        <v>517</v>
      </c>
      <c r="AA57" t="s">
        <v>207</v>
      </c>
      <c r="AB57" t="s">
        <v>207</v>
      </c>
      <c r="AC57" t="s">
        <v>207</v>
      </c>
      <c r="AD57" t="s">
        <v>207</v>
      </c>
      <c r="AE57" t="s">
        <v>207</v>
      </c>
      <c r="AF57" t="s">
        <v>207</v>
      </c>
      <c r="AG57" t="s">
        <v>207</v>
      </c>
      <c r="AH57" t="s">
        <v>207</v>
      </c>
      <c r="AI57" t="s">
        <v>207</v>
      </c>
      <c r="AJ57" t="s">
        <v>207</v>
      </c>
      <c r="AK57" t="s">
        <v>207</v>
      </c>
      <c r="AL57">
        <v>33.130000000000003</v>
      </c>
      <c r="AM57">
        <v>5</v>
      </c>
      <c r="AN57" t="s">
        <v>470</v>
      </c>
      <c r="AO57">
        <v>6</v>
      </c>
      <c r="AP57" t="s">
        <v>470</v>
      </c>
      <c r="AQ57">
        <v>59043</v>
      </c>
      <c r="AR57">
        <v>2.75</v>
      </c>
      <c r="AS57" t="s">
        <v>392</v>
      </c>
      <c r="AT57" t="s">
        <v>207</v>
      </c>
      <c r="AU57" t="s">
        <v>207</v>
      </c>
      <c r="AV57">
        <v>12193</v>
      </c>
      <c r="AW57" t="s">
        <v>207</v>
      </c>
      <c r="AX57" t="s">
        <v>207</v>
      </c>
      <c r="AY57" t="s">
        <v>207</v>
      </c>
      <c r="AZ57" t="s">
        <v>718</v>
      </c>
      <c r="BA57" t="s">
        <v>719</v>
      </c>
      <c r="BB57" t="s">
        <v>207</v>
      </c>
      <c r="BC57" t="s">
        <v>207</v>
      </c>
      <c r="BD57">
        <v>4833</v>
      </c>
      <c r="BE57" t="s">
        <v>511</v>
      </c>
      <c r="BF57" t="s">
        <v>423</v>
      </c>
      <c r="BG57" t="s">
        <v>207</v>
      </c>
      <c r="BH57" t="s">
        <v>207</v>
      </c>
      <c r="BI57" t="s">
        <v>411</v>
      </c>
      <c r="BJ57" t="s">
        <v>207</v>
      </c>
      <c r="BK57" t="s">
        <v>395</v>
      </c>
      <c r="BL57" t="s">
        <v>411</v>
      </c>
      <c r="BM57">
        <v>1</v>
      </c>
      <c r="BN57">
        <v>0</v>
      </c>
      <c r="BO57">
        <v>0</v>
      </c>
      <c r="BP57">
        <v>0</v>
      </c>
      <c r="BQ57">
        <v>0</v>
      </c>
      <c r="BR57">
        <v>0</v>
      </c>
      <c r="BS57">
        <v>0</v>
      </c>
      <c r="BT57">
        <v>0</v>
      </c>
      <c r="BU57">
        <v>0</v>
      </c>
      <c r="BV57">
        <v>0</v>
      </c>
      <c r="BW57" t="s">
        <v>396</v>
      </c>
      <c r="BX57" t="s">
        <v>411</v>
      </c>
      <c r="BY57" t="s">
        <v>207</v>
      </c>
      <c r="BZ57" t="s">
        <v>396</v>
      </c>
      <c r="CA57" t="s">
        <v>207</v>
      </c>
      <c r="CB57" t="s">
        <v>397</v>
      </c>
      <c r="CC57" t="s">
        <v>425</v>
      </c>
      <c r="CD57">
        <v>1672</v>
      </c>
      <c r="CE57">
        <v>0</v>
      </c>
      <c r="CF57" t="s">
        <v>207</v>
      </c>
      <c r="CG57" t="s">
        <v>413</v>
      </c>
      <c r="CH57" t="s">
        <v>207</v>
      </c>
      <c r="CI57" t="s">
        <v>400</v>
      </c>
      <c r="CJ57" t="s">
        <v>207</v>
      </c>
      <c r="CK57" t="s">
        <v>207</v>
      </c>
      <c r="CL57">
        <v>1</v>
      </c>
      <c r="CM57" t="s">
        <v>720</v>
      </c>
      <c r="CN57" t="s">
        <v>207</v>
      </c>
      <c r="CO57">
        <v>0.5</v>
      </c>
      <c r="CP57">
        <v>0</v>
      </c>
      <c r="CQ57">
        <v>1</v>
      </c>
      <c r="CR57" s="105">
        <v>33359</v>
      </c>
      <c r="CS57">
        <v>10</v>
      </c>
      <c r="CT57" s="106">
        <v>41957</v>
      </c>
      <c r="CU57">
        <v>97</v>
      </c>
      <c r="CV57" s="106">
        <v>37649</v>
      </c>
      <c r="CW57" t="s">
        <v>207</v>
      </c>
    </row>
    <row r="58" spans="1:101" x14ac:dyDescent="0.2">
      <c r="A58">
        <v>358</v>
      </c>
      <c r="B58" t="s">
        <v>57</v>
      </c>
      <c r="C58" t="s">
        <v>721</v>
      </c>
      <c r="D58">
        <v>59043</v>
      </c>
      <c r="E58" t="s">
        <v>455</v>
      </c>
      <c r="F58" t="s">
        <v>722</v>
      </c>
      <c r="G58" t="s">
        <v>723</v>
      </c>
      <c r="H58" t="s">
        <v>207</v>
      </c>
      <c r="I58" t="s">
        <v>207</v>
      </c>
      <c r="J58" t="s">
        <v>207</v>
      </c>
      <c r="K58">
        <v>306</v>
      </c>
      <c r="L58" t="s">
        <v>724</v>
      </c>
      <c r="M58">
        <v>5278</v>
      </c>
      <c r="N58" t="s">
        <v>207</v>
      </c>
      <c r="O58" t="s">
        <v>250</v>
      </c>
      <c r="P58" t="s">
        <v>391</v>
      </c>
      <c r="Q58" t="s">
        <v>207</v>
      </c>
      <c r="R58" t="s">
        <v>207</v>
      </c>
      <c r="S58">
        <v>0</v>
      </c>
      <c r="T58">
        <v>1</v>
      </c>
      <c r="U58">
        <v>1</v>
      </c>
      <c r="V58">
        <v>0</v>
      </c>
      <c r="W58" t="s">
        <v>126</v>
      </c>
      <c r="X58" t="s">
        <v>207</v>
      </c>
      <c r="Y58" t="s">
        <v>207</v>
      </c>
      <c r="Z58" t="s">
        <v>461</v>
      </c>
      <c r="AA58">
        <v>51243</v>
      </c>
      <c r="AB58">
        <v>1</v>
      </c>
      <c r="AC58">
        <v>30</v>
      </c>
      <c r="AD58">
        <v>9988</v>
      </c>
      <c r="AE58">
        <v>3</v>
      </c>
      <c r="AF58">
        <v>4</v>
      </c>
      <c r="AG58">
        <v>55947</v>
      </c>
      <c r="AH58">
        <v>22</v>
      </c>
      <c r="AI58">
        <v>796</v>
      </c>
      <c r="AJ58">
        <v>10.699999809265099</v>
      </c>
      <c r="AK58">
        <v>273</v>
      </c>
      <c r="AL58">
        <v>49.96</v>
      </c>
      <c r="AM58">
        <v>60</v>
      </c>
      <c r="AN58" t="s">
        <v>470</v>
      </c>
      <c r="AO58" t="s">
        <v>207</v>
      </c>
      <c r="AP58" t="s">
        <v>207</v>
      </c>
      <c r="AQ58">
        <v>59043</v>
      </c>
      <c r="AR58">
        <v>25</v>
      </c>
      <c r="AS58" t="s">
        <v>392</v>
      </c>
      <c r="AT58" t="s">
        <v>207</v>
      </c>
      <c r="AU58" t="s">
        <v>207</v>
      </c>
      <c r="AV58">
        <v>556</v>
      </c>
      <c r="AW58">
        <v>4750</v>
      </c>
      <c r="AX58" t="s">
        <v>207</v>
      </c>
      <c r="AY58">
        <v>2058</v>
      </c>
      <c r="AZ58" t="s">
        <v>725</v>
      </c>
      <c r="BA58" t="s">
        <v>207</v>
      </c>
      <c r="BB58" t="s">
        <v>207</v>
      </c>
      <c r="BC58" t="s">
        <v>207</v>
      </c>
      <c r="BD58">
        <v>4931</v>
      </c>
      <c r="BE58" t="s">
        <v>434</v>
      </c>
      <c r="BF58" t="s">
        <v>423</v>
      </c>
      <c r="BG58" t="s">
        <v>207</v>
      </c>
      <c r="BH58" t="s">
        <v>207</v>
      </c>
      <c r="BI58" t="s">
        <v>472</v>
      </c>
      <c r="BJ58" t="s">
        <v>207</v>
      </c>
      <c r="BK58" t="s">
        <v>395</v>
      </c>
      <c r="BL58" t="s">
        <v>411</v>
      </c>
      <c r="BM58">
        <v>0</v>
      </c>
      <c r="BN58">
        <v>1</v>
      </c>
      <c r="BO58">
        <v>0</v>
      </c>
      <c r="BP58">
        <v>1</v>
      </c>
      <c r="BQ58">
        <v>0</v>
      </c>
      <c r="BR58">
        <v>0</v>
      </c>
      <c r="BS58">
        <v>0</v>
      </c>
      <c r="BT58">
        <v>0</v>
      </c>
      <c r="BU58">
        <v>1</v>
      </c>
      <c r="BV58">
        <v>0</v>
      </c>
      <c r="BW58" t="s">
        <v>397</v>
      </c>
      <c r="BX58" t="s">
        <v>411</v>
      </c>
      <c r="BY58">
        <v>12108</v>
      </c>
      <c r="BZ58" t="s">
        <v>396</v>
      </c>
      <c r="CA58" t="s">
        <v>207</v>
      </c>
      <c r="CB58" t="s">
        <v>396</v>
      </c>
      <c r="CC58" t="s">
        <v>398</v>
      </c>
      <c r="CD58">
        <v>273</v>
      </c>
      <c r="CE58">
        <v>1</v>
      </c>
      <c r="CF58">
        <v>9988</v>
      </c>
      <c r="CG58" t="s">
        <v>413</v>
      </c>
      <c r="CH58" t="s">
        <v>207</v>
      </c>
      <c r="CI58" t="s">
        <v>400</v>
      </c>
      <c r="CJ58" t="s">
        <v>207</v>
      </c>
      <c r="CK58" t="s">
        <v>207</v>
      </c>
      <c r="CL58">
        <v>1</v>
      </c>
      <c r="CM58" t="s">
        <v>726</v>
      </c>
      <c r="CN58" t="s">
        <v>207</v>
      </c>
      <c r="CO58">
        <v>0.625</v>
      </c>
      <c r="CP58">
        <v>0</v>
      </c>
      <c r="CQ58">
        <v>2</v>
      </c>
      <c r="CR58" s="105">
        <v>33163</v>
      </c>
      <c r="CS58">
        <v>10</v>
      </c>
      <c r="CT58" s="106">
        <v>40359</v>
      </c>
      <c r="CU58">
        <v>97</v>
      </c>
      <c r="CV58" s="106">
        <v>37636</v>
      </c>
      <c r="CW58" t="s">
        <v>207</v>
      </c>
    </row>
    <row r="59" spans="1:101" x14ac:dyDescent="0.2">
      <c r="A59">
        <v>243</v>
      </c>
      <c r="B59" t="s">
        <v>54</v>
      </c>
      <c r="C59" t="s">
        <v>528</v>
      </c>
      <c r="D59">
        <v>86798</v>
      </c>
      <c r="E59" t="s">
        <v>388</v>
      </c>
      <c r="F59" t="s">
        <v>727</v>
      </c>
      <c r="G59" t="s">
        <v>728</v>
      </c>
      <c r="H59" t="s">
        <v>207</v>
      </c>
      <c r="I59" t="s">
        <v>207</v>
      </c>
      <c r="J59" t="s">
        <v>207</v>
      </c>
      <c r="K59">
        <v>76</v>
      </c>
      <c r="L59" t="s">
        <v>469</v>
      </c>
      <c r="M59">
        <v>2445</v>
      </c>
      <c r="N59" t="s">
        <v>207</v>
      </c>
      <c r="O59" t="s">
        <v>250</v>
      </c>
      <c r="P59" t="s">
        <v>391</v>
      </c>
      <c r="Q59" t="s">
        <v>207</v>
      </c>
      <c r="R59" t="s">
        <v>207</v>
      </c>
      <c r="S59">
        <v>0</v>
      </c>
      <c r="T59">
        <v>1</v>
      </c>
      <c r="U59">
        <v>1</v>
      </c>
      <c r="V59">
        <v>1</v>
      </c>
      <c r="W59" t="s">
        <v>165</v>
      </c>
      <c r="X59" t="s">
        <v>207</v>
      </c>
      <c r="Y59" t="s">
        <v>207</v>
      </c>
      <c r="Z59" t="s">
        <v>461</v>
      </c>
      <c r="AA59">
        <v>51243</v>
      </c>
      <c r="AB59">
        <v>0</v>
      </c>
      <c r="AC59">
        <v>250</v>
      </c>
      <c r="AD59">
        <v>50550</v>
      </c>
      <c r="AE59" t="s">
        <v>207</v>
      </c>
      <c r="AF59" t="s">
        <v>207</v>
      </c>
      <c r="AG59" t="s">
        <v>207</v>
      </c>
      <c r="AH59">
        <v>8</v>
      </c>
      <c r="AI59">
        <v>72462</v>
      </c>
      <c r="AJ59" t="s">
        <v>207</v>
      </c>
      <c r="AK59" t="s">
        <v>207</v>
      </c>
      <c r="AL59">
        <v>31.84</v>
      </c>
      <c r="AM59">
        <v>84</v>
      </c>
      <c r="AN59" t="s">
        <v>392</v>
      </c>
      <c r="AO59">
        <v>71</v>
      </c>
      <c r="AP59" t="s">
        <v>207</v>
      </c>
      <c r="AQ59">
        <v>86798</v>
      </c>
      <c r="AR59">
        <v>45</v>
      </c>
      <c r="AS59" t="s">
        <v>392</v>
      </c>
      <c r="AT59">
        <v>58</v>
      </c>
      <c r="AU59" t="s">
        <v>207</v>
      </c>
      <c r="AV59">
        <v>9988</v>
      </c>
      <c r="AW59">
        <v>7710</v>
      </c>
      <c r="AX59" t="s">
        <v>207</v>
      </c>
      <c r="AY59">
        <v>40637</v>
      </c>
      <c r="AZ59" t="s">
        <v>729</v>
      </c>
      <c r="BA59" t="s">
        <v>730</v>
      </c>
      <c r="BB59" t="s">
        <v>207</v>
      </c>
      <c r="BC59" t="s">
        <v>207</v>
      </c>
      <c r="BD59">
        <v>4931</v>
      </c>
      <c r="BE59" t="s">
        <v>434</v>
      </c>
      <c r="BF59" t="s">
        <v>393</v>
      </c>
      <c r="BG59" t="s">
        <v>731</v>
      </c>
      <c r="BH59" t="s">
        <v>207</v>
      </c>
      <c r="BI59" t="s">
        <v>489</v>
      </c>
      <c r="BJ59" t="s">
        <v>207</v>
      </c>
      <c r="BK59" t="s">
        <v>395</v>
      </c>
      <c r="BL59" t="s">
        <v>411</v>
      </c>
      <c r="BM59">
        <v>1</v>
      </c>
      <c r="BN59">
        <v>1</v>
      </c>
      <c r="BO59">
        <v>0</v>
      </c>
      <c r="BP59">
        <v>1</v>
      </c>
      <c r="BQ59">
        <v>0</v>
      </c>
      <c r="BR59">
        <v>0</v>
      </c>
      <c r="BS59">
        <v>0</v>
      </c>
      <c r="BT59">
        <v>0</v>
      </c>
      <c r="BU59">
        <v>1</v>
      </c>
      <c r="BV59">
        <v>0</v>
      </c>
      <c r="BW59" t="s">
        <v>397</v>
      </c>
      <c r="BX59" t="s">
        <v>411</v>
      </c>
      <c r="BY59">
        <v>12108</v>
      </c>
      <c r="BZ59" t="s">
        <v>396</v>
      </c>
      <c r="CA59" t="s">
        <v>207</v>
      </c>
      <c r="CB59" t="s">
        <v>438</v>
      </c>
      <c r="CC59" t="s">
        <v>398</v>
      </c>
      <c r="CD59">
        <v>9183</v>
      </c>
      <c r="CE59">
        <v>1</v>
      </c>
      <c r="CF59">
        <v>4699</v>
      </c>
      <c r="CG59" t="s">
        <v>399</v>
      </c>
      <c r="CH59" t="s">
        <v>207</v>
      </c>
      <c r="CI59" t="s">
        <v>400</v>
      </c>
      <c r="CJ59" t="s">
        <v>207</v>
      </c>
      <c r="CK59" t="s">
        <v>207</v>
      </c>
      <c r="CL59">
        <v>1</v>
      </c>
      <c r="CM59" t="s">
        <v>732</v>
      </c>
      <c r="CN59" t="s">
        <v>207</v>
      </c>
      <c r="CO59">
        <v>0.5</v>
      </c>
      <c r="CP59">
        <v>0</v>
      </c>
      <c r="CQ59">
        <v>2</v>
      </c>
      <c r="CR59" s="105">
        <v>33163</v>
      </c>
      <c r="CS59">
        <v>10</v>
      </c>
      <c r="CT59" s="106">
        <v>43230</v>
      </c>
      <c r="CU59">
        <v>97</v>
      </c>
      <c r="CV59" s="106">
        <v>37630</v>
      </c>
      <c r="CW59" t="s">
        <v>207</v>
      </c>
    </row>
    <row r="60" spans="1:101" x14ac:dyDescent="0.2">
      <c r="A60">
        <v>245</v>
      </c>
      <c r="B60" t="s">
        <v>51</v>
      </c>
      <c r="C60" t="s">
        <v>528</v>
      </c>
      <c r="D60">
        <v>86798</v>
      </c>
      <c r="E60" t="s">
        <v>388</v>
      </c>
      <c r="F60" t="s">
        <v>733</v>
      </c>
      <c r="G60" t="s">
        <v>734</v>
      </c>
      <c r="H60" t="s">
        <v>207</v>
      </c>
      <c r="I60" t="s">
        <v>207</v>
      </c>
      <c r="J60" t="s">
        <v>207</v>
      </c>
      <c r="K60">
        <v>76</v>
      </c>
      <c r="L60" t="s">
        <v>469</v>
      </c>
      <c r="M60">
        <v>2445</v>
      </c>
      <c r="N60" t="s">
        <v>207</v>
      </c>
      <c r="O60" t="s">
        <v>250</v>
      </c>
      <c r="P60" t="s">
        <v>391</v>
      </c>
      <c r="Q60" t="s">
        <v>207</v>
      </c>
      <c r="R60" t="s">
        <v>207</v>
      </c>
      <c r="S60">
        <v>0</v>
      </c>
      <c r="T60">
        <v>1</v>
      </c>
      <c r="U60">
        <v>1</v>
      </c>
      <c r="V60">
        <v>1</v>
      </c>
      <c r="W60" t="s">
        <v>161</v>
      </c>
      <c r="X60" t="s">
        <v>207</v>
      </c>
      <c r="Y60" t="s">
        <v>207</v>
      </c>
      <c r="Z60" t="s">
        <v>461</v>
      </c>
      <c r="AA60">
        <v>51243</v>
      </c>
      <c r="AB60">
        <v>0</v>
      </c>
      <c r="AC60">
        <v>250</v>
      </c>
      <c r="AD60">
        <v>50550</v>
      </c>
      <c r="AE60" t="s">
        <v>207</v>
      </c>
      <c r="AF60" t="s">
        <v>207</v>
      </c>
      <c r="AG60" t="s">
        <v>207</v>
      </c>
      <c r="AH60">
        <v>5</v>
      </c>
      <c r="AI60">
        <v>36794</v>
      </c>
      <c r="AJ60" t="s">
        <v>207</v>
      </c>
      <c r="AK60" t="s">
        <v>207</v>
      </c>
      <c r="AL60">
        <v>53.09</v>
      </c>
      <c r="AM60">
        <v>107.949996948242</v>
      </c>
      <c r="AN60" t="s">
        <v>392</v>
      </c>
      <c r="AO60">
        <v>65.5</v>
      </c>
      <c r="AP60" t="s">
        <v>207</v>
      </c>
      <c r="AQ60">
        <v>40637</v>
      </c>
      <c r="AR60">
        <v>71</v>
      </c>
      <c r="AS60" t="s">
        <v>392</v>
      </c>
      <c r="AT60">
        <v>59.5</v>
      </c>
      <c r="AU60" t="s">
        <v>207</v>
      </c>
      <c r="AV60">
        <v>593</v>
      </c>
      <c r="AW60">
        <v>15170</v>
      </c>
      <c r="AX60" t="s">
        <v>207</v>
      </c>
      <c r="AY60">
        <v>40637</v>
      </c>
      <c r="AZ60" t="s">
        <v>735</v>
      </c>
      <c r="BA60" t="s">
        <v>207</v>
      </c>
      <c r="BB60" t="s">
        <v>207</v>
      </c>
      <c r="BC60" t="s">
        <v>207</v>
      </c>
      <c r="BD60">
        <v>4931</v>
      </c>
      <c r="BE60" t="s">
        <v>434</v>
      </c>
      <c r="BF60" t="s">
        <v>736</v>
      </c>
      <c r="BG60" t="s">
        <v>394</v>
      </c>
      <c r="BH60" t="s">
        <v>207</v>
      </c>
      <c r="BI60" t="s">
        <v>449</v>
      </c>
      <c r="BJ60" t="s">
        <v>207</v>
      </c>
      <c r="BK60" t="s">
        <v>411</v>
      </c>
      <c r="BL60" t="s">
        <v>411</v>
      </c>
      <c r="BM60">
        <v>1</v>
      </c>
      <c r="BN60">
        <v>1</v>
      </c>
      <c r="BO60">
        <v>0</v>
      </c>
      <c r="BP60">
        <v>1</v>
      </c>
      <c r="BQ60">
        <v>0</v>
      </c>
      <c r="BR60">
        <v>1</v>
      </c>
      <c r="BS60">
        <v>0</v>
      </c>
      <c r="BT60">
        <v>0</v>
      </c>
      <c r="BU60">
        <v>1</v>
      </c>
      <c r="BV60">
        <v>1</v>
      </c>
      <c r="BW60" t="s">
        <v>397</v>
      </c>
      <c r="BX60" t="s">
        <v>411</v>
      </c>
      <c r="BY60">
        <v>12108</v>
      </c>
      <c r="BZ60" t="s">
        <v>396</v>
      </c>
      <c r="CA60" t="s">
        <v>207</v>
      </c>
      <c r="CB60" t="s">
        <v>396</v>
      </c>
      <c r="CC60" t="s">
        <v>398</v>
      </c>
      <c r="CD60">
        <v>9183</v>
      </c>
      <c r="CE60">
        <v>1</v>
      </c>
      <c r="CF60">
        <v>4699</v>
      </c>
      <c r="CG60" t="s">
        <v>399</v>
      </c>
      <c r="CH60" t="s">
        <v>207</v>
      </c>
      <c r="CI60" t="s">
        <v>400</v>
      </c>
      <c r="CJ60" t="s">
        <v>207</v>
      </c>
      <c r="CK60" t="s">
        <v>207</v>
      </c>
      <c r="CL60">
        <v>1</v>
      </c>
      <c r="CM60" t="s">
        <v>737</v>
      </c>
      <c r="CN60" t="s">
        <v>207</v>
      </c>
      <c r="CO60">
        <v>0.5</v>
      </c>
      <c r="CP60">
        <v>0</v>
      </c>
      <c r="CQ60">
        <v>2</v>
      </c>
      <c r="CR60" s="105">
        <v>33163</v>
      </c>
      <c r="CS60">
        <v>10</v>
      </c>
      <c r="CT60" s="106">
        <v>43846</v>
      </c>
      <c r="CU60">
        <v>97</v>
      </c>
      <c r="CV60" s="106">
        <v>37624</v>
      </c>
      <c r="CW60" t="s">
        <v>207</v>
      </c>
    </row>
    <row r="61" spans="1:101" x14ac:dyDescent="0.2">
      <c r="A61">
        <v>244</v>
      </c>
      <c r="B61" t="s">
        <v>55</v>
      </c>
      <c r="C61" t="s">
        <v>528</v>
      </c>
      <c r="D61">
        <v>86798</v>
      </c>
      <c r="E61" t="s">
        <v>388</v>
      </c>
      <c r="F61" t="s">
        <v>738</v>
      </c>
      <c r="G61" t="s">
        <v>739</v>
      </c>
      <c r="H61" t="s">
        <v>207</v>
      </c>
      <c r="I61" t="s">
        <v>207</v>
      </c>
      <c r="J61" t="s">
        <v>207</v>
      </c>
      <c r="K61">
        <v>76</v>
      </c>
      <c r="L61" t="s">
        <v>469</v>
      </c>
      <c r="M61">
        <v>2445</v>
      </c>
      <c r="N61" t="s">
        <v>207</v>
      </c>
      <c r="O61" t="s">
        <v>250</v>
      </c>
      <c r="P61" t="s">
        <v>391</v>
      </c>
      <c r="Q61" t="s">
        <v>207</v>
      </c>
      <c r="R61" t="s">
        <v>207</v>
      </c>
      <c r="S61">
        <v>0</v>
      </c>
      <c r="T61">
        <v>1</v>
      </c>
      <c r="U61">
        <v>1</v>
      </c>
      <c r="V61">
        <v>1</v>
      </c>
      <c r="W61" t="s">
        <v>114</v>
      </c>
      <c r="X61" t="s">
        <v>207</v>
      </c>
      <c r="Y61" t="s">
        <v>207</v>
      </c>
      <c r="Z61" t="s">
        <v>461</v>
      </c>
      <c r="AA61">
        <v>51243</v>
      </c>
      <c r="AB61">
        <v>0</v>
      </c>
      <c r="AC61">
        <v>375</v>
      </c>
      <c r="AD61">
        <v>58426</v>
      </c>
      <c r="AE61" t="s">
        <v>207</v>
      </c>
      <c r="AF61" t="s">
        <v>207</v>
      </c>
      <c r="AG61" t="s">
        <v>207</v>
      </c>
      <c r="AH61">
        <v>9</v>
      </c>
      <c r="AI61">
        <v>12193</v>
      </c>
      <c r="AJ61">
        <v>4</v>
      </c>
      <c r="AK61">
        <v>273</v>
      </c>
      <c r="AL61">
        <v>67.3</v>
      </c>
      <c r="AM61">
        <v>150</v>
      </c>
      <c r="AN61" t="s">
        <v>392</v>
      </c>
      <c r="AO61" t="s">
        <v>207</v>
      </c>
      <c r="AP61" t="s">
        <v>207</v>
      </c>
      <c r="AQ61">
        <v>40637</v>
      </c>
      <c r="AR61">
        <v>70</v>
      </c>
      <c r="AS61" t="s">
        <v>392</v>
      </c>
      <c r="AT61" t="s">
        <v>207</v>
      </c>
      <c r="AU61" t="s">
        <v>207</v>
      </c>
      <c r="AV61">
        <v>9258</v>
      </c>
      <c r="AW61">
        <v>61400</v>
      </c>
      <c r="AX61" t="s">
        <v>207</v>
      </c>
      <c r="AY61">
        <v>27547</v>
      </c>
      <c r="AZ61" t="s">
        <v>740</v>
      </c>
      <c r="BA61" t="s">
        <v>207</v>
      </c>
      <c r="BB61" t="s">
        <v>207</v>
      </c>
      <c r="BC61" t="s">
        <v>207</v>
      </c>
      <c r="BD61">
        <v>4931</v>
      </c>
      <c r="BE61" t="s">
        <v>434</v>
      </c>
      <c r="BF61" t="s">
        <v>393</v>
      </c>
      <c r="BG61" t="s">
        <v>394</v>
      </c>
      <c r="BH61" t="s">
        <v>207</v>
      </c>
      <c r="BI61" t="s">
        <v>435</v>
      </c>
      <c r="BJ61" t="s">
        <v>741</v>
      </c>
      <c r="BK61" t="s">
        <v>207</v>
      </c>
      <c r="BL61" t="s">
        <v>207</v>
      </c>
      <c r="BM61">
        <v>1</v>
      </c>
      <c r="BN61">
        <v>1</v>
      </c>
      <c r="BO61">
        <v>0</v>
      </c>
      <c r="BP61">
        <v>1</v>
      </c>
      <c r="BQ61">
        <v>0</v>
      </c>
      <c r="BR61">
        <v>1</v>
      </c>
      <c r="BS61">
        <v>1</v>
      </c>
      <c r="BT61">
        <v>0</v>
      </c>
      <c r="BU61">
        <v>1</v>
      </c>
      <c r="BV61">
        <v>1</v>
      </c>
      <c r="BW61" t="s">
        <v>397</v>
      </c>
      <c r="BX61" t="s">
        <v>207</v>
      </c>
      <c r="BY61">
        <v>12108</v>
      </c>
      <c r="BZ61" t="s">
        <v>396</v>
      </c>
      <c r="CA61" t="s">
        <v>207</v>
      </c>
      <c r="CB61" t="s">
        <v>438</v>
      </c>
      <c r="CC61" t="s">
        <v>398</v>
      </c>
      <c r="CD61">
        <v>9183</v>
      </c>
      <c r="CE61">
        <v>1</v>
      </c>
      <c r="CF61">
        <v>4699</v>
      </c>
      <c r="CG61" t="s">
        <v>413</v>
      </c>
      <c r="CH61">
        <v>12257</v>
      </c>
      <c r="CI61" t="s">
        <v>400</v>
      </c>
      <c r="CJ61" t="s">
        <v>207</v>
      </c>
      <c r="CK61" t="s">
        <v>207</v>
      </c>
      <c r="CL61">
        <v>1</v>
      </c>
      <c r="CM61" t="s">
        <v>742</v>
      </c>
      <c r="CN61" t="s">
        <v>207</v>
      </c>
      <c r="CO61">
        <v>0.5</v>
      </c>
      <c r="CP61">
        <v>0</v>
      </c>
      <c r="CQ61">
        <v>2</v>
      </c>
      <c r="CR61" s="105">
        <v>33163</v>
      </c>
      <c r="CS61">
        <v>10</v>
      </c>
      <c r="CT61" s="106">
        <v>43234</v>
      </c>
      <c r="CU61">
        <v>97</v>
      </c>
      <c r="CV61" s="106">
        <v>37630</v>
      </c>
      <c r="CW61" t="s">
        <v>207</v>
      </c>
    </row>
    <row r="62" spans="1:101" x14ac:dyDescent="0.2">
      <c r="A62">
        <v>2</v>
      </c>
      <c r="B62" t="s">
        <v>97</v>
      </c>
      <c r="C62" t="s">
        <v>743</v>
      </c>
      <c r="D62">
        <v>2</v>
      </c>
      <c r="E62" t="s">
        <v>416</v>
      </c>
      <c r="F62" t="s">
        <v>744</v>
      </c>
      <c r="G62" t="s">
        <v>745</v>
      </c>
      <c r="H62" t="s">
        <v>746</v>
      </c>
      <c r="I62" t="s">
        <v>747</v>
      </c>
      <c r="J62" t="s">
        <v>748</v>
      </c>
      <c r="K62">
        <v>349</v>
      </c>
      <c r="L62" t="s">
        <v>749</v>
      </c>
      <c r="M62">
        <v>3459</v>
      </c>
      <c r="N62" t="s">
        <v>207</v>
      </c>
      <c r="O62" t="s">
        <v>250</v>
      </c>
      <c r="P62" t="s">
        <v>444</v>
      </c>
      <c r="Q62" t="s">
        <v>207</v>
      </c>
      <c r="R62" t="s">
        <v>207</v>
      </c>
      <c r="S62">
        <v>0</v>
      </c>
      <c r="T62">
        <v>1</v>
      </c>
      <c r="U62">
        <v>1</v>
      </c>
      <c r="V62">
        <v>0</v>
      </c>
      <c r="W62" t="s">
        <v>114</v>
      </c>
      <c r="X62" t="s">
        <v>207</v>
      </c>
      <c r="Y62" t="s">
        <v>207</v>
      </c>
      <c r="Z62" t="s">
        <v>420</v>
      </c>
      <c r="AA62">
        <v>51243</v>
      </c>
      <c r="AB62">
        <v>0</v>
      </c>
      <c r="AC62">
        <v>20</v>
      </c>
      <c r="AD62">
        <v>32849</v>
      </c>
      <c r="AE62" t="s">
        <v>207</v>
      </c>
      <c r="AF62">
        <v>20</v>
      </c>
      <c r="AG62">
        <v>34290</v>
      </c>
      <c r="AH62">
        <v>9</v>
      </c>
      <c r="AI62">
        <v>164</v>
      </c>
      <c r="AJ62">
        <v>12</v>
      </c>
      <c r="AK62">
        <v>53038</v>
      </c>
      <c r="AL62">
        <v>30.47</v>
      </c>
      <c r="AM62">
        <v>60</v>
      </c>
      <c r="AN62" t="s">
        <v>470</v>
      </c>
      <c r="AO62" t="s">
        <v>207</v>
      </c>
      <c r="AP62" t="s">
        <v>207</v>
      </c>
      <c r="AQ62">
        <v>4967</v>
      </c>
      <c r="AR62" t="s">
        <v>207</v>
      </c>
      <c r="AS62" t="s">
        <v>207</v>
      </c>
      <c r="AT62" t="s">
        <v>207</v>
      </c>
      <c r="AU62" t="s">
        <v>207</v>
      </c>
      <c r="AV62" t="s">
        <v>207</v>
      </c>
      <c r="AW62">
        <v>4324</v>
      </c>
      <c r="AX62" t="s">
        <v>207</v>
      </c>
      <c r="AY62">
        <v>40637</v>
      </c>
      <c r="AZ62" t="s">
        <v>750</v>
      </c>
      <c r="BA62" t="s">
        <v>751</v>
      </c>
      <c r="BB62" t="s">
        <v>207</v>
      </c>
      <c r="BC62" t="s">
        <v>207</v>
      </c>
      <c r="BD62">
        <v>4931</v>
      </c>
      <c r="BE62" t="s">
        <v>434</v>
      </c>
      <c r="BF62" t="s">
        <v>423</v>
      </c>
      <c r="BG62" t="s">
        <v>207</v>
      </c>
      <c r="BH62" t="s">
        <v>207</v>
      </c>
      <c r="BI62" t="s">
        <v>489</v>
      </c>
      <c r="BJ62" t="s">
        <v>207</v>
      </c>
      <c r="BK62" t="s">
        <v>395</v>
      </c>
      <c r="BL62" t="s">
        <v>411</v>
      </c>
      <c r="BM62">
        <v>1</v>
      </c>
      <c r="BN62">
        <v>1</v>
      </c>
      <c r="BO62">
        <v>0</v>
      </c>
      <c r="BP62">
        <v>1</v>
      </c>
      <c r="BQ62">
        <v>0</v>
      </c>
      <c r="BR62">
        <v>1</v>
      </c>
      <c r="BS62">
        <v>0</v>
      </c>
      <c r="BT62">
        <v>0</v>
      </c>
      <c r="BU62">
        <v>0</v>
      </c>
      <c r="BV62">
        <v>1</v>
      </c>
      <c r="BW62" t="s">
        <v>397</v>
      </c>
      <c r="BX62" t="s">
        <v>437</v>
      </c>
      <c r="BY62">
        <v>12108</v>
      </c>
      <c r="BZ62" t="s">
        <v>396</v>
      </c>
      <c r="CA62" t="s">
        <v>207</v>
      </c>
      <c r="CB62" t="s">
        <v>396</v>
      </c>
      <c r="CC62" t="s">
        <v>411</v>
      </c>
      <c r="CD62" t="s">
        <v>207</v>
      </c>
      <c r="CE62">
        <v>0</v>
      </c>
      <c r="CF62" t="s">
        <v>207</v>
      </c>
      <c r="CG62" t="s">
        <v>413</v>
      </c>
      <c r="CH62" t="s">
        <v>207</v>
      </c>
      <c r="CI62" t="s">
        <v>400</v>
      </c>
      <c r="CJ62" t="s">
        <v>207</v>
      </c>
      <c r="CK62" t="s">
        <v>207</v>
      </c>
      <c r="CL62">
        <v>1</v>
      </c>
      <c r="CM62" t="s">
        <v>752</v>
      </c>
      <c r="CN62" t="s">
        <v>207</v>
      </c>
      <c r="CO62">
        <v>0.5</v>
      </c>
      <c r="CP62">
        <v>0</v>
      </c>
      <c r="CQ62">
        <v>2</v>
      </c>
      <c r="CR62" s="105">
        <v>33163</v>
      </c>
      <c r="CS62">
        <v>675</v>
      </c>
      <c r="CT62" s="106">
        <v>43424.796238425923</v>
      </c>
      <c r="CU62">
        <v>97</v>
      </c>
      <c r="CV62" s="106">
        <v>37649</v>
      </c>
      <c r="CW62" t="s">
        <v>207</v>
      </c>
    </row>
    <row r="63" spans="1:101" x14ac:dyDescent="0.2">
      <c r="A63">
        <v>55383</v>
      </c>
      <c r="B63" t="s">
        <v>101</v>
      </c>
      <c r="C63" t="s">
        <v>753</v>
      </c>
      <c r="D63">
        <v>32894</v>
      </c>
      <c r="E63" t="s">
        <v>754</v>
      </c>
      <c r="F63" t="s">
        <v>755</v>
      </c>
      <c r="G63" t="s">
        <v>756</v>
      </c>
      <c r="H63" t="s">
        <v>207</v>
      </c>
      <c r="I63" t="s">
        <v>207</v>
      </c>
      <c r="J63" t="s">
        <v>207</v>
      </c>
      <c r="K63">
        <v>686</v>
      </c>
      <c r="L63" t="s">
        <v>757</v>
      </c>
      <c r="M63">
        <v>5732</v>
      </c>
      <c r="N63" t="s">
        <v>207</v>
      </c>
      <c r="O63" t="s">
        <v>251</v>
      </c>
      <c r="P63" t="s">
        <v>391</v>
      </c>
      <c r="Q63" t="s">
        <v>207</v>
      </c>
      <c r="R63" t="s">
        <v>758</v>
      </c>
      <c r="S63">
        <v>0</v>
      </c>
      <c r="T63">
        <v>1</v>
      </c>
      <c r="U63">
        <v>0</v>
      </c>
      <c r="V63">
        <v>0</v>
      </c>
      <c r="W63" t="s">
        <v>126</v>
      </c>
      <c r="X63" t="s">
        <v>207</v>
      </c>
      <c r="Y63" t="s">
        <v>207</v>
      </c>
      <c r="Z63" t="s">
        <v>420</v>
      </c>
      <c r="AA63">
        <v>51243</v>
      </c>
      <c r="AB63" t="s">
        <v>207</v>
      </c>
      <c r="AC63" t="s">
        <v>207</v>
      </c>
      <c r="AD63" t="s">
        <v>207</v>
      </c>
      <c r="AE63" t="s">
        <v>207</v>
      </c>
      <c r="AF63" t="s">
        <v>207</v>
      </c>
      <c r="AG63" t="s">
        <v>207</v>
      </c>
      <c r="AH63" t="s">
        <v>207</v>
      </c>
      <c r="AI63" t="s">
        <v>207</v>
      </c>
      <c r="AJ63" t="s">
        <v>207</v>
      </c>
      <c r="AK63" t="s">
        <v>207</v>
      </c>
      <c r="AL63">
        <v>32.11</v>
      </c>
      <c r="AM63">
        <v>40.5</v>
      </c>
      <c r="AN63" t="s">
        <v>470</v>
      </c>
      <c r="AO63" t="s">
        <v>207</v>
      </c>
      <c r="AP63" t="s">
        <v>207</v>
      </c>
      <c r="AQ63">
        <v>39031</v>
      </c>
      <c r="AR63" t="s">
        <v>207</v>
      </c>
      <c r="AS63" t="s">
        <v>207</v>
      </c>
      <c r="AT63" t="s">
        <v>207</v>
      </c>
      <c r="AU63" t="s">
        <v>207</v>
      </c>
      <c r="AV63" t="s">
        <v>207</v>
      </c>
      <c r="AW63">
        <v>20000</v>
      </c>
      <c r="AX63" t="s">
        <v>207</v>
      </c>
      <c r="AY63">
        <v>32894</v>
      </c>
      <c r="AZ63" t="s">
        <v>207</v>
      </c>
      <c r="BA63" t="s">
        <v>207</v>
      </c>
      <c r="BB63" t="s">
        <v>207</v>
      </c>
      <c r="BC63" t="s">
        <v>207</v>
      </c>
      <c r="BD63" t="s">
        <v>207</v>
      </c>
      <c r="BE63" t="s">
        <v>207</v>
      </c>
      <c r="BF63" t="s">
        <v>423</v>
      </c>
      <c r="BG63" t="s">
        <v>207</v>
      </c>
      <c r="BH63" t="s">
        <v>207</v>
      </c>
      <c r="BI63" t="s">
        <v>207</v>
      </c>
      <c r="BJ63" t="s">
        <v>207</v>
      </c>
      <c r="BK63" t="s">
        <v>207</v>
      </c>
      <c r="BL63" t="s">
        <v>207</v>
      </c>
      <c r="BM63">
        <v>0</v>
      </c>
      <c r="BN63">
        <v>0</v>
      </c>
      <c r="BO63">
        <v>0</v>
      </c>
      <c r="BP63">
        <v>0</v>
      </c>
      <c r="BQ63">
        <v>0</v>
      </c>
      <c r="BR63">
        <v>0</v>
      </c>
      <c r="BS63">
        <v>0</v>
      </c>
      <c r="BT63">
        <v>0</v>
      </c>
      <c r="BU63">
        <v>0</v>
      </c>
      <c r="BV63">
        <v>0</v>
      </c>
      <c r="BW63" t="s">
        <v>397</v>
      </c>
      <c r="BX63" t="s">
        <v>207</v>
      </c>
      <c r="BY63">
        <v>32894</v>
      </c>
      <c r="BZ63" t="s">
        <v>396</v>
      </c>
      <c r="CA63" t="s">
        <v>207</v>
      </c>
      <c r="CB63" t="s">
        <v>396</v>
      </c>
      <c r="CC63" t="s">
        <v>207</v>
      </c>
      <c r="CD63" t="s">
        <v>207</v>
      </c>
      <c r="CE63">
        <v>0</v>
      </c>
      <c r="CF63" t="s">
        <v>207</v>
      </c>
      <c r="CG63" t="s">
        <v>399</v>
      </c>
      <c r="CH63" t="s">
        <v>207</v>
      </c>
      <c r="CI63" t="s">
        <v>400</v>
      </c>
      <c r="CJ63" t="s">
        <v>207</v>
      </c>
      <c r="CK63" t="s">
        <v>207</v>
      </c>
      <c r="CL63">
        <v>1</v>
      </c>
      <c r="CM63" t="s">
        <v>759</v>
      </c>
      <c r="CN63" t="s">
        <v>207</v>
      </c>
      <c r="CO63">
        <v>0.75</v>
      </c>
      <c r="CP63">
        <v>0</v>
      </c>
      <c r="CQ63">
        <v>10</v>
      </c>
      <c r="CR63" s="105">
        <v>36595</v>
      </c>
      <c r="CS63">
        <v>303</v>
      </c>
      <c r="CT63" s="106">
        <v>41213</v>
      </c>
      <c r="CU63">
        <v>747</v>
      </c>
      <c r="CV63" s="106">
        <v>37065</v>
      </c>
      <c r="CW63" t="s">
        <v>207</v>
      </c>
    </row>
    <row r="64" spans="1:101" ht="27" customHeight="1" x14ac:dyDescent="0.2">
      <c r="A64">
        <v>138</v>
      </c>
      <c r="B64" t="s">
        <v>79</v>
      </c>
      <c r="C64" t="s">
        <v>760</v>
      </c>
      <c r="D64">
        <v>50224</v>
      </c>
      <c r="E64" t="s">
        <v>761</v>
      </c>
      <c r="F64" t="s">
        <v>762</v>
      </c>
      <c r="G64" t="s">
        <v>763</v>
      </c>
      <c r="H64" t="s">
        <v>207</v>
      </c>
      <c r="I64" t="s">
        <v>764</v>
      </c>
      <c r="J64" t="s">
        <v>765</v>
      </c>
      <c r="K64">
        <v>658</v>
      </c>
      <c r="L64" t="s">
        <v>207</v>
      </c>
      <c r="M64">
        <v>6376</v>
      </c>
      <c r="N64" t="s">
        <v>207</v>
      </c>
      <c r="O64" t="s">
        <v>205</v>
      </c>
      <c r="P64" t="s">
        <v>444</v>
      </c>
      <c r="Q64" t="s">
        <v>207</v>
      </c>
      <c r="R64" t="s">
        <v>207</v>
      </c>
      <c r="S64">
        <v>0</v>
      </c>
      <c r="T64">
        <v>0</v>
      </c>
      <c r="U64">
        <v>1</v>
      </c>
      <c r="V64">
        <v>1</v>
      </c>
      <c r="W64" t="s">
        <v>114</v>
      </c>
      <c r="X64" t="s">
        <v>207</v>
      </c>
      <c r="Y64" t="s">
        <v>207</v>
      </c>
      <c r="Z64" t="s">
        <v>445</v>
      </c>
      <c r="AA64">
        <v>119696</v>
      </c>
      <c r="AB64">
        <v>0</v>
      </c>
      <c r="AC64">
        <v>2992</v>
      </c>
      <c r="AD64">
        <v>119696</v>
      </c>
      <c r="AE64">
        <v>200</v>
      </c>
      <c r="AF64">
        <v>600</v>
      </c>
      <c r="AG64">
        <v>35388</v>
      </c>
      <c r="AH64">
        <v>392</v>
      </c>
      <c r="AI64">
        <v>110949</v>
      </c>
      <c r="AJ64" t="s">
        <v>207</v>
      </c>
      <c r="AK64" t="s">
        <v>207</v>
      </c>
      <c r="AL64">
        <v>89.57</v>
      </c>
      <c r="AM64">
        <v>427</v>
      </c>
      <c r="AN64" t="s">
        <v>392</v>
      </c>
      <c r="AO64">
        <v>550</v>
      </c>
      <c r="AP64" t="s">
        <v>392</v>
      </c>
      <c r="AQ64">
        <v>247</v>
      </c>
      <c r="AR64" t="s">
        <v>207</v>
      </c>
      <c r="AS64" t="s">
        <v>207</v>
      </c>
      <c r="AT64" t="s">
        <v>207</v>
      </c>
      <c r="AU64" t="s">
        <v>207</v>
      </c>
      <c r="AV64" t="s">
        <v>207</v>
      </c>
      <c r="AW64">
        <v>775000</v>
      </c>
      <c r="AX64" t="s">
        <v>207</v>
      </c>
      <c r="AY64">
        <v>4699</v>
      </c>
      <c r="AZ64" t="s">
        <v>766</v>
      </c>
      <c r="BA64" t="s">
        <v>207</v>
      </c>
      <c r="BB64" t="s">
        <v>207</v>
      </c>
      <c r="BC64" t="s">
        <v>207</v>
      </c>
      <c r="BD64">
        <v>4931</v>
      </c>
      <c r="BE64" t="s">
        <v>422</v>
      </c>
      <c r="BF64" t="s">
        <v>532</v>
      </c>
      <c r="BG64" t="s">
        <v>394</v>
      </c>
      <c r="BH64" t="s">
        <v>767</v>
      </c>
      <c r="BI64" t="s">
        <v>768</v>
      </c>
      <c r="BJ64" t="s">
        <v>769</v>
      </c>
      <c r="BK64" t="s">
        <v>534</v>
      </c>
      <c r="BL64" t="s">
        <v>411</v>
      </c>
      <c r="BM64">
        <v>0</v>
      </c>
      <c r="BN64">
        <v>0</v>
      </c>
      <c r="BO64">
        <v>0</v>
      </c>
      <c r="BP64">
        <v>1</v>
      </c>
      <c r="BQ64">
        <v>0</v>
      </c>
      <c r="BR64">
        <v>0</v>
      </c>
      <c r="BS64">
        <v>0</v>
      </c>
      <c r="BT64">
        <v>0</v>
      </c>
      <c r="BU64">
        <v>1</v>
      </c>
      <c r="BV64">
        <v>0</v>
      </c>
      <c r="BW64" t="s">
        <v>396</v>
      </c>
      <c r="BX64" t="s">
        <v>411</v>
      </c>
      <c r="BY64" t="s">
        <v>207</v>
      </c>
      <c r="BZ64" t="s">
        <v>396</v>
      </c>
      <c r="CA64" t="s">
        <v>207</v>
      </c>
      <c r="CB64" t="s">
        <v>396</v>
      </c>
      <c r="CC64" t="s">
        <v>411</v>
      </c>
      <c r="CD64" t="s">
        <v>207</v>
      </c>
      <c r="CE64">
        <v>1</v>
      </c>
      <c r="CF64">
        <v>4699</v>
      </c>
      <c r="CG64" t="s">
        <v>770</v>
      </c>
      <c r="CH64">
        <v>4690</v>
      </c>
      <c r="CI64" t="s">
        <v>771</v>
      </c>
      <c r="CJ64">
        <v>10311</v>
      </c>
      <c r="CK64" t="s">
        <v>207</v>
      </c>
      <c r="CL64">
        <v>1</v>
      </c>
      <c r="CM64" s="107" t="s">
        <v>772</v>
      </c>
      <c r="CN64" t="s">
        <v>207</v>
      </c>
      <c r="CO64">
        <v>0.531300008296967</v>
      </c>
      <c r="CP64">
        <v>0</v>
      </c>
      <c r="CQ64">
        <v>23</v>
      </c>
      <c r="CR64" s="105">
        <v>33770</v>
      </c>
      <c r="CS64">
        <v>14</v>
      </c>
      <c r="CT64" s="106">
        <v>43550</v>
      </c>
      <c r="CU64">
        <v>113</v>
      </c>
      <c r="CV64" s="106">
        <v>35023</v>
      </c>
      <c r="CW64" t="s">
        <v>207</v>
      </c>
    </row>
    <row r="65" spans="1:101" x14ac:dyDescent="0.2">
      <c r="A65">
        <v>4521</v>
      </c>
      <c r="B65" t="s">
        <v>29</v>
      </c>
      <c r="C65" t="s">
        <v>773</v>
      </c>
      <c r="D65">
        <v>5723</v>
      </c>
      <c r="E65" t="s">
        <v>774</v>
      </c>
      <c r="F65" t="s">
        <v>775</v>
      </c>
      <c r="G65" t="s">
        <v>776</v>
      </c>
      <c r="H65" t="s">
        <v>207</v>
      </c>
      <c r="I65" t="s">
        <v>207</v>
      </c>
      <c r="J65" t="s">
        <v>207</v>
      </c>
      <c r="K65">
        <v>216</v>
      </c>
      <c r="L65" t="s">
        <v>717</v>
      </c>
      <c r="M65">
        <v>3826</v>
      </c>
      <c r="N65" t="s">
        <v>207</v>
      </c>
      <c r="O65" t="s">
        <v>250</v>
      </c>
      <c r="P65" t="s">
        <v>391</v>
      </c>
      <c r="Q65" t="s">
        <v>207</v>
      </c>
      <c r="R65" t="s">
        <v>207</v>
      </c>
      <c r="S65">
        <v>0</v>
      </c>
      <c r="T65">
        <v>1</v>
      </c>
      <c r="U65">
        <v>1</v>
      </c>
      <c r="V65">
        <v>0</v>
      </c>
      <c r="W65" t="s">
        <v>114</v>
      </c>
      <c r="X65" t="s">
        <v>207</v>
      </c>
      <c r="Y65" t="s">
        <v>207</v>
      </c>
      <c r="Z65" t="s">
        <v>420</v>
      </c>
      <c r="AA65">
        <v>51243</v>
      </c>
      <c r="AB65" t="s">
        <v>207</v>
      </c>
      <c r="AC65" t="s">
        <v>207</v>
      </c>
      <c r="AD65" t="s">
        <v>207</v>
      </c>
      <c r="AE65" t="s">
        <v>207</v>
      </c>
      <c r="AF65" t="s">
        <v>207</v>
      </c>
      <c r="AG65" t="s">
        <v>207</v>
      </c>
      <c r="AH65" t="s">
        <v>207</v>
      </c>
      <c r="AI65" t="s">
        <v>207</v>
      </c>
      <c r="AJ65" t="s">
        <v>207</v>
      </c>
      <c r="AK65" t="s">
        <v>207</v>
      </c>
      <c r="AL65">
        <v>23.96</v>
      </c>
      <c r="AM65">
        <v>4.6999998092651403</v>
      </c>
      <c r="AN65" t="s">
        <v>392</v>
      </c>
      <c r="AO65">
        <v>8</v>
      </c>
      <c r="AP65" t="s">
        <v>392</v>
      </c>
      <c r="AQ65">
        <v>59105</v>
      </c>
      <c r="AR65" t="s">
        <v>207</v>
      </c>
      <c r="AS65" t="s">
        <v>207</v>
      </c>
      <c r="AT65" t="s">
        <v>207</v>
      </c>
      <c r="AU65" t="s">
        <v>207</v>
      </c>
      <c r="AV65" t="s">
        <v>207</v>
      </c>
      <c r="AW65" t="s">
        <v>207</v>
      </c>
      <c r="AX65" t="s">
        <v>207</v>
      </c>
      <c r="AY65" t="s">
        <v>207</v>
      </c>
      <c r="AZ65" t="s">
        <v>207</v>
      </c>
      <c r="BA65" t="s">
        <v>777</v>
      </c>
      <c r="BB65" t="s">
        <v>207</v>
      </c>
      <c r="BC65" t="s">
        <v>207</v>
      </c>
      <c r="BD65" t="s">
        <v>207</v>
      </c>
      <c r="BE65" t="s">
        <v>207</v>
      </c>
      <c r="BF65" t="s">
        <v>423</v>
      </c>
      <c r="BG65" t="s">
        <v>207</v>
      </c>
      <c r="BH65" t="s">
        <v>778</v>
      </c>
      <c r="BI65" t="s">
        <v>207</v>
      </c>
      <c r="BJ65" t="s">
        <v>207</v>
      </c>
      <c r="BK65" t="s">
        <v>207</v>
      </c>
      <c r="BL65" t="s">
        <v>207</v>
      </c>
      <c r="BM65">
        <v>0</v>
      </c>
      <c r="BN65">
        <v>0</v>
      </c>
      <c r="BO65">
        <v>0</v>
      </c>
      <c r="BP65">
        <v>0</v>
      </c>
      <c r="BQ65">
        <v>0</v>
      </c>
      <c r="BR65">
        <v>0</v>
      </c>
      <c r="BS65">
        <v>0</v>
      </c>
      <c r="BT65">
        <v>0</v>
      </c>
      <c r="BU65">
        <v>0</v>
      </c>
      <c r="BV65">
        <v>0</v>
      </c>
      <c r="BW65" t="s">
        <v>396</v>
      </c>
      <c r="BX65" t="s">
        <v>207</v>
      </c>
      <c r="BY65" t="s">
        <v>207</v>
      </c>
      <c r="BZ65" t="s">
        <v>396</v>
      </c>
      <c r="CA65" t="s">
        <v>207</v>
      </c>
      <c r="CB65" t="s">
        <v>397</v>
      </c>
      <c r="CC65" t="s">
        <v>425</v>
      </c>
      <c r="CD65">
        <v>1672</v>
      </c>
      <c r="CE65">
        <v>0</v>
      </c>
      <c r="CF65" t="s">
        <v>207</v>
      </c>
      <c r="CG65" t="s">
        <v>413</v>
      </c>
      <c r="CH65">
        <v>12257</v>
      </c>
      <c r="CI65" t="s">
        <v>400</v>
      </c>
      <c r="CJ65" t="s">
        <v>207</v>
      </c>
      <c r="CK65" t="s">
        <v>207</v>
      </c>
      <c r="CL65">
        <v>1</v>
      </c>
      <c r="CM65" t="s">
        <v>779</v>
      </c>
      <c r="CN65" t="s">
        <v>207</v>
      </c>
      <c r="CO65">
        <v>0.5</v>
      </c>
      <c r="CP65">
        <v>0</v>
      </c>
      <c r="CQ65">
        <v>2</v>
      </c>
      <c r="CR65" s="105">
        <v>33427</v>
      </c>
      <c r="CS65">
        <v>65</v>
      </c>
      <c r="CT65" s="106">
        <v>42492</v>
      </c>
      <c r="CU65">
        <v>97</v>
      </c>
      <c r="CV65" s="106">
        <v>37649</v>
      </c>
      <c r="CW65" t="s">
        <v>207</v>
      </c>
    </row>
    <row r="66" spans="1:101" x14ac:dyDescent="0.2">
      <c r="A66">
        <v>1191</v>
      </c>
      <c r="B66" t="s">
        <v>253</v>
      </c>
      <c r="C66" t="s">
        <v>780</v>
      </c>
      <c r="D66">
        <v>7251</v>
      </c>
      <c r="E66" t="s">
        <v>781</v>
      </c>
      <c r="F66" t="s">
        <v>782</v>
      </c>
      <c r="G66" t="s">
        <v>783</v>
      </c>
      <c r="H66" t="s">
        <v>207</v>
      </c>
      <c r="I66" t="s">
        <v>207</v>
      </c>
      <c r="J66" t="s">
        <v>207</v>
      </c>
      <c r="K66">
        <v>331</v>
      </c>
      <c r="L66" t="s">
        <v>207</v>
      </c>
      <c r="M66">
        <v>5986</v>
      </c>
      <c r="N66" t="s">
        <v>207</v>
      </c>
      <c r="O66" t="s">
        <v>250</v>
      </c>
      <c r="P66" t="s">
        <v>391</v>
      </c>
      <c r="Q66" t="s">
        <v>207</v>
      </c>
      <c r="R66" t="s">
        <v>207</v>
      </c>
      <c r="S66">
        <v>0</v>
      </c>
      <c r="T66">
        <v>0</v>
      </c>
      <c r="U66">
        <v>1</v>
      </c>
      <c r="V66">
        <v>1</v>
      </c>
      <c r="W66" t="s">
        <v>126</v>
      </c>
      <c r="X66" t="s">
        <v>207</v>
      </c>
      <c r="Y66" t="s">
        <v>207</v>
      </c>
      <c r="Z66" t="s">
        <v>445</v>
      </c>
      <c r="AA66">
        <v>51243</v>
      </c>
      <c r="AB66">
        <v>10</v>
      </c>
      <c r="AC66" t="s">
        <v>207</v>
      </c>
      <c r="AD66">
        <v>9988</v>
      </c>
      <c r="AE66" t="s">
        <v>207</v>
      </c>
      <c r="AF66" t="s">
        <v>207</v>
      </c>
      <c r="AG66" t="s">
        <v>207</v>
      </c>
      <c r="AH66">
        <v>50</v>
      </c>
      <c r="AI66">
        <v>32563</v>
      </c>
      <c r="AJ66">
        <v>7</v>
      </c>
      <c r="AK66">
        <v>273</v>
      </c>
      <c r="AL66">
        <v>42.92</v>
      </c>
      <c r="AM66">
        <v>155</v>
      </c>
      <c r="AN66" t="s">
        <v>392</v>
      </c>
      <c r="AO66" t="s">
        <v>207</v>
      </c>
      <c r="AP66" t="s">
        <v>207</v>
      </c>
      <c r="AQ66">
        <v>3702</v>
      </c>
      <c r="AR66">
        <v>100</v>
      </c>
      <c r="AS66" t="s">
        <v>392</v>
      </c>
      <c r="AT66" t="s">
        <v>207</v>
      </c>
      <c r="AU66" t="s">
        <v>207</v>
      </c>
      <c r="AV66">
        <v>3702</v>
      </c>
      <c r="AW66">
        <v>45000</v>
      </c>
      <c r="AX66" t="s">
        <v>207</v>
      </c>
      <c r="AY66">
        <v>9988</v>
      </c>
      <c r="AZ66" t="s">
        <v>784</v>
      </c>
      <c r="BA66" t="s">
        <v>207</v>
      </c>
      <c r="BB66" t="s">
        <v>207</v>
      </c>
      <c r="BC66" t="s">
        <v>207</v>
      </c>
      <c r="BD66">
        <v>4931</v>
      </c>
      <c r="BE66" t="s">
        <v>422</v>
      </c>
      <c r="BF66" t="s">
        <v>447</v>
      </c>
      <c r="BG66" t="s">
        <v>394</v>
      </c>
      <c r="BH66" t="s">
        <v>785</v>
      </c>
      <c r="BI66" t="s">
        <v>768</v>
      </c>
      <c r="BJ66" t="s">
        <v>786</v>
      </c>
      <c r="BK66" t="s">
        <v>395</v>
      </c>
      <c r="BL66" t="s">
        <v>207</v>
      </c>
      <c r="BM66">
        <v>0</v>
      </c>
      <c r="BN66">
        <v>1</v>
      </c>
      <c r="BO66">
        <v>0</v>
      </c>
      <c r="BP66">
        <v>1</v>
      </c>
      <c r="BQ66">
        <v>0</v>
      </c>
      <c r="BR66">
        <v>0</v>
      </c>
      <c r="BS66">
        <v>0</v>
      </c>
      <c r="BT66">
        <v>0</v>
      </c>
      <c r="BU66">
        <v>1</v>
      </c>
      <c r="BV66">
        <v>0</v>
      </c>
      <c r="BW66" t="s">
        <v>397</v>
      </c>
      <c r="BX66" t="s">
        <v>207</v>
      </c>
      <c r="BY66">
        <v>12108</v>
      </c>
      <c r="BZ66" t="s">
        <v>396</v>
      </c>
      <c r="CA66" t="s">
        <v>207</v>
      </c>
      <c r="CB66" t="s">
        <v>438</v>
      </c>
      <c r="CC66" t="s">
        <v>207</v>
      </c>
      <c r="CD66">
        <v>273</v>
      </c>
      <c r="CE66">
        <v>1</v>
      </c>
      <c r="CF66">
        <v>4699</v>
      </c>
      <c r="CG66" t="s">
        <v>399</v>
      </c>
      <c r="CH66">
        <v>9988</v>
      </c>
      <c r="CI66" t="s">
        <v>400</v>
      </c>
      <c r="CJ66" t="s">
        <v>207</v>
      </c>
      <c r="CK66" t="s">
        <v>207</v>
      </c>
      <c r="CL66">
        <v>1</v>
      </c>
      <c r="CM66" t="s">
        <v>787</v>
      </c>
      <c r="CN66" t="s">
        <v>207</v>
      </c>
      <c r="CO66">
        <v>1</v>
      </c>
      <c r="CP66">
        <v>0</v>
      </c>
      <c r="CQ66">
        <v>2</v>
      </c>
      <c r="CR66" s="105">
        <v>33163</v>
      </c>
      <c r="CS66">
        <v>393</v>
      </c>
      <c r="CT66" s="106">
        <v>38375</v>
      </c>
      <c r="CU66">
        <v>10</v>
      </c>
      <c r="CV66" s="106">
        <v>34569</v>
      </c>
      <c r="CW66" t="s">
        <v>207</v>
      </c>
    </row>
    <row r="67" spans="1:101" x14ac:dyDescent="0.2">
      <c r="A67">
        <v>919</v>
      </c>
      <c r="B67" t="s">
        <v>254</v>
      </c>
      <c r="C67" t="s">
        <v>788</v>
      </c>
      <c r="D67">
        <v>1723</v>
      </c>
      <c r="E67" t="s">
        <v>789</v>
      </c>
      <c r="F67" t="s">
        <v>790</v>
      </c>
      <c r="G67" t="s">
        <v>791</v>
      </c>
      <c r="H67" t="s">
        <v>207</v>
      </c>
      <c r="I67" t="s">
        <v>207</v>
      </c>
      <c r="J67" t="s">
        <v>207</v>
      </c>
      <c r="K67">
        <v>459</v>
      </c>
      <c r="L67" t="s">
        <v>792</v>
      </c>
      <c r="M67">
        <v>4855</v>
      </c>
      <c r="N67" t="s">
        <v>207</v>
      </c>
      <c r="O67" t="s">
        <v>250</v>
      </c>
      <c r="P67" t="s">
        <v>444</v>
      </c>
      <c r="Q67" t="s">
        <v>207</v>
      </c>
      <c r="R67" t="s">
        <v>207</v>
      </c>
      <c r="S67">
        <v>0</v>
      </c>
      <c r="T67">
        <v>0</v>
      </c>
      <c r="U67">
        <v>0</v>
      </c>
      <c r="V67">
        <v>1</v>
      </c>
      <c r="W67" t="s">
        <v>118</v>
      </c>
      <c r="X67" t="s">
        <v>207</v>
      </c>
      <c r="Y67" t="s">
        <v>207</v>
      </c>
      <c r="Z67" t="s">
        <v>517</v>
      </c>
      <c r="AA67" t="s">
        <v>207</v>
      </c>
      <c r="AB67">
        <v>1</v>
      </c>
      <c r="AC67">
        <v>60</v>
      </c>
      <c r="AD67">
        <v>86942</v>
      </c>
      <c r="AE67" t="s">
        <v>207</v>
      </c>
      <c r="AF67" t="s">
        <v>207</v>
      </c>
      <c r="AG67" t="s">
        <v>207</v>
      </c>
      <c r="AH67" t="s">
        <v>207</v>
      </c>
      <c r="AI67" t="s">
        <v>207</v>
      </c>
      <c r="AJ67" t="s">
        <v>207</v>
      </c>
      <c r="AK67" t="s">
        <v>207</v>
      </c>
      <c r="AL67">
        <v>35.47</v>
      </c>
      <c r="AM67">
        <v>60</v>
      </c>
      <c r="AN67" t="s">
        <v>392</v>
      </c>
      <c r="AO67" t="s">
        <v>207</v>
      </c>
      <c r="AP67" t="s">
        <v>207</v>
      </c>
      <c r="AQ67">
        <v>402</v>
      </c>
      <c r="AR67" t="s">
        <v>207</v>
      </c>
      <c r="AS67" t="s">
        <v>207</v>
      </c>
      <c r="AT67" t="s">
        <v>207</v>
      </c>
      <c r="AU67" t="s">
        <v>207</v>
      </c>
      <c r="AV67" t="s">
        <v>207</v>
      </c>
      <c r="AW67" t="s">
        <v>207</v>
      </c>
      <c r="AX67" t="s">
        <v>207</v>
      </c>
      <c r="AY67" t="s">
        <v>207</v>
      </c>
      <c r="AZ67" t="s">
        <v>793</v>
      </c>
      <c r="BA67" t="s">
        <v>207</v>
      </c>
      <c r="BB67" t="s">
        <v>207</v>
      </c>
      <c r="BC67" t="s">
        <v>207</v>
      </c>
      <c r="BD67">
        <v>171</v>
      </c>
      <c r="BE67" t="s">
        <v>397</v>
      </c>
      <c r="BF67" t="s">
        <v>736</v>
      </c>
      <c r="BG67" t="s">
        <v>731</v>
      </c>
      <c r="BH67" t="s">
        <v>207</v>
      </c>
      <c r="BI67" t="s">
        <v>207</v>
      </c>
      <c r="BJ67" t="s">
        <v>207</v>
      </c>
      <c r="BK67" t="s">
        <v>794</v>
      </c>
      <c r="BL67" t="s">
        <v>207</v>
      </c>
      <c r="BM67">
        <v>0</v>
      </c>
      <c r="BN67">
        <v>1</v>
      </c>
      <c r="BO67">
        <v>0</v>
      </c>
      <c r="BP67">
        <v>1</v>
      </c>
      <c r="BQ67">
        <v>0</v>
      </c>
      <c r="BR67">
        <v>1</v>
      </c>
      <c r="BS67">
        <v>0</v>
      </c>
      <c r="BT67">
        <v>0</v>
      </c>
      <c r="BU67">
        <v>1</v>
      </c>
      <c r="BV67">
        <v>0</v>
      </c>
      <c r="BW67" t="s">
        <v>396</v>
      </c>
      <c r="BX67" t="s">
        <v>207</v>
      </c>
      <c r="BY67" t="s">
        <v>207</v>
      </c>
      <c r="BZ67" t="s">
        <v>396</v>
      </c>
      <c r="CA67" t="s">
        <v>207</v>
      </c>
      <c r="CB67" t="s">
        <v>396</v>
      </c>
      <c r="CC67" t="s">
        <v>207</v>
      </c>
      <c r="CD67" t="s">
        <v>207</v>
      </c>
      <c r="CE67">
        <v>0</v>
      </c>
      <c r="CF67" t="s">
        <v>207</v>
      </c>
      <c r="CG67" t="s">
        <v>399</v>
      </c>
      <c r="CH67" t="s">
        <v>207</v>
      </c>
      <c r="CI67" t="s">
        <v>400</v>
      </c>
      <c r="CJ67" t="s">
        <v>207</v>
      </c>
      <c r="CK67" t="s">
        <v>207</v>
      </c>
      <c r="CL67">
        <v>1</v>
      </c>
      <c r="CM67" t="s">
        <v>795</v>
      </c>
      <c r="CN67" t="s">
        <v>207</v>
      </c>
      <c r="CO67">
        <v>0.50199997425079301</v>
      </c>
      <c r="CP67">
        <v>0</v>
      </c>
      <c r="CQ67">
        <v>2</v>
      </c>
      <c r="CR67" s="105">
        <v>33163</v>
      </c>
      <c r="CS67">
        <v>2310</v>
      </c>
      <c r="CT67" s="106">
        <v>42139</v>
      </c>
      <c r="CU67">
        <v>23</v>
      </c>
      <c r="CV67" s="106">
        <v>34145</v>
      </c>
      <c r="CW67" t="s">
        <v>207</v>
      </c>
    </row>
    <row r="68" spans="1:101" x14ac:dyDescent="0.2">
      <c r="A68">
        <v>3191</v>
      </c>
      <c r="B68" t="s">
        <v>255</v>
      </c>
      <c r="C68" t="s">
        <v>796</v>
      </c>
      <c r="D68">
        <v>27139</v>
      </c>
      <c r="E68" t="s">
        <v>797</v>
      </c>
      <c r="F68" t="s">
        <v>798</v>
      </c>
      <c r="G68" t="s">
        <v>799</v>
      </c>
      <c r="H68" t="s">
        <v>800</v>
      </c>
      <c r="I68" t="s">
        <v>801</v>
      </c>
      <c r="J68" t="s">
        <v>207</v>
      </c>
      <c r="K68">
        <v>570</v>
      </c>
      <c r="L68" t="s">
        <v>207</v>
      </c>
      <c r="M68">
        <v>1147</v>
      </c>
      <c r="N68" t="s">
        <v>207</v>
      </c>
      <c r="O68" t="s">
        <v>205</v>
      </c>
      <c r="P68" t="s">
        <v>391</v>
      </c>
      <c r="Q68" t="s">
        <v>207</v>
      </c>
      <c r="R68" t="s">
        <v>207</v>
      </c>
      <c r="S68">
        <v>0</v>
      </c>
      <c r="T68">
        <v>1</v>
      </c>
      <c r="U68">
        <v>1</v>
      </c>
      <c r="V68">
        <v>0</v>
      </c>
      <c r="W68" t="s">
        <v>114</v>
      </c>
      <c r="X68" t="s">
        <v>207</v>
      </c>
      <c r="Y68" t="s">
        <v>207</v>
      </c>
      <c r="Z68" t="s">
        <v>420</v>
      </c>
      <c r="AA68">
        <v>51243</v>
      </c>
      <c r="AB68" t="s">
        <v>207</v>
      </c>
      <c r="AC68" t="s">
        <v>207</v>
      </c>
      <c r="AD68" t="s">
        <v>207</v>
      </c>
      <c r="AE68" t="s">
        <v>207</v>
      </c>
      <c r="AF68" t="s">
        <v>207</v>
      </c>
      <c r="AG68" t="s">
        <v>207</v>
      </c>
      <c r="AH68" t="s">
        <v>207</v>
      </c>
      <c r="AI68" t="s">
        <v>207</v>
      </c>
      <c r="AJ68" t="s">
        <v>207</v>
      </c>
      <c r="AK68" t="s">
        <v>207</v>
      </c>
      <c r="AL68">
        <v>10</v>
      </c>
      <c r="AM68">
        <v>18</v>
      </c>
      <c r="AN68" t="s">
        <v>392</v>
      </c>
      <c r="AO68" t="s">
        <v>207</v>
      </c>
      <c r="AP68" t="s">
        <v>207</v>
      </c>
      <c r="AQ68">
        <v>26938</v>
      </c>
      <c r="AR68">
        <v>10.3999996185303</v>
      </c>
      <c r="AS68" t="s">
        <v>392</v>
      </c>
      <c r="AT68" t="s">
        <v>207</v>
      </c>
      <c r="AU68" t="s">
        <v>207</v>
      </c>
      <c r="AV68">
        <v>12193</v>
      </c>
      <c r="AW68" t="s">
        <v>207</v>
      </c>
      <c r="AX68" t="s">
        <v>207</v>
      </c>
      <c r="AY68" t="s">
        <v>207</v>
      </c>
      <c r="AZ68" t="s">
        <v>207</v>
      </c>
      <c r="BA68" t="s">
        <v>207</v>
      </c>
      <c r="BB68" t="s">
        <v>207</v>
      </c>
      <c r="BC68" t="s">
        <v>207</v>
      </c>
      <c r="BD68" t="s">
        <v>207</v>
      </c>
      <c r="BE68" t="s">
        <v>207</v>
      </c>
      <c r="BF68" t="s">
        <v>423</v>
      </c>
      <c r="BG68" t="s">
        <v>207</v>
      </c>
      <c r="BH68" t="s">
        <v>207</v>
      </c>
      <c r="BI68" t="s">
        <v>207</v>
      </c>
      <c r="BJ68" t="s">
        <v>207</v>
      </c>
      <c r="BK68" t="s">
        <v>207</v>
      </c>
      <c r="BL68" t="s">
        <v>207</v>
      </c>
      <c r="BM68">
        <v>0</v>
      </c>
      <c r="BN68">
        <v>0</v>
      </c>
      <c r="BO68">
        <v>0</v>
      </c>
      <c r="BP68">
        <v>0</v>
      </c>
      <c r="BQ68">
        <v>0</v>
      </c>
      <c r="BR68">
        <v>0</v>
      </c>
      <c r="BS68">
        <v>0</v>
      </c>
      <c r="BT68">
        <v>0</v>
      </c>
      <c r="BU68">
        <v>0</v>
      </c>
      <c r="BV68">
        <v>0</v>
      </c>
      <c r="BW68" t="s">
        <v>396</v>
      </c>
      <c r="BX68" t="s">
        <v>207</v>
      </c>
      <c r="BY68" t="s">
        <v>207</v>
      </c>
      <c r="BZ68" t="s">
        <v>207</v>
      </c>
      <c r="CA68" t="s">
        <v>207</v>
      </c>
      <c r="CB68" t="s">
        <v>397</v>
      </c>
      <c r="CC68" t="s">
        <v>425</v>
      </c>
      <c r="CD68">
        <v>2030</v>
      </c>
      <c r="CE68">
        <v>0</v>
      </c>
      <c r="CF68" t="s">
        <v>207</v>
      </c>
      <c r="CG68" t="s">
        <v>399</v>
      </c>
      <c r="CH68" t="s">
        <v>207</v>
      </c>
      <c r="CI68" t="s">
        <v>400</v>
      </c>
      <c r="CJ68" t="s">
        <v>207</v>
      </c>
      <c r="CK68" t="s">
        <v>207</v>
      </c>
      <c r="CL68">
        <v>1</v>
      </c>
      <c r="CM68" t="s">
        <v>802</v>
      </c>
      <c r="CN68" t="s">
        <v>207</v>
      </c>
      <c r="CO68">
        <v>0.5</v>
      </c>
      <c r="CP68">
        <v>0</v>
      </c>
      <c r="CQ68">
        <v>1</v>
      </c>
      <c r="CR68" s="105">
        <v>33359</v>
      </c>
      <c r="CS68">
        <v>1</v>
      </c>
      <c r="CT68" s="106">
        <v>38707</v>
      </c>
      <c r="CU68">
        <v>10</v>
      </c>
      <c r="CV68" s="106">
        <v>34555</v>
      </c>
      <c r="CW68" t="s">
        <v>207</v>
      </c>
    </row>
    <row r="69" spans="1:101" x14ac:dyDescent="0.2">
      <c r="A69">
        <v>361</v>
      </c>
      <c r="B69" t="s">
        <v>256</v>
      </c>
      <c r="C69" t="s">
        <v>803</v>
      </c>
      <c r="D69">
        <v>7251</v>
      </c>
      <c r="E69" t="s">
        <v>416</v>
      </c>
      <c r="F69" t="s">
        <v>804</v>
      </c>
      <c r="G69" t="s">
        <v>805</v>
      </c>
      <c r="H69" t="s">
        <v>207</v>
      </c>
      <c r="I69" t="s">
        <v>207</v>
      </c>
      <c r="J69" t="s">
        <v>207</v>
      </c>
      <c r="K69">
        <v>289</v>
      </c>
      <c r="L69" t="s">
        <v>806</v>
      </c>
      <c r="M69">
        <v>1092</v>
      </c>
      <c r="N69" t="s">
        <v>207</v>
      </c>
      <c r="O69" t="s">
        <v>250</v>
      </c>
      <c r="P69" t="s">
        <v>391</v>
      </c>
      <c r="Q69" t="s">
        <v>207</v>
      </c>
      <c r="R69" t="s">
        <v>207</v>
      </c>
      <c r="S69">
        <v>0</v>
      </c>
      <c r="T69">
        <v>0</v>
      </c>
      <c r="U69">
        <v>0</v>
      </c>
      <c r="V69">
        <v>1</v>
      </c>
      <c r="W69" t="s">
        <v>118</v>
      </c>
      <c r="X69" t="s">
        <v>207</v>
      </c>
      <c r="Y69" t="s">
        <v>207</v>
      </c>
      <c r="Z69" t="s">
        <v>445</v>
      </c>
      <c r="AA69">
        <v>51243</v>
      </c>
      <c r="AB69">
        <v>1</v>
      </c>
      <c r="AC69" t="s">
        <v>207</v>
      </c>
      <c r="AD69">
        <v>9988</v>
      </c>
      <c r="AE69" t="s">
        <v>207</v>
      </c>
      <c r="AF69" t="s">
        <v>207</v>
      </c>
      <c r="AG69" t="s">
        <v>207</v>
      </c>
      <c r="AH69">
        <v>20</v>
      </c>
      <c r="AI69">
        <v>34089</v>
      </c>
      <c r="AJ69">
        <v>4</v>
      </c>
      <c r="AK69">
        <v>273</v>
      </c>
      <c r="AL69">
        <v>32.35</v>
      </c>
      <c r="AM69">
        <v>66</v>
      </c>
      <c r="AN69" t="s">
        <v>392</v>
      </c>
      <c r="AO69" t="s">
        <v>207</v>
      </c>
      <c r="AP69" t="s">
        <v>207</v>
      </c>
      <c r="AQ69">
        <v>40637</v>
      </c>
      <c r="AR69">
        <v>30</v>
      </c>
      <c r="AS69" t="s">
        <v>392</v>
      </c>
      <c r="AT69" t="s">
        <v>207</v>
      </c>
      <c r="AU69" t="s">
        <v>207</v>
      </c>
      <c r="AV69">
        <v>3708</v>
      </c>
      <c r="AW69">
        <v>4300</v>
      </c>
      <c r="AX69" t="s">
        <v>207</v>
      </c>
      <c r="AY69">
        <v>4699</v>
      </c>
      <c r="AZ69" t="s">
        <v>807</v>
      </c>
      <c r="BA69" t="s">
        <v>207</v>
      </c>
      <c r="BB69" t="s">
        <v>207</v>
      </c>
      <c r="BC69" t="s">
        <v>207</v>
      </c>
      <c r="BD69">
        <v>4931</v>
      </c>
      <c r="BE69" t="s">
        <v>397</v>
      </c>
      <c r="BF69" t="s">
        <v>393</v>
      </c>
      <c r="BG69" t="s">
        <v>394</v>
      </c>
      <c r="BH69" t="s">
        <v>207</v>
      </c>
      <c r="BI69" t="s">
        <v>472</v>
      </c>
      <c r="BJ69" t="s">
        <v>808</v>
      </c>
      <c r="BK69" t="s">
        <v>207</v>
      </c>
      <c r="BL69" t="s">
        <v>207</v>
      </c>
      <c r="BM69">
        <v>0</v>
      </c>
      <c r="BN69">
        <v>0</v>
      </c>
      <c r="BO69">
        <v>0</v>
      </c>
      <c r="BP69">
        <v>1</v>
      </c>
      <c r="BQ69">
        <v>0</v>
      </c>
      <c r="BR69">
        <v>1</v>
      </c>
      <c r="BS69">
        <v>1</v>
      </c>
      <c r="BT69">
        <v>0</v>
      </c>
      <c r="BU69">
        <v>1</v>
      </c>
      <c r="BV69">
        <v>1</v>
      </c>
      <c r="BW69" t="s">
        <v>396</v>
      </c>
      <c r="BX69" t="s">
        <v>207</v>
      </c>
      <c r="BY69" t="s">
        <v>207</v>
      </c>
      <c r="BZ69" t="s">
        <v>396</v>
      </c>
      <c r="CA69" t="s">
        <v>207</v>
      </c>
      <c r="CB69" t="s">
        <v>438</v>
      </c>
      <c r="CC69" t="s">
        <v>207</v>
      </c>
      <c r="CD69">
        <v>273</v>
      </c>
      <c r="CE69">
        <v>1</v>
      </c>
      <c r="CF69">
        <v>4699</v>
      </c>
      <c r="CG69" t="s">
        <v>809</v>
      </c>
      <c r="CH69">
        <v>9988</v>
      </c>
      <c r="CI69" t="s">
        <v>400</v>
      </c>
      <c r="CJ69" t="s">
        <v>207</v>
      </c>
      <c r="CK69" t="s">
        <v>207</v>
      </c>
      <c r="CL69">
        <v>1</v>
      </c>
      <c r="CM69" t="s">
        <v>810</v>
      </c>
      <c r="CN69" t="s">
        <v>207</v>
      </c>
      <c r="CO69">
        <v>0.531199991703033</v>
      </c>
      <c r="CP69">
        <v>0</v>
      </c>
      <c r="CQ69">
        <v>2</v>
      </c>
      <c r="CR69" s="105">
        <v>33163</v>
      </c>
      <c r="CS69">
        <v>2</v>
      </c>
      <c r="CT69" s="106">
        <v>41701</v>
      </c>
      <c r="CU69">
        <v>10</v>
      </c>
      <c r="CV69" s="106">
        <v>34559</v>
      </c>
      <c r="CW69" t="s">
        <v>207</v>
      </c>
    </row>
    <row r="70" spans="1:101" x14ac:dyDescent="0.2">
      <c r="A70">
        <v>5906</v>
      </c>
      <c r="B70" t="s">
        <v>257</v>
      </c>
      <c r="C70" t="s">
        <v>811</v>
      </c>
      <c r="D70">
        <v>247</v>
      </c>
      <c r="E70" t="s">
        <v>812</v>
      </c>
      <c r="F70" t="s">
        <v>813</v>
      </c>
      <c r="G70" t="s">
        <v>814</v>
      </c>
      <c r="H70" t="s">
        <v>207</v>
      </c>
      <c r="I70" t="s">
        <v>207</v>
      </c>
      <c r="J70" t="s">
        <v>207</v>
      </c>
      <c r="K70">
        <v>492</v>
      </c>
      <c r="L70" t="s">
        <v>207</v>
      </c>
      <c r="M70">
        <v>8435</v>
      </c>
      <c r="N70" t="s">
        <v>207</v>
      </c>
      <c r="O70" t="s">
        <v>205</v>
      </c>
      <c r="P70" t="s">
        <v>444</v>
      </c>
      <c r="Q70" t="s">
        <v>207</v>
      </c>
      <c r="R70" t="s">
        <v>207</v>
      </c>
      <c r="S70">
        <v>0</v>
      </c>
      <c r="T70">
        <v>0</v>
      </c>
      <c r="U70">
        <v>0</v>
      </c>
      <c r="V70">
        <v>1</v>
      </c>
      <c r="W70" t="s">
        <v>118</v>
      </c>
      <c r="X70" t="s">
        <v>207</v>
      </c>
      <c r="Y70" t="s">
        <v>207</v>
      </c>
      <c r="Z70" t="s">
        <v>207</v>
      </c>
      <c r="AA70" t="s">
        <v>207</v>
      </c>
      <c r="AB70">
        <v>0</v>
      </c>
      <c r="AC70">
        <v>50</v>
      </c>
      <c r="AD70">
        <v>54540</v>
      </c>
      <c r="AE70" t="s">
        <v>207</v>
      </c>
      <c r="AF70" t="s">
        <v>207</v>
      </c>
      <c r="AG70" t="s">
        <v>207</v>
      </c>
      <c r="AH70" t="s">
        <v>207</v>
      </c>
      <c r="AI70" t="s">
        <v>207</v>
      </c>
      <c r="AJ70" t="s">
        <v>207</v>
      </c>
      <c r="AK70" t="s">
        <v>207</v>
      </c>
      <c r="AL70">
        <v>45.71</v>
      </c>
      <c r="AM70">
        <v>107</v>
      </c>
      <c r="AN70" t="s">
        <v>392</v>
      </c>
      <c r="AO70" t="s">
        <v>207</v>
      </c>
      <c r="AP70" t="s">
        <v>207</v>
      </c>
      <c r="AQ70">
        <v>247</v>
      </c>
      <c r="AR70" t="s">
        <v>207</v>
      </c>
      <c r="AS70" t="s">
        <v>207</v>
      </c>
      <c r="AT70" t="s">
        <v>207</v>
      </c>
      <c r="AU70" t="s">
        <v>207</v>
      </c>
      <c r="AV70" t="s">
        <v>207</v>
      </c>
      <c r="AW70" t="s">
        <v>207</v>
      </c>
      <c r="AX70" t="s">
        <v>207</v>
      </c>
      <c r="AY70" t="s">
        <v>207</v>
      </c>
      <c r="AZ70" t="s">
        <v>815</v>
      </c>
      <c r="BA70" t="s">
        <v>207</v>
      </c>
      <c r="BB70" t="s">
        <v>207</v>
      </c>
      <c r="BC70" t="s">
        <v>207</v>
      </c>
      <c r="BD70">
        <v>171</v>
      </c>
      <c r="BE70" t="s">
        <v>511</v>
      </c>
      <c r="BF70" t="s">
        <v>423</v>
      </c>
      <c r="BG70" t="s">
        <v>207</v>
      </c>
      <c r="BH70" t="s">
        <v>207</v>
      </c>
      <c r="BI70" t="s">
        <v>411</v>
      </c>
      <c r="BJ70" t="s">
        <v>207</v>
      </c>
      <c r="BK70" t="s">
        <v>411</v>
      </c>
      <c r="BL70" t="s">
        <v>411</v>
      </c>
      <c r="BM70">
        <v>0</v>
      </c>
      <c r="BN70">
        <v>0</v>
      </c>
      <c r="BO70">
        <v>0</v>
      </c>
      <c r="BP70">
        <v>0</v>
      </c>
      <c r="BQ70">
        <v>0</v>
      </c>
      <c r="BR70">
        <v>0</v>
      </c>
      <c r="BS70">
        <v>0</v>
      </c>
      <c r="BT70">
        <v>0</v>
      </c>
      <c r="BU70">
        <v>0</v>
      </c>
      <c r="BV70">
        <v>0</v>
      </c>
      <c r="BW70" t="s">
        <v>396</v>
      </c>
      <c r="BX70" t="s">
        <v>411</v>
      </c>
      <c r="BY70" t="s">
        <v>207</v>
      </c>
      <c r="BZ70" t="s">
        <v>396</v>
      </c>
      <c r="CA70" t="s">
        <v>207</v>
      </c>
      <c r="CB70" t="s">
        <v>396</v>
      </c>
      <c r="CC70" t="s">
        <v>398</v>
      </c>
      <c r="CD70">
        <v>6871</v>
      </c>
      <c r="CE70">
        <v>0</v>
      </c>
      <c r="CF70" t="s">
        <v>207</v>
      </c>
      <c r="CG70" t="s">
        <v>399</v>
      </c>
      <c r="CH70">
        <v>247</v>
      </c>
      <c r="CI70" t="s">
        <v>771</v>
      </c>
      <c r="CJ70">
        <v>10311</v>
      </c>
      <c r="CK70" t="s">
        <v>207</v>
      </c>
      <c r="CL70">
        <v>1</v>
      </c>
      <c r="CM70" t="s">
        <v>816</v>
      </c>
      <c r="CN70" t="s">
        <v>207</v>
      </c>
      <c r="CO70">
        <v>0.50199997425079301</v>
      </c>
      <c r="CP70">
        <v>0</v>
      </c>
      <c r="CQ70">
        <v>23</v>
      </c>
      <c r="CR70" s="105">
        <v>33770</v>
      </c>
      <c r="CS70">
        <v>949</v>
      </c>
      <c r="CT70" s="106">
        <v>38520</v>
      </c>
      <c r="CU70">
        <v>113</v>
      </c>
      <c r="CV70" s="106">
        <v>35606</v>
      </c>
      <c r="CW70" t="s">
        <v>207</v>
      </c>
    </row>
    <row r="71" spans="1:101" x14ac:dyDescent="0.2">
      <c r="A71">
        <v>247</v>
      </c>
      <c r="B71" t="s">
        <v>74</v>
      </c>
      <c r="C71" t="s">
        <v>817</v>
      </c>
      <c r="D71">
        <v>86798</v>
      </c>
      <c r="E71" t="s">
        <v>416</v>
      </c>
      <c r="F71" t="s">
        <v>818</v>
      </c>
      <c r="G71" t="s">
        <v>819</v>
      </c>
      <c r="H71" t="s">
        <v>207</v>
      </c>
      <c r="I71" t="s">
        <v>207</v>
      </c>
      <c r="J71" t="s">
        <v>207</v>
      </c>
      <c r="K71">
        <v>76</v>
      </c>
      <c r="L71" t="s">
        <v>469</v>
      </c>
      <c r="M71">
        <v>2210</v>
      </c>
      <c r="N71">
        <v>1</v>
      </c>
      <c r="O71" t="s">
        <v>250</v>
      </c>
      <c r="P71" t="s">
        <v>444</v>
      </c>
      <c r="Q71" t="s">
        <v>207</v>
      </c>
      <c r="R71" t="s">
        <v>820</v>
      </c>
      <c r="S71">
        <v>1</v>
      </c>
      <c r="T71">
        <v>1</v>
      </c>
      <c r="U71">
        <v>1</v>
      </c>
      <c r="V71">
        <v>1</v>
      </c>
      <c r="W71" t="s">
        <v>114</v>
      </c>
      <c r="X71" t="s">
        <v>207</v>
      </c>
      <c r="Y71" t="s">
        <v>207</v>
      </c>
      <c r="Z71" t="s">
        <v>461</v>
      </c>
      <c r="AA71">
        <v>51243</v>
      </c>
      <c r="AB71">
        <v>0</v>
      </c>
      <c r="AC71">
        <v>70</v>
      </c>
      <c r="AD71">
        <v>30578</v>
      </c>
      <c r="AE71">
        <v>0</v>
      </c>
      <c r="AF71">
        <v>1</v>
      </c>
      <c r="AG71">
        <v>101587</v>
      </c>
      <c r="AH71">
        <v>40</v>
      </c>
      <c r="AI71">
        <v>46974</v>
      </c>
      <c r="AJ71" t="s">
        <v>207</v>
      </c>
      <c r="AK71" t="s">
        <v>207</v>
      </c>
      <c r="AL71">
        <v>74.33</v>
      </c>
      <c r="AM71">
        <v>107</v>
      </c>
      <c r="AN71" t="s">
        <v>392</v>
      </c>
      <c r="AO71" t="s">
        <v>207</v>
      </c>
      <c r="AP71" t="s">
        <v>207</v>
      </c>
      <c r="AQ71">
        <v>40637</v>
      </c>
      <c r="AR71">
        <v>40</v>
      </c>
      <c r="AS71" t="s">
        <v>392</v>
      </c>
      <c r="AT71" t="s">
        <v>207</v>
      </c>
      <c r="AU71" t="s">
        <v>207</v>
      </c>
      <c r="AV71">
        <v>4779</v>
      </c>
      <c r="AW71">
        <v>15000</v>
      </c>
      <c r="AX71" t="s">
        <v>207</v>
      </c>
      <c r="AY71">
        <v>4779</v>
      </c>
      <c r="AZ71" t="s">
        <v>821</v>
      </c>
      <c r="BA71" t="s">
        <v>207</v>
      </c>
      <c r="BB71" t="s">
        <v>207</v>
      </c>
      <c r="BC71" t="s">
        <v>207</v>
      </c>
      <c r="BD71">
        <v>4931</v>
      </c>
      <c r="BE71" t="s">
        <v>422</v>
      </c>
      <c r="BF71" t="s">
        <v>393</v>
      </c>
      <c r="BG71" t="s">
        <v>394</v>
      </c>
      <c r="BH71" t="s">
        <v>207</v>
      </c>
      <c r="BI71" t="s">
        <v>768</v>
      </c>
      <c r="BJ71" t="s">
        <v>207</v>
      </c>
      <c r="BK71" t="s">
        <v>207</v>
      </c>
      <c r="BL71" t="s">
        <v>207</v>
      </c>
      <c r="BM71">
        <v>0</v>
      </c>
      <c r="BN71">
        <v>1</v>
      </c>
      <c r="BO71">
        <v>0</v>
      </c>
      <c r="BP71">
        <v>0</v>
      </c>
      <c r="BQ71">
        <v>0</v>
      </c>
      <c r="BR71">
        <v>0</v>
      </c>
      <c r="BS71">
        <v>0</v>
      </c>
      <c r="BT71">
        <v>0</v>
      </c>
      <c r="BU71">
        <v>1</v>
      </c>
      <c r="BV71">
        <v>0</v>
      </c>
      <c r="BW71" t="s">
        <v>397</v>
      </c>
      <c r="BX71" t="s">
        <v>437</v>
      </c>
      <c r="BY71">
        <v>12108</v>
      </c>
      <c r="BZ71" t="s">
        <v>396</v>
      </c>
      <c r="CA71" t="s">
        <v>207</v>
      </c>
      <c r="CB71" t="s">
        <v>396</v>
      </c>
      <c r="CC71" t="s">
        <v>207</v>
      </c>
      <c r="CD71" t="s">
        <v>207</v>
      </c>
      <c r="CE71">
        <v>1</v>
      </c>
      <c r="CF71">
        <v>4699</v>
      </c>
      <c r="CG71" t="s">
        <v>399</v>
      </c>
      <c r="CH71" t="s">
        <v>207</v>
      </c>
      <c r="CI71" t="s">
        <v>400</v>
      </c>
      <c r="CJ71" t="s">
        <v>207</v>
      </c>
      <c r="CK71" t="s">
        <v>207</v>
      </c>
      <c r="CL71">
        <v>1</v>
      </c>
      <c r="CM71" t="s">
        <v>822</v>
      </c>
      <c r="CN71" t="s">
        <v>207</v>
      </c>
      <c r="CO71">
        <v>0.5</v>
      </c>
      <c r="CP71">
        <v>0</v>
      </c>
      <c r="CQ71">
        <v>2</v>
      </c>
      <c r="CR71" s="105">
        <v>33163</v>
      </c>
      <c r="CS71">
        <v>10</v>
      </c>
      <c r="CT71" s="106">
        <v>43649</v>
      </c>
      <c r="CU71">
        <v>18</v>
      </c>
      <c r="CV71" s="106">
        <v>34536</v>
      </c>
      <c r="CW71" t="s">
        <v>207</v>
      </c>
    </row>
    <row r="72" spans="1:101" x14ac:dyDescent="0.2">
      <c r="A72">
        <v>6</v>
      </c>
      <c r="B72" t="s">
        <v>830</v>
      </c>
      <c r="C72" t="s">
        <v>831</v>
      </c>
      <c r="D72">
        <v>26</v>
      </c>
      <c r="E72" t="s">
        <v>455</v>
      </c>
      <c r="F72" t="s">
        <v>832</v>
      </c>
      <c r="G72" t="s">
        <v>833</v>
      </c>
      <c r="H72" t="s">
        <v>207</v>
      </c>
      <c r="I72" t="s">
        <v>207</v>
      </c>
      <c r="J72" t="s">
        <v>207</v>
      </c>
      <c r="K72">
        <v>315</v>
      </c>
      <c r="L72" t="s">
        <v>207</v>
      </c>
      <c r="M72">
        <v>6651</v>
      </c>
      <c r="N72" t="s">
        <v>207</v>
      </c>
      <c r="O72" t="s">
        <v>205</v>
      </c>
      <c r="P72" t="s">
        <v>444</v>
      </c>
      <c r="Q72" t="s">
        <v>207</v>
      </c>
      <c r="R72" t="s">
        <v>207</v>
      </c>
      <c r="S72">
        <v>0</v>
      </c>
      <c r="T72">
        <v>0</v>
      </c>
      <c r="U72">
        <v>1</v>
      </c>
      <c r="V72">
        <v>1</v>
      </c>
      <c r="W72" t="s">
        <v>189</v>
      </c>
      <c r="X72" t="s">
        <v>207</v>
      </c>
      <c r="Y72" t="s">
        <v>207</v>
      </c>
      <c r="Z72" t="s">
        <v>445</v>
      </c>
      <c r="AA72">
        <v>51243</v>
      </c>
      <c r="AB72">
        <v>0</v>
      </c>
      <c r="AC72">
        <v>85</v>
      </c>
      <c r="AD72">
        <v>13608</v>
      </c>
      <c r="AE72">
        <v>5</v>
      </c>
      <c r="AF72">
        <v>10</v>
      </c>
      <c r="AG72">
        <v>40849</v>
      </c>
      <c r="AH72">
        <v>4</v>
      </c>
      <c r="AI72">
        <v>2885</v>
      </c>
      <c r="AJ72" t="s">
        <v>207</v>
      </c>
      <c r="AK72" t="s">
        <v>207</v>
      </c>
      <c r="AL72">
        <v>39.24</v>
      </c>
      <c r="AM72">
        <v>210</v>
      </c>
      <c r="AN72" t="s">
        <v>392</v>
      </c>
      <c r="AO72" t="s">
        <v>207</v>
      </c>
      <c r="AP72" t="s">
        <v>207</v>
      </c>
      <c r="AQ72">
        <v>9846</v>
      </c>
      <c r="AR72">
        <v>100</v>
      </c>
      <c r="AS72" t="s">
        <v>392</v>
      </c>
      <c r="AT72" t="s">
        <v>207</v>
      </c>
      <c r="AU72" t="s">
        <v>207</v>
      </c>
      <c r="AV72">
        <v>3390</v>
      </c>
      <c r="AW72">
        <v>40000</v>
      </c>
      <c r="AX72" t="s">
        <v>207</v>
      </c>
      <c r="AY72">
        <v>30874</v>
      </c>
      <c r="AZ72" t="s">
        <v>834</v>
      </c>
      <c r="BA72" t="s">
        <v>207</v>
      </c>
      <c r="BB72" t="s">
        <v>207</v>
      </c>
      <c r="BC72" t="s">
        <v>207</v>
      </c>
      <c r="BD72">
        <v>4931</v>
      </c>
      <c r="BE72" t="s">
        <v>434</v>
      </c>
      <c r="BF72" t="s">
        <v>447</v>
      </c>
      <c r="BG72" t="s">
        <v>394</v>
      </c>
      <c r="BH72" t="s">
        <v>207</v>
      </c>
      <c r="BI72" t="s">
        <v>435</v>
      </c>
      <c r="BJ72" t="s">
        <v>207</v>
      </c>
      <c r="BK72" t="s">
        <v>794</v>
      </c>
      <c r="BL72" t="s">
        <v>411</v>
      </c>
      <c r="BM72">
        <v>1</v>
      </c>
      <c r="BN72">
        <v>1</v>
      </c>
      <c r="BO72">
        <v>0</v>
      </c>
      <c r="BP72">
        <v>0</v>
      </c>
      <c r="BQ72">
        <v>0</v>
      </c>
      <c r="BR72">
        <v>0</v>
      </c>
      <c r="BS72">
        <v>0</v>
      </c>
      <c r="BT72">
        <v>0</v>
      </c>
      <c r="BU72">
        <v>1</v>
      </c>
      <c r="BV72">
        <v>0</v>
      </c>
      <c r="BW72" t="s">
        <v>397</v>
      </c>
      <c r="BX72" t="s">
        <v>411</v>
      </c>
      <c r="BY72">
        <v>3691</v>
      </c>
      <c r="BZ72" t="s">
        <v>396</v>
      </c>
      <c r="CA72" t="s">
        <v>207</v>
      </c>
      <c r="CB72" t="s">
        <v>396</v>
      </c>
      <c r="CC72" t="s">
        <v>411</v>
      </c>
      <c r="CD72" t="s">
        <v>207</v>
      </c>
      <c r="CE72">
        <v>1</v>
      </c>
      <c r="CF72">
        <v>4699</v>
      </c>
      <c r="CG72" t="s">
        <v>835</v>
      </c>
      <c r="CH72">
        <v>30911</v>
      </c>
      <c r="CI72" t="s">
        <v>400</v>
      </c>
      <c r="CJ72" t="s">
        <v>207</v>
      </c>
      <c r="CK72" t="s">
        <v>207</v>
      </c>
      <c r="CL72">
        <v>1</v>
      </c>
      <c r="CM72" t="s">
        <v>836</v>
      </c>
      <c r="CN72" t="s">
        <v>207</v>
      </c>
      <c r="CO72">
        <v>1</v>
      </c>
      <c r="CP72">
        <v>0</v>
      </c>
      <c r="CQ72">
        <v>2</v>
      </c>
      <c r="CR72" s="105">
        <v>33163</v>
      </c>
      <c r="CS72">
        <v>97</v>
      </c>
      <c r="CT72" s="106">
        <v>43510</v>
      </c>
      <c r="CU72">
        <v>133</v>
      </c>
      <c r="CV72" s="106">
        <v>34977</v>
      </c>
      <c r="CW72" t="s">
        <v>207</v>
      </c>
    </row>
    <row r="73" spans="1:101" x14ac:dyDescent="0.2">
      <c r="A73">
        <v>35</v>
      </c>
      <c r="B73" t="s">
        <v>13</v>
      </c>
      <c r="C73" t="s">
        <v>842</v>
      </c>
      <c r="D73">
        <v>172</v>
      </c>
      <c r="E73" t="s">
        <v>416</v>
      </c>
      <c r="F73" t="s">
        <v>843</v>
      </c>
      <c r="G73" t="s">
        <v>844</v>
      </c>
      <c r="H73" t="s">
        <v>207</v>
      </c>
      <c r="I73" t="s">
        <v>207</v>
      </c>
      <c r="J73" t="s">
        <v>207</v>
      </c>
      <c r="K73">
        <v>49</v>
      </c>
      <c r="L73" t="s">
        <v>207</v>
      </c>
      <c r="M73">
        <v>9424</v>
      </c>
      <c r="N73" t="s">
        <v>207</v>
      </c>
      <c r="O73" t="s">
        <v>208</v>
      </c>
      <c r="P73" t="s">
        <v>391</v>
      </c>
      <c r="Q73" t="s">
        <v>207</v>
      </c>
      <c r="R73" t="s">
        <v>207</v>
      </c>
      <c r="S73">
        <v>0</v>
      </c>
      <c r="T73">
        <v>1</v>
      </c>
      <c r="U73">
        <v>1</v>
      </c>
      <c r="V73">
        <v>1</v>
      </c>
      <c r="W73" t="s">
        <v>126</v>
      </c>
      <c r="X73" t="s">
        <v>207</v>
      </c>
      <c r="Y73" t="s">
        <v>207</v>
      </c>
      <c r="Z73" t="s">
        <v>431</v>
      </c>
      <c r="AA73">
        <v>51243</v>
      </c>
      <c r="AB73">
        <v>0</v>
      </c>
      <c r="AC73">
        <v>700</v>
      </c>
      <c r="AD73">
        <v>54218</v>
      </c>
      <c r="AE73" t="s">
        <v>207</v>
      </c>
      <c r="AF73" t="s">
        <v>207</v>
      </c>
      <c r="AG73" t="s">
        <v>207</v>
      </c>
      <c r="AH73">
        <v>88</v>
      </c>
      <c r="AI73">
        <v>72468</v>
      </c>
      <c r="AJ73">
        <v>55</v>
      </c>
      <c r="AK73">
        <v>72462</v>
      </c>
      <c r="AL73">
        <v>64.349999999999994</v>
      </c>
      <c r="AM73">
        <v>121.5</v>
      </c>
      <c r="AN73" t="s">
        <v>392</v>
      </c>
      <c r="AO73">
        <v>133</v>
      </c>
      <c r="AP73" t="s">
        <v>392</v>
      </c>
      <c r="AQ73">
        <v>88166</v>
      </c>
      <c r="AR73">
        <v>35</v>
      </c>
      <c r="AS73" t="s">
        <v>392</v>
      </c>
      <c r="AT73">
        <v>50</v>
      </c>
      <c r="AU73" t="s">
        <v>392</v>
      </c>
      <c r="AV73">
        <v>6125</v>
      </c>
      <c r="AW73">
        <v>6599</v>
      </c>
      <c r="AX73">
        <v>2850</v>
      </c>
      <c r="AY73">
        <v>39903</v>
      </c>
      <c r="AZ73" t="s">
        <v>845</v>
      </c>
      <c r="BA73" t="s">
        <v>207</v>
      </c>
      <c r="BB73" t="s">
        <v>207</v>
      </c>
      <c r="BC73" t="s">
        <v>207</v>
      </c>
      <c r="BD73">
        <v>4931</v>
      </c>
      <c r="BE73" t="s">
        <v>397</v>
      </c>
      <c r="BF73" t="s">
        <v>423</v>
      </c>
      <c r="BG73" t="s">
        <v>207</v>
      </c>
      <c r="BH73" t="s">
        <v>207</v>
      </c>
      <c r="BI73" t="s">
        <v>435</v>
      </c>
      <c r="BJ73" t="s">
        <v>846</v>
      </c>
      <c r="BK73" t="s">
        <v>847</v>
      </c>
      <c r="BL73" t="s">
        <v>411</v>
      </c>
      <c r="BM73">
        <v>1</v>
      </c>
      <c r="BN73">
        <v>1</v>
      </c>
      <c r="BO73">
        <v>0</v>
      </c>
      <c r="BP73">
        <v>1</v>
      </c>
      <c r="BQ73">
        <v>1</v>
      </c>
      <c r="BR73">
        <v>1</v>
      </c>
      <c r="BS73">
        <v>0</v>
      </c>
      <c r="BT73">
        <v>0</v>
      </c>
      <c r="BU73">
        <v>1</v>
      </c>
      <c r="BV73">
        <v>1</v>
      </c>
      <c r="BW73" t="s">
        <v>397</v>
      </c>
      <c r="BX73" t="s">
        <v>411</v>
      </c>
      <c r="BY73">
        <v>12108</v>
      </c>
      <c r="BZ73" t="s">
        <v>396</v>
      </c>
      <c r="CA73" t="s">
        <v>207</v>
      </c>
      <c r="CB73" t="s">
        <v>396</v>
      </c>
      <c r="CC73" t="s">
        <v>411</v>
      </c>
      <c r="CD73">
        <v>274</v>
      </c>
      <c r="CE73">
        <v>1</v>
      </c>
      <c r="CF73">
        <v>4699</v>
      </c>
      <c r="CG73" t="s">
        <v>399</v>
      </c>
      <c r="CH73" t="s">
        <v>207</v>
      </c>
      <c r="CI73" t="s">
        <v>400</v>
      </c>
      <c r="CJ73" t="s">
        <v>207</v>
      </c>
      <c r="CK73" t="s">
        <v>207</v>
      </c>
      <c r="CL73">
        <v>1</v>
      </c>
      <c r="CM73" t="s">
        <v>848</v>
      </c>
      <c r="CN73" t="s">
        <v>207</v>
      </c>
      <c r="CO73">
        <v>0.5</v>
      </c>
      <c r="CP73">
        <v>0</v>
      </c>
      <c r="CQ73">
        <v>1</v>
      </c>
      <c r="CR73" s="105">
        <v>33163</v>
      </c>
      <c r="CS73">
        <v>65</v>
      </c>
      <c r="CT73" s="106">
        <v>42492</v>
      </c>
      <c r="CU73">
        <v>97</v>
      </c>
      <c r="CV73" s="106">
        <v>37624</v>
      </c>
      <c r="CW73" t="s">
        <v>207</v>
      </c>
    </row>
    <row r="74" spans="1:101" x14ac:dyDescent="0.2">
      <c r="A74">
        <v>69</v>
      </c>
      <c r="B74" t="s">
        <v>28</v>
      </c>
      <c r="C74" t="s">
        <v>849</v>
      </c>
      <c r="D74">
        <v>1371</v>
      </c>
      <c r="E74" t="s">
        <v>455</v>
      </c>
      <c r="F74" t="s">
        <v>850</v>
      </c>
      <c r="G74" t="s">
        <v>851</v>
      </c>
      <c r="H74" t="s">
        <v>207</v>
      </c>
      <c r="I74" t="s">
        <v>207</v>
      </c>
      <c r="J74" t="s">
        <v>207</v>
      </c>
      <c r="K74">
        <v>183</v>
      </c>
      <c r="L74" t="s">
        <v>207</v>
      </c>
      <c r="M74">
        <v>3348</v>
      </c>
      <c r="N74" t="s">
        <v>207</v>
      </c>
      <c r="O74" t="s">
        <v>250</v>
      </c>
      <c r="P74" t="s">
        <v>444</v>
      </c>
      <c r="Q74" t="s">
        <v>207</v>
      </c>
      <c r="R74" t="s">
        <v>207</v>
      </c>
      <c r="S74">
        <v>0</v>
      </c>
      <c r="T74">
        <v>0</v>
      </c>
      <c r="U74">
        <v>1</v>
      </c>
      <c r="V74">
        <v>1</v>
      </c>
      <c r="W74" t="s">
        <v>114</v>
      </c>
      <c r="X74" t="s">
        <v>207</v>
      </c>
      <c r="Y74" t="s">
        <v>207</v>
      </c>
      <c r="Z74" t="s">
        <v>445</v>
      </c>
      <c r="AA74">
        <v>51243</v>
      </c>
      <c r="AB74">
        <v>0</v>
      </c>
      <c r="AC74">
        <v>600</v>
      </c>
      <c r="AD74">
        <v>1371</v>
      </c>
      <c r="AE74">
        <v>150</v>
      </c>
      <c r="AF74">
        <v>200</v>
      </c>
      <c r="AG74">
        <v>54441</v>
      </c>
      <c r="AH74">
        <v>25</v>
      </c>
      <c r="AI74">
        <v>173</v>
      </c>
      <c r="AJ74" t="s">
        <v>207</v>
      </c>
      <c r="AK74" t="s">
        <v>207</v>
      </c>
      <c r="AL74">
        <v>65.400000000000006</v>
      </c>
      <c r="AM74">
        <v>200</v>
      </c>
      <c r="AN74" t="s">
        <v>392</v>
      </c>
      <c r="AO74" t="s">
        <v>207</v>
      </c>
      <c r="AP74" t="s">
        <v>207</v>
      </c>
      <c r="AQ74">
        <v>1371</v>
      </c>
      <c r="AR74">
        <v>100</v>
      </c>
      <c r="AS74" t="s">
        <v>392</v>
      </c>
      <c r="AT74" t="s">
        <v>207</v>
      </c>
      <c r="AU74" t="s">
        <v>207</v>
      </c>
      <c r="AV74">
        <v>1371</v>
      </c>
      <c r="AW74">
        <v>96000</v>
      </c>
      <c r="AX74" t="s">
        <v>207</v>
      </c>
      <c r="AY74">
        <v>9988</v>
      </c>
      <c r="AZ74" t="s">
        <v>852</v>
      </c>
      <c r="BA74" t="s">
        <v>207</v>
      </c>
      <c r="BB74" t="s">
        <v>853</v>
      </c>
      <c r="BC74" t="s">
        <v>207</v>
      </c>
      <c r="BD74">
        <v>4931</v>
      </c>
      <c r="BE74" t="s">
        <v>434</v>
      </c>
      <c r="BF74" t="s">
        <v>736</v>
      </c>
      <c r="BG74" t="s">
        <v>394</v>
      </c>
      <c r="BH74" t="s">
        <v>207</v>
      </c>
      <c r="BI74" t="s">
        <v>558</v>
      </c>
      <c r="BJ74" t="s">
        <v>854</v>
      </c>
      <c r="BK74" t="s">
        <v>451</v>
      </c>
      <c r="BL74" t="s">
        <v>855</v>
      </c>
      <c r="BM74">
        <v>1</v>
      </c>
      <c r="BN74">
        <v>1</v>
      </c>
      <c r="BO74">
        <v>0</v>
      </c>
      <c r="BP74">
        <v>1</v>
      </c>
      <c r="BQ74">
        <v>0</v>
      </c>
      <c r="BR74">
        <v>1</v>
      </c>
      <c r="BS74">
        <v>0</v>
      </c>
      <c r="BT74">
        <v>0</v>
      </c>
      <c r="BU74">
        <v>1</v>
      </c>
      <c r="BV74">
        <v>1</v>
      </c>
      <c r="BW74" t="s">
        <v>397</v>
      </c>
      <c r="BX74" t="s">
        <v>411</v>
      </c>
      <c r="BY74">
        <v>12108</v>
      </c>
      <c r="BZ74" t="s">
        <v>396</v>
      </c>
      <c r="CA74" t="s">
        <v>207</v>
      </c>
      <c r="CB74" t="s">
        <v>396</v>
      </c>
      <c r="CC74" t="s">
        <v>398</v>
      </c>
      <c r="CD74">
        <v>12253</v>
      </c>
      <c r="CE74">
        <v>1</v>
      </c>
      <c r="CF74">
        <v>4699</v>
      </c>
      <c r="CG74" t="s">
        <v>399</v>
      </c>
      <c r="CH74" t="s">
        <v>207</v>
      </c>
      <c r="CI74" t="s">
        <v>400</v>
      </c>
      <c r="CJ74" t="s">
        <v>207</v>
      </c>
      <c r="CK74" t="s">
        <v>207</v>
      </c>
      <c r="CL74">
        <v>1</v>
      </c>
      <c r="CM74" t="s">
        <v>856</v>
      </c>
      <c r="CN74" t="s">
        <v>207</v>
      </c>
      <c r="CO74">
        <v>0.625</v>
      </c>
      <c r="CP74">
        <v>0</v>
      </c>
      <c r="CQ74">
        <v>2</v>
      </c>
      <c r="CR74" s="105">
        <v>33163</v>
      </c>
      <c r="CS74">
        <v>10</v>
      </c>
      <c r="CT74" s="106">
        <v>44252</v>
      </c>
      <c r="CU74">
        <v>2</v>
      </c>
      <c r="CV74" s="106">
        <v>36852.700254629628</v>
      </c>
      <c r="CW74" t="s">
        <v>207</v>
      </c>
    </row>
    <row r="75" spans="1:101" x14ac:dyDescent="0.2">
      <c r="A75">
        <v>350</v>
      </c>
      <c r="B75" t="s">
        <v>62</v>
      </c>
      <c r="C75" t="s">
        <v>857</v>
      </c>
      <c r="D75">
        <v>7300</v>
      </c>
      <c r="E75" t="s">
        <v>858</v>
      </c>
      <c r="F75" t="s">
        <v>859</v>
      </c>
      <c r="G75" t="s">
        <v>860</v>
      </c>
      <c r="H75" t="s">
        <v>207</v>
      </c>
      <c r="I75" t="s">
        <v>207</v>
      </c>
      <c r="J75" t="s">
        <v>207</v>
      </c>
      <c r="K75">
        <v>513</v>
      </c>
      <c r="L75" t="s">
        <v>207</v>
      </c>
      <c r="M75">
        <v>5630</v>
      </c>
      <c r="N75" t="s">
        <v>207</v>
      </c>
      <c r="O75" t="s">
        <v>250</v>
      </c>
      <c r="P75" t="s">
        <v>444</v>
      </c>
      <c r="Q75" t="s">
        <v>207</v>
      </c>
      <c r="R75" t="s">
        <v>207</v>
      </c>
      <c r="S75">
        <v>0</v>
      </c>
      <c r="T75">
        <v>0</v>
      </c>
      <c r="U75">
        <v>0</v>
      </c>
      <c r="V75">
        <v>1</v>
      </c>
      <c r="W75" t="s">
        <v>126</v>
      </c>
      <c r="X75" t="s">
        <v>207</v>
      </c>
      <c r="Y75" t="s">
        <v>207</v>
      </c>
      <c r="Z75" t="s">
        <v>207</v>
      </c>
      <c r="AA75" t="s">
        <v>207</v>
      </c>
      <c r="AB75">
        <v>50</v>
      </c>
      <c r="AC75">
        <v>854</v>
      </c>
      <c r="AD75">
        <v>52581</v>
      </c>
      <c r="AE75" t="s">
        <v>207</v>
      </c>
      <c r="AF75" t="s">
        <v>207</v>
      </c>
      <c r="AG75" t="s">
        <v>207</v>
      </c>
      <c r="AH75">
        <v>60</v>
      </c>
      <c r="AI75">
        <v>41439</v>
      </c>
      <c r="AJ75" t="s">
        <v>207</v>
      </c>
      <c r="AK75" t="s">
        <v>207</v>
      </c>
      <c r="AL75">
        <v>58.35</v>
      </c>
      <c r="AM75">
        <v>160</v>
      </c>
      <c r="AN75" t="s">
        <v>392</v>
      </c>
      <c r="AO75" t="s">
        <v>207</v>
      </c>
      <c r="AP75" t="s">
        <v>207</v>
      </c>
      <c r="AQ75">
        <v>89467</v>
      </c>
      <c r="AR75">
        <v>100</v>
      </c>
      <c r="AS75" t="s">
        <v>392</v>
      </c>
      <c r="AT75" t="s">
        <v>207</v>
      </c>
      <c r="AU75" t="s">
        <v>207</v>
      </c>
      <c r="AV75">
        <v>9258</v>
      </c>
      <c r="AW75" s="108">
        <v>100000</v>
      </c>
      <c r="AX75" t="s">
        <v>207</v>
      </c>
      <c r="AY75">
        <v>4537</v>
      </c>
      <c r="AZ75" t="s">
        <v>861</v>
      </c>
      <c r="BA75" t="s">
        <v>207</v>
      </c>
      <c r="BB75" t="s">
        <v>207</v>
      </c>
      <c r="BC75" t="s">
        <v>207</v>
      </c>
      <c r="BD75">
        <v>4931</v>
      </c>
      <c r="BE75" t="s">
        <v>397</v>
      </c>
      <c r="BF75" t="s">
        <v>532</v>
      </c>
      <c r="BG75" t="s">
        <v>394</v>
      </c>
      <c r="BH75" t="s">
        <v>207</v>
      </c>
      <c r="BI75" t="s">
        <v>472</v>
      </c>
      <c r="BJ75" t="s">
        <v>207</v>
      </c>
      <c r="BK75" t="s">
        <v>534</v>
      </c>
      <c r="BL75" t="s">
        <v>207</v>
      </c>
      <c r="BM75">
        <v>0</v>
      </c>
      <c r="BN75">
        <v>1</v>
      </c>
      <c r="BO75">
        <v>0</v>
      </c>
      <c r="BP75">
        <v>0</v>
      </c>
      <c r="BQ75">
        <v>0</v>
      </c>
      <c r="BR75">
        <v>1</v>
      </c>
      <c r="BS75">
        <v>0</v>
      </c>
      <c r="BT75">
        <v>0</v>
      </c>
      <c r="BU75">
        <v>0</v>
      </c>
      <c r="BV75">
        <v>0</v>
      </c>
      <c r="BW75" t="s">
        <v>396</v>
      </c>
      <c r="BX75" t="s">
        <v>207</v>
      </c>
      <c r="BY75" t="s">
        <v>207</v>
      </c>
      <c r="BZ75" t="s">
        <v>396</v>
      </c>
      <c r="CA75" t="s">
        <v>207</v>
      </c>
      <c r="CB75" t="s">
        <v>396</v>
      </c>
      <c r="CC75" t="s">
        <v>207</v>
      </c>
      <c r="CD75" t="s">
        <v>207</v>
      </c>
      <c r="CE75">
        <v>1</v>
      </c>
      <c r="CF75">
        <v>4537</v>
      </c>
      <c r="CG75" t="s">
        <v>399</v>
      </c>
      <c r="CH75" t="s">
        <v>207</v>
      </c>
      <c r="CI75" t="s">
        <v>400</v>
      </c>
      <c r="CJ75" t="s">
        <v>207</v>
      </c>
      <c r="CK75" t="s">
        <v>207</v>
      </c>
      <c r="CL75">
        <v>1</v>
      </c>
      <c r="CM75" t="s">
        <v>862</v>
      </c>
      <c r="CN75" t="s">
        <v>207</v>
      </c>
      <c r="CO75">
        <v>0.8125</v>
      </c>
      <c r="CP75">
        <v>0</v>
      </c>
      <c r="CQ75">
        <v>2</v>
      </c>
      <c r="CR75" s="105">
        <v>33163</v>
      </c>
      <c r="CS75">
        <v>65</v>
      </c>
      <c r="CT75" s="106">
        <v>41614</v>
      </c>
      <c r="CU75">
        <v>14</v>
      </c>
      <c r="CV75" s="106">
        <v>41614</v>
      </c>
      <c r="CW75" t="s">
        <v>207</v>
      </c>
    </row>
    <row r="76" spans="1:101" x14ac:dyDescent="0.2">
      <c r="A76">
        <v>236</v>
      </c>
      <c r="B76" t="s">
        <v>70</v>
      </c>
      <c r="C76" t="s">
        <v>465</v>
      </c>
      <c r="D76">
        <v>86798</v>
      </c>
      <c r="E76" t="s">
        <v>455</v>
      </c>
      <c r="F76" t="s">
        <v>863</v>
      </c>
      <c r="G76" t="s">
        <v>864</v>
      </c>
      <c r="H76" t="s">
        <v>207</v>
      </c>
      <c r="I76" t="s">
        <v>207</v>
      </c>
      <c r="J76" t="s">
        <v>207</v>
      </c>
      <c r="K76">
        <v>76</v>
      </c>
      <c r="L76" t="s">
        <v>469</v>
      </c>
      <c r="M76">
        <v>6009</v>
      </c>
      <c r="N76" t="s">
        <v>207</v>
      </c>
      <c r="O76" t="s">
        <v>250</v>
      </c>
      <c r="P76" t="s">
        <v>391</v>
      </c>
      <c r="Q76" t="s">
        <v>207</v>
      </c>
      <c r="R76" t="s">
        <v>207</v>
      </c>
      <c r="S76">
        <v>0</v>
      </c>
      <c r="T76">
        <v>1</v>
      </c>
      <c r="U76">
        <v>1</v>
      </c>
      <c r="V76">
        <v>1</v>
      </c>
      <c r="W76" t="s">
        <v>114</v>
      </c>
      <c r="X76" t="s">
        <v>207</v>
      </c>
      <c r="Y76" t="s">
        <v>207</v>
      </c>
      <c r="Z76" t="s">
        <v>461</v>
      </c>
      <c r="AA76">
        <v>92381</v>
      </c>
      <c r="AB76">
        <v>0</v>
      </c>
      <c r="AC76">
        <v>210</v>
      </c>
      <c r="AD76">
        <v>57178</v>
      </c>
      <c r="AE76">
        <v>10</v>
      </c>
      <c r="AF76">
        <v>23</v>
      </c>
      <c r="AG76" t="s">
        <v>207</v>
      </c>
      <c r="AH76">
        <v>13</v>
      </c>
      <c r="AI76">
        <v>274</v>
      </c>
      <c r="AJ76">
        <v>3.2999999523162802</v>
      </c>
      <c r="AK76">
        <v>72465</v>
      </c>
      <c r="AL76">
        <v>61.58</v>
      </c>
      <c r="AM76">
        <v>150</v>
      </c>
      <c r="AN76" t="s">
        <v>392</v>
      </c>
      <c r="AO76">
        <v>120</v>
      </c>
      <c r="AP76" t="s">
        <v>392</v>
      </c>
      <c r="AQ76">
        <v>7251</v>
      </c>
      <c r="AR76">
        <v>38</v>
      </c>
      <c r="AS76" t="s">
        <v>392</v>
      </c>
      <c r="AT76" t="s">
        <v>207</v>
      </c>
      <c r="AU76" t="s">
        <v>207</v>
      </c>
      <c r="AV76">
        <v>3561</v>
      </c>
      <c r="AW76">
        <v>46764</v>
      </c>
      <c r="AX76" t="s">
        <v>207</v>
      </c>
      <c r="AY76">
        <v>41037</v>
      </c>
      <c r="AZ76" t="s">
        <v>865</v>
      </c>
      <c r="BA76" t="s">
        <v>207</v>
      </c>
      <c r="BB76" t="s">
        <v>207</v>
      </c>
      <c r="BC76" t="s">
        <v>207</v>
      </c>
      <c r="BD76">
        <v>7306</v>
      </c>
      <c r="BE76" t="s">
        <v>434</v>
      </c>
      <c r="BF76" t="s">
        <v>393</v>
      </c>
      <c r="BG76" t="s">
        <v>394</v>
      </c>
      <c r="BH76" t="s">
        <v>207</v>
      </c>
      <c r="BI76" t="s">
        <v>558</v>
      </c>
      <c r="BJ76" t="s">
        <v>866</v>
      </c>
      <c r="BK76" t="s">
        <v>395</v>
      </c>
      <c r="BL76" t="s">
        <v>411</v>
      </c>
      <c r="BM76">
        <v>0</v>
      </c>
      <c r="BN76">
        <v>1</v>
      </c>
      <c r="BO76">
        <v>0</v>
      </c>
      <c r="BP76">
        <v>1</v>
      </c>
      <c r="BQ76">
        <v>0</v>
      </c>
      <c r="BR76">
        <v>0</v>
      </c>
      <c r="BS76">
        <v>0</v>
      </c>
      <c r="BT76">
        <v>0</v>
      </c>
      <c r="BU76">
        <v>1</v>
      </c>
      <c r="BV76">
        <v>1</v>
      </c>
      <c r="BW76" t="s">
        <v>397</v>
      </c>
      <c r="BX76" t="s">
        <v>437</v>
      </c>
      <c r="BY76">
        <v>12108</v>
      </c>
      <c r="BZ76" t="s">
        <v>396</v>
      </c>
      <c r="CA76" t="s">
        <v>207</v>
      </c>
      <c r="CB76" t="s">
        <v>396</v>
      </c>
      <c r="CC76" t="s">
        <v>411</v>
      </c>
      <c r="CD76" t="s">
        <v>207</v>
      </c>
      <c r="CE76">
        <v>1</v>
      </c>
      <c r="CF76">
        <v>4699</v>
      </c>
      <c r="CG76" t="s">
        <v>399</v>
      </c>
      <c r="CH76" t="s">
        <v>207</v>
      </c>
      <c r="CI76" t="s">
        <v>400</v>
      </c>
      <c r="CJ76" t="s">
        <v>207</v>
      </c>
      <c r="CK76" t="s">
        <v>207</v>
      </c>
      <c r="CL76">
        <v>1</v>
      </c>
      <c r="CM76" t="s">
        <v>867</v>
      </c>
      <c r="CN76" t="s">
        <v>207</v>
      </c>
      <c r="CO76">
        <v>0.5</v>
      </c>
      <c r="CP76">
        <v>0</v>
      </c>
      <c r="CQ76">
        <v>2</v>
      </c>
      <c r="CR76" s="105">
        <v>33163</v>
      </c>
      <c r="CS76">
        <v>10</v>
      </c>
      <c r="CT76" s="106">
        <v>43229</v>
      </c>
      <c r="CU76">
        <v>97</v>
      </c>
      <c r="CV76" s="106">
        <v>37630</v>
      </c>
      <c r="CW76" t="s">
        <v>207</v>
      </c>
    </row>
    <row r="77" spans="1:101" x14ac:dyDescent="0.2">
      <c r="A77">
        <v>12940</v>
      </c>
      <c r="B77" t="s">
        <v>26</v>
      </c>
      <c r="C77" t="s">
        <v>868</v>
      </c>
      <c r="D77">
        <v>13227</v>
      </c>
      <c r="E77" t="s">
        <v>869</v>
      </c>
      <c r="F77" t="s">
        <v>870</v>
      </c>
      <c r="G77" t="s">
        <v>871</v>
      </c>
      <c r="H77" t="s">
        <v>207</v>
      </c>
      <c r="I77" t="s">
        <v>207</v>
      </c>
      <c r="J77" t="s">
        <v>207</v>
      </c>
      <c r="K77">
        <v>390</v>
      </c>
      <c r="L77" t="s">
        <v>872</v>
      </c>
      <c r="M77">
        <v>8665</v>
      </c>
      <c r="N77" t="s">
        <v>207</v>
      </c>
      <c r="O77" t="s">
        <v>205</v>
      </c>
      <c r="P77" t="s">
        <v>444</v>
      </c>
      <c r="Q77" t="s">
        <v>207</v>
      </c>
      <c r="R77" t="s">
        <v>207</v>
      </c>
      <c r="S77">
        <v>0</v>
      </c>
      <c r="T77">
        <v>0</v>
      </c>
      <c r="U77">
        <v>0</v>
      </c>
      <c r="V77">
        <v>1</v>
      </c>
      <c r="W77" t="s">
        <v>114</v>
      </c>
      <c r="X77" t="s">
        <v>207</v>
      </c>
      <c r="Y77" t="s">
        <v>207</v>
      </c>
      <c r="Z77" t="s">
        <v>207</v>
      </c>
      <c r="AA77" t="s">
        <v>207</v>
      </c>
      <c r="AB77">
        <v>0</v>
      </c>
      <c r="AC77">
        <v>20</v>
      </c>
      <c r="AD77">
        <v>13227</v>
      </c>
      <c r="AE77" t="s">
        <v>207</v>
      </c>
      <c r="AF77" t="s">
        <v>207</v>
      </c>
      <c r="AG77" t="s">
        <v>207</v>
      </c>
      <c r="AH77">
        <v>3</v>
      </c>
      <c r="AI77">
        <v>13227</v>
      </c>
      <c r="AJ77" t="s">
        <v>207</v>
      </c>
      <c r="AK77" t="s">
        <v>207</v>
      </c>
      <c r="AL77">
        <v>11.45</v>
      </c>
      <c r="AM77">
        <v>6.6900000572204599</v>
      </c>
      <c r="AN77" t="s">
        <v>470</v>
      </c>
      <c r="AO77" t="s">
        <v>207</v>
      </c>
      <c r="AP77" t="s">
        <v>207</v>
      </c>
      <c r="AQ77">
        <v>13227</v>
      </c>
      <c r="AR77" t="s">
        <v>207</v>
      </c>
      <c r="AS77" t="s">
        <v>207</v>
      </c>
      <c r="AT77" t="s">
        <v>207</v>
      </c>
      <c r="AU77" t="s">
        <v>207</v>
      </c>
      <c r="AV77" t="s">
        <v>207</v>
      </c>
      <c r="AW77" t="s">
        <v>207</v>
      </c>
      <c r="AX77" t="s">
        <v>207</v>
      </c>
      <c r="AY77" t="s">
        <v>207</v>
      </c>
      <c r="AZ77" t="s">
        <v>873</v>
      </c>
      <c r="BA77" t="s">
        <v>207</v>
      </c>
      <c r="BB77" t="s">
        <v>207</v>
      </c>
      <c r="BC77" t="s">
        <v>207</v>
      </c>
      <c r="BD77" t="s">
        <v>207</v>
      </c>
      <c r="BE77" t="s">
        <v>511</v>
      </c>
      <c r="BF77" t="s">
        <v>423</v>
      </c>
      <c r="BG77" t="s">
        <v>207</v>
      </c>
      <c r="BH77" t="s">
        <v>207</v>
      </c>
      <c r="BI77" t="s">
        <v>207</v>
      </c>
      <c r="BJ77" t="s">
        <v>207</v>
      </c>
      <c r="BK77" t="s">
        <v>207</v>
      </c>
      <c r="BL77" t="s">
        <v>207</v>
      </c>
      <c r="BM77">
        <v>0</v>
      </c>
      <c r="BN77">
        <v>0</v>
      </c>
      <c r="BO77">
        <v>0</v>
      </c>
      <c r="BP77">
        <v>0</v>
      </c>
      <c r="BQ77">
        <v>0</v>
      </c>
      <c r="BR77">
        <v>0</v>
      </c>
      <c r="BS77">
        <v>0</v>
      </c>
      <c r="BT77">
        <v>0</v>
      </c>
      <c r="BU77">
        <v>0</v>
      </c>
      <c r="BV77">
        <v>0</v>
      </c>
      <c r="BW77" t="s">
        <v>396</v>
      </c>
      <c r="BX77" t="s">
        <v>207</v>
      </c>
      <c r="BY77" t="s">
        <v>207</v>
      </c>
      <c r="BZ77" t="s">
        <v>396</v>
      </c>
      <c r="CA77" t="s">
        <v>207</v>
      </c>
      <c r="CB77" t="s">
        <v>396</v>
      </c>
      <c r="CC77" t="s">
        <v>207</v>
      </c>
      <c r="CD77" t="s">
        <v>207</v>
      </c>
      <c r="CE77">
        <v>0</v>
      </c>
      <c r="CF77" t="s">
        <v>207</v>
      </c>
      <c r="CG77" t="s">
        <v>399</v>
      </c>
      <c r="CH77" t="s">
        <v>207</v>
      </c>
      <c r="CI77" t="s">
        <v>400</v>
      </c>
      <c r="CJ77" t="s">
        <v>207</v>
      </c>
      <c r="CK77" t="s">
        <v>207</v>
      </c>
      <c r="CL77">
        <v>1</v>
      </c>
      <c r="CM77" t="s">
        <v>874</v>
      </c>
      <c r="CN77" t="s">
        <v>207</v>
      </c>
      <c r="CO77">
        <v>0.50389999151229903</v>
      </c>
      <c r="CP77">
        <v>0</v>
      </c>
      <c r="CQ77">
        <v>14</v>
      </c>
      <c r="CR77" s="105">
        <v>34792</v>
      </c>
      <c r="CS77">
        <v>2</v>
      </c>
      <c r="CT77" s="106">
        <v>41719</v>
      </c>
      <c r="CU77">
        <v>122</v>
      </c>
      <c r="CV77" s="106">
        <v>34977</v>
      </c>
      <c r="CW77" t="s">
        <v>207</v>
      </c>
    </row>
    <row r="78" spans="1:101" x14ac:dyDescent="0.2">
      <c r="A78">
        <v>46328</v>
      </c>
      <c r="B78" t="s">
        <v>14</v>
      </c>
      <c r="C78" t="s">
        <v>875</v>
      </c>
      <c r="D78">
        <v>13227</v>
      </c>
      <c r="E78" t="s">
        <v>876</v>
      </c>
      <c r="F78" t="s">
        <v>877</v>
      </c>
      <c r="G78" t="s">
        <v>207</v>
      </c>
      <c r="H78" t="s">
        <v>207</v>
      </c>
      <c r="I78" t="s">
        <v>207</v>
      </c>
      <c r="J78" t="s">
        <v>207</v>
      </c>
      <c r="K78">
        <v>390</v>
      </c>
      <c r="L78" t="s">
        <v>872</v>
      </c>
      <c r="M78">
        <v>10238</v>
      </c>
      <c r="N78" t="s">
        <v>207</v>
      </c>
      <c r="O78" t="s">
        <v>250</v>
      </c>
      <c r="P78" t="s">
        <v>444</v>
      </c>
      <c r="Q78" t="s">
        <v>207</v>
      </c>
      <c r="R78" t="s">
        <v>207</v>
      </c>
      <c r="S78">
        <v>0</v>
      </c>
      <c r="T78">
        <v>0</v>
      </c>
      <c r="U78">
        <v>0</v>
      </c>
      <c r="V78">
        <v>1</v>
      </c>
      <c r="W78" t="s">
        <v>126</v>
      </c>
      <c r="X78" t="s">
        <v>207</v>
      </c>
      <c r="Y78" t="s">
        <v>207</v>
      </c>
      <c r="Z78" t="s">
        <v>517</v>
      </c>
      <c r="AA78" t="s">
        <v>207</v>
      </c>
      <c r="AB78">
        <v>0</v>
      </c>
      <c r="AC78">
        <v>5</v>
      </c>
      <c r="AD78">
        <v>9003</v>
      </c>
      <c r="AE78" t="s">
        <v>207</v>
      </c>
      <c r="AF78" t="s">
        <v>207</v>
      </c>
      <c r="AG78" t="s">
        <v>207</v>
      </c>
      <c r="AH78" t="s">
        <v>207</v>
      </c>
      <c r="AI78" t="s">
        <v>207</v>
      </c>
      <c r="AJ78" t="s">
        <v>207</v>
      </c>
      <c r="AK78" t="s">
        <v>207</v>
      </c>
      <c r="AL78">
        <v>10</v>
      </c>
      <c r="AM78">
        <v>7.5</v>
      </c>
      <c r="AN78" t="s">
        <v>470</v>
      </c>
      <c r="AO78" t="s">
        <v>207</v>
      </c>
      <c r="AP78" t="s">
        <v>207</v>
      </c>
      <c r="AQ78">
        <v>9003</v>
      </c>
      <c r="AR78" t="s">
        <v>207</v>
      </c>
      <c r="AS78" t="s">
        <v>207</v>
      </c>
      <c r="AT78" t="s">
        <v>207</v>
      </c>
      <c r="AU78" t="s">
        <v>207</v>
      </c>
      <c r="AV78" t="s">
        <v>207</v>
      </c>
      <c r="AW78" t="s">
        <v>207</v>
      </c>
      <c r="AX78" t="s">
        <v>207</v>
      </c>
      <c r="AY78" t="s">
        <v>207</v>
      </c>
      <c r="AZ78" t="s">
        <v>207</v>
      </c>
      <c r="BA78" t="s">
        <v>207</v>
      </c>
      <c r="BB78" t="s">
        <v>207</v>
      </c>
      <c r="BC78" t="s">
        <v>207</v>
      </c>
      <c r="BD78" t="s">
        <v>207</v>
      </c>
      <c r="BE78" t="s">
        <v>511</v>
      </c>
      <c r="BF78" t="s">
        <v>423</v>
      </c>
      <c r="BG78" t="s">
        <v>207</v>
      </c>
      <c r="BH78" t="s">
        <v>207</v>
      </c>
      <c r="BI78" t="s">
        <v>207</v>
      </c>
      <c r="BJ78" t="s">
        <v>207</v>
      </c>
      <c r="BK78" t="s">
        <v>207</v>
      </c>
      <c r="BL78" t="s">
        <v>207</v>
      </c>
      <c r="BM78">
        <v>0</v>
      </c>
      <c r="BN78">
        <v>0</v>
      </c>
      <c r="BO78">
        <v>0</v>
      </c>
      <c r="BP78">
        <v>0</v>
      </c>
      <c r="BQ78">
        <v>0</v>
      </c>
      <c r="BR78">
        <v>0</v>
      </c>
      <c r="BS78">
        <v>0</v>
      </c>
      <c r="BT78">
        <v>0</v>
      </c>
      <c r="BU78">
        <v>0</v>
      </c>
      <c r="BV78">
        <v>0</v>
      </c>
      <c r="BW78" t="s">
        <v>396</v>
      </c>
      <c r="BX78" t="s">
        <v>207</v>
      </c>
      <c r="BY78" t="s">
        <v>207</v>
      </c>
      <c r="BZ78" t="s">
        <v>396</v>
      </c>
      <c r="CA78" t="s">
        <v>207</v>
      </c>
      <c r="CB78" t="s">
        <v>396</v>
      </c>
      <c r="CC78" t="s">
        <v>207</v>
      </c>
      <c r="CD78" t="s">
        <v>207</v>
      </c>
      <c r="CE78">
        <v>0</v>
      </c>
      <c r="CF78" t="s">
        <v>207</v>
      </c>
      <c r="CG78" t="s">
        <v>399</v>
      </c>
      <c r="CH78" t="s">
        <v>207</v>
      </c>
      <c r="CI78" t="s">
        <v>400</v>
      </c>
      <c r="CJ78" t="s">
        <v>207</v>
      </c>
      <c r="CK78" t="s">
        <v>207</v>
      </c>
      <c r="CL78">
        <v>1</v>
      </c>
      <c r="CM78" t="s">
        <v>878</v>
      </c>
      <c r="CN78" t="s">
        <v>207</v>
      </c>
      <c r="CO78">
        <v>0.75</v>
      </c>
      <c r="CP78">
        <v>0</v>
      </c>
      <c r="CQ78">
        <v>113</v>
      </c>
      <c r="CR78" s="105">
        <v>35841</v>
      </c>
      <c r="CS78">
        <v>2</v>
      </c>
      <c r="CT78" s="106">
        <v>41717</v>
      </c>
      <c r="CU78" t="s">
        <v>207</v>
      </c>
      <c r="CV78" t="s">
        <v>207</v>
      </c>
      <c r="CW78" t="s">
        <v>207</v>
      </c>
    </row>
    <row r="79" spans="1:101" x14ac:dyDescent="0.2">
      <c r="A79">
        <v>5679</v>
      </c>
      <c r="B79" t="s">
        <v>19</v>
      </c>
      <c r="C79" t="s">
        <v>513</v>
      </c>
      <c r="D79">
        <v>7247</v>
      </c>
      <c r="E79" t="s">
        <v>879</v>
      </c>
      <c r="F79" t="s">
        <v>880</v>
      </c>
      <c r="G79" t="s">
        <v>881</v>
      </c>
      <c r="H79" t="s">
        <v>207</v>
      </c>
      <c r="I79" t="s">
        <v>207</v>
      </c>
      <c r="J79" t="s">
        <v>207</v>
      </c>
      <c r="K79">
        <v>350</v>
      </c>
      <c r="L79" t="s">
        <v>479</v>
      </c>
      <c r="M79">
        <v>2049</v>
      </c>
      <c r="N79" t="s">
        <v>207</v>
      </c>
      <c r="O79" t="s">
        <v>251</v>
      </c>
      <c r="P79" t="s">
        <v>444</v>
      </c>
      <c r="Q79" t="s">
        <v>207</v>
      </c>
      <c r="R79" t="s">
        <v>207</v>
      </c>
      <c r="S79">
        <v>0</v>
      </c>
      <c r="T79">
        <v>0</v>
      </c>
      <c r="U79">
        <v>0</v>
      </c>
      <c r="V79">
        <v>1</v>
      </c>
      <c r="W79" t="s">
        <v>118</v>
      </c>
      <c r="X79" t="s">
        <v>207</v>
      </c>
      <c r="Y79" t="s">
        <v>207</v>
      </c>
      <c r="Z79" t="s">
        <v>517</v>
      </c>
      <c r="AA79" t="s">
        <v>207</v>
      </c>
      <c r="AB79">
        <v>1</v>
      </c>
      <c r="AC79">
        <v>20</v>
      </c>
      <c r="AD79">
        <v>86942</v>
      </c>
      <c r="AE79" t="s">
        <v>207</v>
      </c>
      <c r="AF79" t="s">
        <v>207</v>
      </c>
      <c r="AG79" t="s">
        <v>207</v>
      </c>
      <c r="AH79" t="s">
        <v>207</v>
      </c>
      <c r="AI79" t="s">
        <v>207</v>
      </c>
      <c r="AJ79" t="s">
        <v>207</v>
      </c>
      <c r="AK79" t="s">
        <v>207</v>
      </c>
      <c r="AL79">
        <v>20.93</v>
      </c>
      <c r="AM79">
        <v>10</v>
      </c>
      <c r="AN79" t="s">
        <v>392</v>
      </c>
      <c r="AO79" t="s">
        <v>207</v>
      </c>
      <c r="AP79" t="s">
        <v>207</v>
      </c>
      <c r="AQ79">
        <v>90102</v>
      </c>
      <c r="AR79" t="s">
        <v>207</v>
      </c>
      <c r="AS79" t="s">
        <v>207</v>
      </c>
      <c r="AT79" t="s">
        <v>207</v>
      </c>
      <c r="AU79" t="s">
        <v>207</v>
      </c>
      <c r="AV79" t="s">
        <v>207</v>
      </c>
      <c r="AW79" t="s">
        <v>207</v>
      </c>
      <c r="AX79" t="s">
        <v>207</v>
      </c>
      <c r="AY79" t="s">
        <v>207</v>
      </c>
      <c r="AZ79" t="s">
        <v>882</v>
      </c>
      <c r="BA79" t="s">
        <v>207</v>
      </c>
      <c r="BB79" t="s">
        <v>207</v>
      </c>
      <c r="BC79" t="s">
        <v>207</v>
      </c>
      <c r="BD79" t="s">
        <v>207</v>
      </c>
      <c r="BE79" t="s">
        <v>207</v>
      </c>
      <c r="BF79" t="s">
        <v>423</v>
      </c>
      <c r="BG79" t="s">
        <v>207</v>
      </c>
      <c r="BH79" t="s">
        <v>207</v>
      </c>
      <c r="BI79" t="s">
        <v>207</v>
      </c>
      <c r="BJ79" t="s">
        <v>207</v>
      </c>
      <c r="BK79" t="s">
        <v>207</v>
      </c>
      <c r="BL79" t="s">
        <v>207</v>
      </c>
      <c r="BM79">
        <v>0</v>
      </c>
      <c r="BN79">
        <v>0</v>
      </c>
      <c r="BO79">
        <v>0</v>
      </c>
      <c r="BP79">
        <v>0</v>
      </c>
      <c r="BQ79">
        <v>0</v>
      </c>
      <c r="BR79">
        <v>0</v>
      </c>
      <c r="BS79">
        <v>0</v>
      </c>
      <c r="BT79">
        <v>0</v>
      </c>
      <c r="BU79">
        <v>0</v>
      </c>
      <c r="BV79">
        <v>0</v>
      </c>
      <c r="BW79" t="s">
        <v>396</v>
      </c>
      <c r="BX79" t="s">
        <v>207</v>
      </c>
      <c r="BY79" t="s">
        <v>207</v>
      </c>
      <c r="BZ79" t="s">
        <v>396</v>
      </c>
      <c r="CA79" t="s">
        <v>207</v>
      </c>
      <c r="CB79" t="s">
        <v>397</v>
      </c>
      <c r="CC79" t="s">
        <v>398</v>
      </c>
      <c r="CD79">
        <v>7309</v>
      </c>
      <c r="CE79">
        <v>0</v>
      </c>
      <c r="CF79" t="s">
        <v>207</v>
      </c>
      <c r="CG79" t="s">
        <v>399</v>
      </c>
      <c r="CH79" t="s">
        <v>207</v>
      </c>
      <c r="CI79" t="s">
        <v>400</v>
      </c>
      <c r="CJ79" t="s">
        <v>207</v>
      </c>
      <c r="CK79" t="s">
        <v>207</v>
      </c>
      <c r="CL79">
        <v>1</v>
      </c>
      <c r="CM79" t="s">
        <v>883</v>
      </c>
      <c r="CN79" t="s">
        <v>207</v>
      </c>
      <c r="CO79">
        <v>0.5</v>
      </c>
      <c r="CP79">
        <v>0</v>
      </c>
      <c r="CQ79">
        <v>14</v>
      </c>
      <c r="CR79" s="105">
        <v>33766</v>
      </c>
      <c r="CS79">
        <v>2542</v>
      </c>
      <c r="CT79" s="106">
        <v>43761</v>
      </c>
      <c r="CU79">
        <v>65</v>
      </c>
      <c r="CV79" s="106">
        <v>34572</v>
      </c>
      <c r="CW79" t="s">
        <v>207</v>
      </c>
    </row>
    <row r="80" spans="1:101" x14ac:dyDescent="0.2">
      <c r="A80">
        <v>4654</v>
      </c>
      <c r="B80" t="s">
        <v>11</v>
      </c>
      <c r="C80" t="s">
        <v>884</v>
      </c>
      <c r="D80">
        <v>7247</v>
      </c>
      <c r="E80" t="s">
        <v>885</v>
      </c>
      <c r="F80" t="s">
        <v>886</v>
      </c>
      <c r="G80" t="s">
        <v>887</v>
      </c>
      <c r="H80" t="s">
        <v>207</v>
      </c>
      <c r="I80" t="s">
        <v>207</v>
      </c>
      <c r="J80" t="s">
        <v>207</v>
      </c>
      <c r="K80">
        <v>350</v>
      </c>
      <c r="L80" t="s">
        <v>888</v>
      </c>
      <c r="M80">
        <v>5120</v>
      </c>
      <c r="N80" t="s">
        <v>207</v>
      </c>
      <c r="O80" t="s">
        <v>251</v>
      </c>
      <c r="P80" t="s">
        <v>444</v>
      </c>
      <c r="Q80" t="s">
        <v>207</v>
      </c>
      <c r="R80" t="s">
        <v>207</v>
      </c>
      <c r="S80">
        <v>0</v>
      </c>
      <c r="T80">
        <v>0</v>
      </c>
      <c r="U80">
        <v>0</v>
      </c>
      <c r="V80">
        <v>1</v>
      </c>
      <c r="W80" t="s">
        <v>118</v>
      </c>
      <c r="X80" t="s">
        <v>207</v>
      </c>
      <c r="Y80" t="s">
        <v>207</v>
      </c>
      <c r="Z80" t="s">
        <v>517</v>
      </c>
      <c r="AA80" t="s">
        <v>207</v>
      </c>
      <c r="AB80">
        <v>1</v>
      </c>
      <c r="AC80">
        <v>18</v>
      </c>
      <c r="AD80">
        <v>1602</v>
      </c>
      <c r="AE80" t="s">
        <v>207</v>
      </c>
      <c r="AF80" t="s">
        <v>207</v>
      </c>
      <c r="AG80" t="s">
        <v>207</v>
      </c>
      <c r="AH80">
        <v>5</v>
      </c>
      <c r="AI80">
        <v>237</v>
      </c>
      <c r="AJ80" t="s">
        <v>207</v>
      </c>
      <c r="AK80" t="s">
        <v>207</v>
      </c>
      <c r="AL80">
        <v>24.65</v>
      </c>
      <c r="AM80">
        <v>12</v>
      </c>
      <c r="AN80" t="s">
        <v>392</v>
      </c>
      <c r="AO80" t="s">
        <v>207</v>
      </c>
      <c r="AP80" t="s">
        <v>207</v>
      </c>
      <c r="AQ80">
        <v>9710</v>
      </c>
      <c r="AR80" t="s">
        <v>207</v>
      </c>
      <c r="AS80" t="s">
        <v>207</v>
      </c>
      <c r="AT80" t="s">
        <v>207</v>
      </c>
      <c r="AU80" t="s">
        <v>207</v>
      </c>
      <c r="AV80" t="s">
        <v>207</v>
      </c>
      <c r="AW80" t="s">
        <v>207</v>
      </c>
      <c r="AX80" t="s">
        <v>207</v>
      </c>
      <c r="AY80" t="s">
        <v>207</v>
      </c>
      <c r="AZ80" t="s">
        <v>889</v>
      </c>
      <c r="BA80" t="s">
        <v>207</v>
      </c>
      <c r="BB80" t="s">
        <v>207</v>
      </c>
      <c r="BC80" t="s">
        <v>207</v>
      </c>
      <c r="BD80" t="s">
        <v>207</v>
      </c>
      <c r="BE80" t="s">
        <v>519</v>
      </c>
      <c r="BF80" t="s">
        <v>423</v>
      </c>
      <c r="BG80" t="s">
        <v>207</v>
      </c>
      <c r="BH80" t="s">
        <v>207</v>
      </c>
      <c r="BI80" t="s">
        <v>207</v>
      </c>
      <c r="BJ80" t="s">
        <v>207</v>
      </c>
      <c r="BK80" t="s">
        <v>207</v>
      </c>
      <c r="BL80" t="s">
        <v>207</v>
      </c>
      <c r="BM80">
        <v>0</v>
      </c>
      <c r="BN80">
        <v>1</v>
      </c>
      <c r="BO80">
        <v>0</v>
      </c>
      <c r="BP80">
        <v>0</v>
      </c>
      <c r="BQ80">
        <v>0</v>
      </c>
      <c r="BR80">
        <v>0</v>
      </c>
      <c r="BS80">
        <v>0</v>
      </c>
      <c r="BT80">
        <v>0</v>
      </c>
      <c r="BU80">
        <v>1</v>
      </c>
      <c r="BV80">
        <v>0</v>
      </c>
      <c r="BW80" t="s">
        <v>396</v>
      </c>
      <c r="BX80" t="s">
        <v>207</v>
      </c>
      <c r="BY80" t="s">
        <v>207</v>
      </c>
      <c r="BZ80" t="s">
        <v>396</v>
      </c>
      <c r="CA80" t="s">
        <v>207</v>
      </c>
      <c r="CB80" t="s">
        <v>397</v>
      </c>
      <c r="CC80" t="s">
        <v>398</v>
      </c>
      <c r="CD80">
        <v>4907</v>
      </c>
      <c r="CE80">
        <v>0</v>
      </c>
      <c r="CF80" t="s">
        <v>207</v>
      </c>
      <c r="CG80" t="s">
        <v>399</v>
      </c>
      <c r="CH80" t="s">
        <v>207</v>
      </c>
      <c r="CI80" t="s">
        <v>400</v>
      </c>
      <c r="CJ80" t="s">
        <v>207</v>
      </c>
      <c r="CK80" t="s">
        <v>207</v>
      </c>
      <c r="CL80">
        <v>1</v>
      </c>
      <c r="CM80" t="s">
        <v>890</v>
      </c>
      <c r="CN80" t="s">
        <v>207</v>
      </c>
      <c r="CO80">
        <v>0.5</v>
      </c>
      <c r="CP80">
        <v>0</v>
      </c>
      <c r="CQ80">
        <v>3</v>
      </c>
      <c r="CR80" s="105">
        <v>33508</v>
      </c>
      <c r="CS80">
        <v>2</v>
      </c>
      <c r="CT80" s="106">
        <v>41505</v>
      </c>
      <c r="CU80">
        <v>34</v>
      </c>
      <c r="CV80" s="106">
        <v>34554</v>
      </c>
      <c r="CW80" t="s">
        <v>207</v>
      </c>
    </row>
    <row r="81" spans="1:101" x14ac:dyDescent="0.2">
      <c r="A81">
        <v>9209</v>
      </c>
      <c r="B81" t="s">
        <v>12</v>
      </c>
      <c r="C81" t="s">
        <v>884</v>
      </c>
      <c r="D81">
        <v>7247</v>
      </c>
      <c r="E81" t="s">
        <v>891</v>
      </c>
      <c r="F81" t="s">
        <v>892</v>
      </c>
      <c r="G81" t="s">
        <v>893</v>
      </c>
      <c r="H81" t="s">
        <v>207</v>
      </c>
      <c r="I81" t="s">
        <v>207</v>
      </c>
      <c r="J81" t="s">
        <v>207</v>
      </c>
      <c r="K81">
        <v>350</v>
      </c>
      <c r="L81" t="s">
        <v>888</v>
      </c>
      <c r="M81">
        <v>5120</v>
      </c>
      <c r="N81" t="s">
        <v>207</v>
      </c>
      <c r="O81" t="s">
        <v>250</v>
      </c>
      <c r="P81" t="s">
        <v>444</v>
      </c>
      <c r="Q81" t="s">
        <v>207</v>
      </c>
      <c r="R81" t="s">
        <v>207</v>
      </c>
      <c r="S81">
        <v>0</v>
      </c>
      <c r="T81">
        <v>0</v>
      </c>
      <c r="U81">
        <v>0</v>
      </c>
      <c r="V81">
        <v>1</v>
      </c>
      <c r="W81" t="s">
        <v>118</v>
      </c>
      <c r="X81" t="s">
        <v>207</v>
      </c>
      <c r="Y81" t="s">
        <v>207</v>
      </c>
      <c r="Z81" t="s">
        <v>517</v>
      </c>
      <c r="AA81" t="s">
        <v>207</v>
      </c>
      <c r="AB81">
        <v>1</v>
      </c>
      <c r="AC81">
        <v>15</v>
      </c>
      <c r="AD81">
        <v>9710</v>
      </c>
      <c r="AE81" t="s">
        <v>207</v>
      </c>
      <c r="AF81" t="s">
        <v>207</v>
      </c>
      <c r="AG81" t="s">
        <v>207</v>
      </c>
      <c r="AH81" t="s">
        <v>207</v>
      </c>
      <c r="AI81" t="s">
        <v>207</v>
      </c>
      <c r="AJ81" t="s">
        <v>207</v>
      </c>
      <c r="AK81" t="s">
        <v>207</v>
      </c>
      <c r="AL81">
        <v>22.69</v>
      </c>
      <c r="AM81">
        <v>11</v>
      </c>
      <c r="AN81" t="s">
        <v>392</v>
      </c>
      <c r="AO81" t="s">
        <v>207</v>
      </c>
      <c r="AP81" t="s">
        <v>207</v>
      </c>
      <c r="AQ81">
        <v>9710</v>
      </c>
      <c r="AR81" t="s">
        <v>207</v>
      </c>
      <c r="AS81" t="s">
        <v>207</v>
      </c>
      <c r="AT81" t="s">
        <v>207</v>
      </c>
      <c r="AU81" t="s">
        <v>207</v>
      </c>
      <c r="AV81" t="s">
        <v>207</v>
      </c>
      <c r="AW81" t="s">
        <v>207</v>
      </c>
      <c r="AX81" t="s">
        <v>207</v>
      </c>
      <c r="AY81" t="s">
        <v>207</v>
      </c>
      <c r="AZ81" t="s">
        <v>894</v>
      </c>
      <c r="BA81" t="s">
        <v>207</v>
      </c>
      <c r="BB81" t="s">
        <v>207</v>
      </c>
      <c r="BC81" t="s">
        <v>207</v>
      </c>
      <c r="BD81" t="s">
        <v>207</v>
      </c>
      <c r="BE81" t="s">
        <v>511</v>
      </c>
      <c r="BF81" t="s">
        <v>423</v>
      </c>
      <c r="BG81" t="s">
        <v>207</v>
      </c>
      <c r="BH81" t="s">
        <v>207</v>
      </c>
      <c r="BI81" t="s">
        <v>207</v>
      </c>
      <c r="BJ81" t="s">
        <v>207</v>
      </c>
      <c r="BK81" t="s">
        <v>411</v>
      </c>
      <c r="BL81" t="s">
        <v>411</v>
      </c>
      <c r="BM81">
        <v>0</v>
      </c>
      <c r="BN81">
        <v>0</v>
      </c>
      <c r="BO81">
        <v>0</v>
      </c>
      <c r="BP81">
        <v>0</v>
      </c>
      <c r="BQ81">
        <v>0</v>
      </c>
      <c r="BR81">
        <v>0</v>
      </c>
      <c r="BS81">
        <v>0</v>
      </c>
      <c r="BT81">
        <v>0</v>
      </c>
      <c r="BU81">
        <v>0</v>
      </c>
      <c r="BV81">
        <v>0</v>
      </c>
      <c r="BW81" t="s">
        <v>396</v>
      </c>
      <c r="BX81" t="s">
        <v>411</v>
      </c>
      <c r="BY81" t="s">
        <v>207</v>
      </c>
      <c r="BZ81" t="s">
        <v>396</v>
      </c>
      <c r="CA81" t="s">
        <v>207</v>
      </c>
      <c r="CB81" t="s">
        <v>397</v>
      </c>
      <c r="CC81" t="s">
        <v>398</v>
      </c>
      <c r="CD81">
        <v>4537</v>
      </c>
      <c r="CE81">
        <v>0</v>
      </c>
      <c r="CF81" t="s">
        <v>207</v>
      </c>
      <c r="CG81" t="s">
        <v>399</v>
      </c>
      <c r="CH81" t="s">
        <v>207</v>
      </c>
      <c r="CI81" t="s">
        <v>400</v>
      </c>
      <c r="CJ81" t="s">
        <v>207</v>
      </c>
      <c r="CK81" t="s">
        <v>207</v>
      </c>
      <c r="CL81">
        <v>1</v>
      </c>
      <c r="CM81" t="s">
        <v>895</v>
      </c>
      <c r="CN81" t="s">
        <v>207</v>
      </c>
      <c r="CO81">
        <v>0.5</v>
      </c>
      <c r="CP81">
        <v>0</v>
      </c>
      <c r="CQ81">
        <v>65</v>
      </c>
      <c r="CR81" s="105">
        <v>34410</v>
      </c>
      <c r="CS81">
        <v>97</v>
      </c>
      <c r="CT81" s="106">
        <v>42436</v>
      </c>
      <c r="CU81">
        <v>34</v>
      </c>
      <c r="CV81" s="106">
        <v>34554</v>
      </c>
      <c r="CW81" t="s">
        <v>207</v>
      </c>
    </row>
    <row r="82" spans="1:101" x14ac:dyDescent="0.2">
      <c r="A82">
        <v>468</v>
      </c>
      <c r="B82" t="s">
        <v>50</v>
      </c>
      <c r="C82" t="s">
        <v>896</v>
      </c>
      <c r="D82">
        <v>2121</v>
      </c>
      <c r="E82" t="s">
        <v>897</v>
      </c>
      <c r="F82" t="s">
        <v>898</v>
      </c>
      <c r="G82" t="s">
        <v>899</v>
      </c>
      <c r="H82" t="s">
        <v>207</v>
      </c>
      <c r="I82" t="s">
        <v>207</v>
      </c>
      <c r="J82" t="s">
        <v>207</v>
      </c>
      <c r="K82">
        <v>382</v>
      </c>
      <c r="L82" t="s">
        <v>900</v>
      </c>
      <c r="M82">
        <v>9344</v>
      </c>
      <c r="N82" t="s">
        <v>207</v>
      </c>
      <c r="O82" t="s">
        <v>250</v>
      </c>
      <c r="P82" t="s">
        <v>391</v>
      </c>
      <c r="Q82" t="s">
        <v>207</v>
      </c>
      <c r="R82" t="s">
        <v>207</v>
      </c>
      <c r="S82">
        <v>0</v>
      </c>
      <c r="T82">
        <v>0</v>
      </c>
      <c r="U82">
        <v>0</v>
      </c>
      <c r="V82">
        <v>1</v>
      </c>
      <c r="W82" t="s">
        <v>126</v>
      </c>
      <c r="X82" t="s">
        <v>207</v>
      </c>
      <c r="Y82" t="s">
        <v>207</v>
      </c>
      <c r="Z82" t="s">
        <v>445</v>
      </c>
      <c r="AA82">
        <v>51243</v>
      </c>
      <c r="AB82">
        <v>5</v>
      </c>
      <c r="AC82">
        <v>350</v>
      </c>
      <c r="AD82">
        <v>28106</v>
      </c>
      <c r="AE82">
        <v>5</v>
      </c>
      <c r="AF82">
        <v>350</v>
      </c>
      <c r="AG82">
        <v>28106</v>
      </c>
      <c r="AH82">
        <v>16</v>
      </c>
      <c r="AI82">
        <v>28106</v>
      </c>
      <c r="AJ82" t="s">
        <v>207</v>
      </c>
      <c r="AK82" t="s">
        <v>207</v>
      </c>
      <c r="AL82">
        <v>60.54</v>
      </c>
      <c r="AM82">
        <v>92</v>
      </c>
      <c r="AN82" t="s">
        <v>392</v>
      </c>
      <c r="AO82" t="s">
        <v>207</v>
      </c>
      <c r="AP82" t="s">
        <v>207</v>
      </c>
      <c r="AQ82">
        <v>5179</v>
      </c>
      <c r="AR82">
        <v>50</v>
      </c>
      <c r="AS82" t="s">
        <v>392</v>
      </c>
      <c r="AT82" t="s">
        <v>207</v>
      </c>
      <c r="AU82" t="s">
        <v>207</v>
      </c>
      <c r="AV82">
        <v>2121</v>
      </c>
      <c r="AW82">
        <v>10000</v>
      </c>
      <c r="AX82" t="s">
        <v>207</v>
      </c>
      <c r="AY82">
        <v>5179</v>
      </c>
      <c r="AZ82" t="s">
        <v>207</v>
      </c>
      <c r="BA82" t="s">
        <v>207</v>
      </c>
      <c r="BB82" t="s">
        <v>207</v>
      </c>
      <c r="BC82" t="s">
        <v>207</v>
      </c>
      <c r="BD82">
        <v>181</v>
      </c>
      <c r="BE82" t="s">
        <v>397</v>
      </c>
      <c r="BF82" t="s">
        <v>447</v>
      </c>
      <c r="BG82" t="s">
        <v>409</v>
      </c>
      <c r="BH82" t="s">
        <v>410</v>
      </c>
      <c r="BI82" t="s">
        <v>472</v>
      </c>
      <c r="BJ82" t="s">
        <v>207</v>
      </c>
      <c r="BK82" t="s">
        <v>451</v>
      </c>
      <c r="BL82" t="s">
        <v>452</v>
      </c>
      <c r="BM82">
        <v>0</v>
      </c>
      <c r="BN82">
        <v>0</v>
      </c>
      <c r="BO82">
        <v>0</v>
      </c>
      <c r="BP82">
        <v>0</v>
      </c>
      <c r="BQ82">
        <v>0</v>
      </c>
      <c r="BR82">
        <v>0</v>
      </c>
      <c r="BS82">
        <v>0</v>
      </c>
      <c r="BT82">
        <v>0</v>
      </c>
      <c r="BU82">
        <v>0</v>
      </c>
      <c r="BV82">
        <v>0</v>
      </c>
      <c r="BW82" t="s">
        <v>396</v>
      </c>
      <c r="BX82" t="s">
        <v>207</v>
      </c>
      <c r="BY82" t="s">
        <v>207</v>
      </c>
      <c r="BZ82" t="s">
        <v>396</v>
      </c>
      <c r="CA82" t="s">
        <v>207</v>
      </c>
      <c r="CB82" t="s">
        <v>396</v>
      </c>
      <c r="CC82" t="s">
        <v>207</v>
      </c>
      <c r="CD82" t="s">
        <v>207</v>
      </c>
      <c r="CE82">
        <v>0</v>
      </c>
      <c r="CF82" t="s">
        <v>207</v>
      </c>
      <c r="CG82" t="s">
        <v>399</v>
      </c>
      <c r="CH82" t="s">
        <v>207</v>
      </c>
      <c r="CI82" t="s">
        <v>400</v>
      </c>
      <c r="CJ82" t="s">
        <v>207</v>
      </c>
      <c r="CK82" t="s">
        <v>207</v>
      </c>
      <c r="CL82">
        <v>1</v>
      </c>
      <c r="CM82" t="s">
        <v>901</v>
      </c>
      <c r="CN82" t="s">
        <v>207</v>
      </c>
      <c r="CO82">
        <v>0.50779998302459695</v>
      </c>
      <c r="CP82">
        <v>0</v>
      </c>
      <c r="CQ82">
        <v>2</v>
      </c>
      <c r="CR82" s="105">
        <v>33163</v>
      </c>
      <c r="CS82">
        <v>2</v>
      </c>
      <c r="CT82" s="106">
        <v>40949</v>
      </c>
      <c r="CU82" t="s">
        <v>207</v>
      </c>
      <c r="CV82" t="s">
        <v>207</v>
      </c>
      <c r="CW82" t="s">
        <v>207</v>
      </c>
    </row>
    <row r="83" spans="1:101" x14ac:dyDescent="0.2">
      <c r="A83">
        <v>7053</v>
      </c>
      <c r="B83" t="s">
        <v>84</v>
      </c>
      <c r="C83" t="s">
        <v>902</v>
      </c>
      <c r="D83">
        <v>5179</v>
      </c>
      <c r="E83" t="s">
        <v>903</v>
      </c>
      <c r="F83" t="s">
        <v>904</v>
      </c>
      <c r="G83" t="s">
        <v>905</v>
      </c>
      <c r="H83" t="s">
        <v>207</v>
      </c>
      <c r="I83" t="s">
        <v>207</v>
      </c>
      <c r="J83" t="s">
        <v>207</v>
      </c>
      <c r="K83">
        <v>382</v>
      </c>
      <c r="L83" t="s">
        <v>906</v>
      </c>
      <c r="M83">
        <v>9349</v>
      </c>
      <c r="N83" t="s">
        <v>207</v>
      </c>
      <c r="O83" t="s">
        <v>250</v>
      </c>
      <c r="P83" t="s">
        <v>444</v>
      </c>
      <c r="Q83" t="s">
        <v>207</v>
      </c>
      <c r="R83" t="s">
        <v>907</v>
      </c>
      <c r="S83">
        <v>10</v>
      </c>
      <c r="T83">
        <v>0</v>
      </c>
      <c r="U83">
        <v>0</v>
      </c>
      <c r="V83">
        <v>1</v>
      </c>
      <c r="W83" t="s">
        <v>126</v>
      </c>
      <c r="X83" t="s">
        <v>207</v>
      </c>
      <c r="Y83" t="s">
        <v>207</v>
      </c>
      <c r="Z83" t="s">
        <v>207</v>
      </c>
      <c r="AA83" t="s">
        <v>207</v>
      </c>
      <c r="AB83">
        <v>0</v>
      </c>
      <c r="AC83">
        <v>700</v>
      </c>
      <c r="AD83">
        <v>11892</v>
      </c>
      <c r="AE83">
        <v>0</v>
      </c>
      <c r="AF83">
        <v>200</v>
      </c>
      <c r="AG83">
        <v>45168</v>
      </c>
      <c r="AH83">
        <v>10</v>
      </c>
      <c r="AI83">
        <v>5179</v>
      </c>
      <c r="AJ83" t="s">
        <v>207</v>
      </c>
      <c r="AK83" t="s">
        <v>207</v>
      </c>
      <c r="AL83">
        <v>64.39</v>
      </c>
      <c r="AM83">
        <v>28</v>
      </c>
      <c r="AN83" t="s">
        <v>392</v>
      </c>
      <c r="AO83">
        <v>35</v>
      </c>
      <c r="AP83" t="s">
        <v>392</v>
      </c>
      <c r="AQ83">
        <v>5179</v>
      </c>
      <c r="AR83">
        <v>25</v>
      </c>
      <c r="AS83" t="s">
        <v>392</v>
      </c>
      <c r="AT83" t="s">
        <v>207</v>
      </c>
      <c r="AU83" t="s">
        <v>207</v>
      </c>
      <c r="AV83">
        <v>2121</v>
      </c>
      <c r="AW83" t="s">
        <v>207</v>
      </c>
      <c r="AX83" t="s">
        <v>207</v>
      </c>
      <c r="AY83" t="s">
        <v>207</v>
      </c>
      <c r="AZ83" t="s">
        <v>207</v>
      </c>
      <c r="BA83" t="s">
        <v>207</v>
      </c>
      <c r="BB83" t="s">
        <v>207</v>
      </c>
      <c r="BC83" t="s">
        <v>207</v>
      </c>
      <c r="BD83">
        <v>4537</v>
      </c>
      <c r="BE83" t="s">
        <v>397</v>
      </c>
      <c r="BF83" t="s">
        <v>447</v>
      </c>
      <c r="BG83" t="s">
        <v>409</v>
      </c>
      <c r="BH83" t="s">
        <v>207</v>
      </c>
      <c r="BI83" t="s">
        <v>207</v>
      </c>
      <c r="BJ83" t="s">
        <v>207</v>
      </c>
      <c r="BK83" t="s">
        <v>207</v>
      </c>
      <c r="BL83" t="s">
        <v>207</v>
      </c>
      <c r="BM83">
        <v>0</v>
      </c>
      <c r="BN83">
        <v>1</v>
      </c>
      <c r="BO83">
        <v>0</v>
      </c>
      <c r="BP83">
        <v>1</v>
      </c>
      <c r="BQ83">
        <v>0</v>
      </c>
      <c r="BR83">
        <v>0</v>
      </c>
      <c r="BS83">
        <v>0</v>
      </c>
      <c r="BT83">
        <v>0</v>
      </c>
      <c r="BU83">
        <v>0</v>
      </c>
      <c r="BV83">
        <v>0</v>
      </c>
      <c r="BW83" t="s">
        <v>396</v>
      </c>
      <c r="BX83" t="s">
        <v>207</v>
      </c>
      <c r="BY83" t="s">
        <v>207</v>
      </c>
      <c r="BZ83" t="s">
        <v>396</v>
      </c>
      <c r="CA83" t="s">
        <v>207</v>
      </c>
      <c r="CB83" t="s">
        <v>396</v>
      </c>
      <c r="CC83" t="s">
        <v>207</v>
      </c>
      <c r="CD83" t="s">
        <v>207</v>
      </c>
      <c r="CE83">
        <v>0</v>
      </c>
      <c r="CF83" t="s">
        <v>207</v>
      </c>
      <c r="CG83" t="s">
        <v>399</v>
      </c>
      <c r="CH83" t="s">
        <v>207</v>
      </c>
      <c r="CI83" t="s">
        <v>400</v>
      </c>
      <c r="CJ83" t="s">
        <v>207</v>
      </c>
      <c r="CK83" t="s">
        <v>207</v>
      </c>
      <c r="CL83">
        <v>1</v>
      </c>
      <c r="CM83" t="s">
        <v>908</v>
      </c>
      <c r="CN83" t="s">
        <v>207</v>
      </c>
      <c r="CO83">
        <v>0.50050002336502097</v>
      </c>
      <c r="CP83">
        <v>0</v>
      </c>
      <c r="CQ83">
        <v>26</v>
      </c>
      <c r="CR83" s="105">
        <v>33992</v>
      </c>
      <c r="CS83">
        <v>14</v>
      </c>
      <c r="CT83" s="106">
        <v>43788</v>
      </c>
      <c r="CU83">
        <v>2</v>
      </c>
      <c r="CV83" s="106">
        <v>34604</v>
      </c>
      <c r="CW83" t="s">
        <v>207</v>
      </c>
    </row>
    <row r="84" spans="1:101" x14ac:dyDescent="0.2">
      <c r="A84">
        <v>1934</v>
      </c>
      <c r="B84" t="s">
        <v>20</v>
      </c>
      <c r="C84" t="s">
        <v>909</v>
      </c>
      <c r="D84">
        <v>248</v>
      </c>
      <c r="E84" t="s">
        <v>910</v>
      </c>
      <c r="F84" t="s">
        <v>911</v>
      </c>
      <c r="G84" t="s">
        <v>912</v>
      </c>
      <c r="H84" t="s">
        <v>207</v>
      </c>
      <c r="I84" t="s">
        <v>207</v>
      </c>
      <c r="J84" t="s">
        <v>207</v>
      </c>
      <c r="K84">
        <v>139</v>
      </c>
      <c r="L84" t="s">
        <v>207</v>
      </c>
      <c r="M84">
        <v>7358</v>
      </c>
      <c r="N84" t="s">
        <v>207</v>
      </c>
      <c r="O84" t="s">
        <v>205</v>
      </c>
      <c r="P84" t="s">
        <v>444</v>
      </c>
      <c r="Q84" t="s">
        <v>207</v>
      </c>
      <c r="R84" t="s">
        <v>207</v>
      </c>
      <c r="S84">
        <v>0</v>
      </c>
      <c r="T84">
        <v>1</v>
      </c>
      <c r="U84">
        <v>0</v>
      </c>
      <c r="V84">
        <v>0</v>
      </c>
      <c r="W84" t="s">
        <v>114</v>
      </c>
      <c r="X84" t="s">
        <v>207</v>
      </c>
      <c r="Y84" t="s">
        <v>207</v>
      </c>
      <c r="Z84" t="s">
        <v>420</v>
      </c>
      <c r="AA84">
        <v>51243</v>
      </c>
      <c r="AB84">
        <v>0</v>
      </c>
      <c r="AC84">
        <v>80</v>
      </c>
      <c r="AD84">
        <v>34291</v>
      </c>
      <c r="AE84" t="s">
        <v>207</v>
      </c>
      <c r="AF84" t="s">
        <v>207</v>
      </c>
      <c r="AG84" t="s">
        <v>207</v>
      </c>
      <c r="AH84">
        <v>15</v>
      </c>
      <c r="AI84">
        <v>94815</v>
      </c>
      <c r="AJ84">
        <v>16.200000762939499</v>
      </c>
      <c r="AK84">
        <v>72462</v>
      </c>
      <c r="AL84">
        <v>79.08</v>
      </c>
      <c r="AM84">
        <v>170</v>
      </c>
      <c r="AN84" t="s">
        <v>392</v>
      </c>
      <c r="AO84" t="s">
        <v>207</v>
      </c>
      <c r="AP84" t="s">
        <v>207</v>
      </c>
      <c r="AQ84">
        <v>40637</v>
      </c>
      <c r="AR84">
        <v>90</v>
      </c>
      <c r="AS84" t="s">
        <v>432</v>
      </c>
      <c r="AT84" t="s">
        <v>207</v>
      </c>
      <c r="AU84" t="s">
        <v>207</v>
      </c>
      <c r="AV84">
        <v>34290</v>
      </c>
      <c r="AW84">
        <v>60000</v>
      </c>
      <c r="AX84" t="s">
        <v>207</v>
      </c>
      <c r="AY84">
        <v>4537</v>
      </c>
      <c r="AZ84" t="s">
        <v>913</v>
      </c>
      <c r="BA84" t="s">
        <v>207</v>
      </c>
      <c r="BB84" t="s">
        <v>207</v>
      </c>
      <c r="BC84" t="s">
        <v>207</v>
      </c>
      <c r="BD84">
        <v>4931</v>
      </c>
      <c r="BE84" t="s">
        <v>422</v>
      </c>
      <c r="BF84" t="s">
        <v>423</v>
      </c>
      <c r="BG84" t="s">
        <v>207</v>
      </c>
      <c r="BH84" t="s">
        <v>207</v>
      </c>
      <c r="BI84" t="s">
        <v>768</v>
      </c>
      <c r="BJ84" t="s">
        <v>207</v>
      </c>
      <c r="BK84" t="s">
        <v>436</v>
      </c>
      <c r="BL84" t="s">
        <v>411</v>
      </c>
      <c r="BM84">
        <v>1</v>
      </c>
      <c r="BN84">
        <v>1</v>
      </c>
      <c r="BO84">
        <v>0</v>
      </c>
      <c r="BP84">
        <v>1</v>
      </c>
      <c r="BQ84">
        <v>0</v>
      </c>
      <c r="BR84">
        <v>1</v>
      </c>
      <c r="BS84">
        <v>0</v>
      </c>
      <c r="BT84">
        <v>0</v>
      </c>
      <c r="BU84">
        <v>0</v>
      </c>
      <c r="BV84">
        <v>1</v>
      </c>
      <c r="BW84" t="s">
        <v>397</v>
      </c>
      <c r="BX84" t="s">
        <v>411</v>
      </c>
      <c r="BY84">
        <v>26920</v>
      </c>
      <c r="BZ84" t="s">
        <v>396</v>
      </c>
      <c r="CA84" t="s">
        <v>207</v>
      </c>
      <c r="CB84" t="s">
        <v>396</v>
      </c>
      <c r="CC84" t="s">
        <v>411</v>
      </c>
      <c r="CD84" t="s">
        <v>207</v>
      </c>
      <c r="CE84">
        <v>1</v>
      </c>
      <c r="CF84">
        <v>4537</v>
      </c>
      <c r="CG84" t="s">
        <v>413</v>
      </c>
      <c r="CH84">
        <v>4537</v>
      </c>
      <c r="CI84" t="s">
        <v>914</v>
      </c>
      <c r="CJ84">
        <v>10011</v>
      </c>
      <c r="CK84" t="s">
        <v>207</v>
      </c>
      <c r="CL84">
        <v>1</v>
      </c>
      <c r="CM84" t="s">
        <v>915</v>
      </c>
      <c r="CN84" t="s">
        <v>207</v>
      </c>
      <c r="CO84">
        <v>0.5</v>
      </c>
      <c r="CP84">
        <v>0</v>
      </c>
      <c r="CQ84">
        <v>3</v>
      </c>
      <c r="CR84" s="105">
        <v>33187</v>
      </c>
      <c r="CS84">
        <v>1307</v>
      </c>
      <c r="CT84" s="106">
        <v>43677</v>
      </c>
      <c r="CU84">
        <v>10</v>
      </c>
      <c r="CV84" s="106">
        <v>37869</v>
      </c>
      <c r="CW84" t="s">
        <v>207</v>
      </c>
    </row>
    <row r="85" spans="1:101" x14ac:dyDescent="0.2">
      <c r="A85">
        <v>1341</v>
      </c>
      <c r="B85" t="s">
        <v>258</v>
      </c>
      <c r="C85" t="s">
        <v>916</v>
      </c>
      <c r="D85">
        <v>30193</v>
      </c>
      <c r="E85" t="s">
        <v>416</v>
      </c>
      <c r="F85" t="s">
        <v>917</v>
      </c>
      <c r="G85" t="s">
        <v>918</v>
      </c>
      <c r="H85" t="s">
        <v>207</v>
      </c>
      <c r="I85" t="s">
        <v>207</v>
      </c>
      <c r="J85" t="s">
        <v>207</v>
      </c>
      <c r="K85">
        <v>440</v>
      </c>
      <c r="L85" t="s">
        <v>919</v>
      </c>
      <c r="M85">
        <v>559</v>
      </c>
      <c r="N85" t="s">
        <v>207</v>
      </c>
      <c r="O85" t="s">
        <v>251</v>
      </c>
      <c r="P85" t="s">
        <v>444</v>
      </c>
      <c r="Q85" t="s">
        <v>207</v>
      </c>
      <c r="R85" t="s">
        <v>207</v>
      </c>
      <c r="S85">
        <v>0</v>
      </c>
      <c r="T85">
        <v>1</v>
      </c>
      <c r="U85">
        <v>1</v>
      </c>
      <c r="V85">
        <v>1</v>
      </c>
      <c r="W85" t="s">
        <v>126</v>
      </c>
      <c r="X85" t="s">
        <v>207</v>
      </c>
      <c r="Y85" t="s">
        <v>207</v>
      </c>
      <c r="Z85" t="s">
        <v>431</v>
      </c>
      <c r="AA85">
        <v>51243</v>
      </c>
      <c r="AB85">
        <v>1</v>
      </c>
      <c r="AC85">
        <v>100</v>
      </c>
      <c r="AD85">
        <v>35388</v>
      </c>
      <c r="AE85" t="s">
        <v>207</v>
      </c>
      <c r="AF85" t="s">
        <v>207</v>
      </c>
      <c r="AG85" t="s">
        <v>207</v>
      </c>
      <c r="AH85">
        <v>15</v>
      </c>
      <c r="AI85">
        <v>3944</v>
      </c>
      <c r="AJ85" t="s">
        <v>207</v>
      </c>
      <c r="AK85" t="s">
        <v>207</v>
      </c>
      <c r="AL85">
        <v>42.42</v>
      </c>
      <c r="AM85">
        <v>60</v>
      </c>
      <c r="AN85" t="s">
        <v>392</v>
      </c>
      <c r="AO85" t="s">
        <v>207</v>
      </c>
      <c r="AP85" t="s">
        <v>207</v>
      </c>
      <c r="AQ85">
        <v>35388</v>
      </c>
      <c r="AR85">
        <v>50</v>
      </c>
      <c r="AS85" t="s">
        <v>392</v>
      </c>
      <c r="AT85" t="s">
        <v>207</v>
      </c>
      <c r="AU85" t="s">
        <v>207</v>
      </c>
      <c r="AV85">
        <v>30578</v>
      </c>
      <c r="AW85">
        <v>2930</v>
      </c>
      <c r="AX85" t="s">
        <v>207</v>
      </c>
      <c r="AY85">
        <v>104349</v>
      </c>
      <c r="AZ85" t="s">
        <v>920</v>
      </c>
      <c r="BA85" t="s">
        <v>207</v>
      </c>
      <c r="BB85" t="s">
        <v>921</v>
      </c>
      <c r="BC85" t="s">
        <v>207</v>
      </c>
      <c r="BD85">
        <v>4931</v>
      </c>
      <c r="BE85" t="s">
        <v>397</v>
      </c>
      <c r="BF85" t="s">
        <v>393</v>
      </c>
      <c r="BG85" t="s">
        <v>394</v>
      </c>
      <c r="BH85" t="s">
        <v>207</v>
      </c>
      <c r="BI85" t="s">
        <v>472</v>
      </c>
      <c r="BJ85" t="s">
        <v>207</v>
      </c>
      <c r="BK85" t="s">
        <v>395</v>
      </c>
      <c r="BL85" t="s">
        <v>411</v>
      </c>
      <c r="BM85">
        <v>0</v>
      </c>
      <c r="BN85">
        <v>0</v>
      </c>
      <c r="BO85">
        <v>0</v>
      </c>
      <c r="BP85">
        <v>1</v>
      </c>
      <c r="BQ85">
        <v>0</v>
      </c>
      <c r="BR85">
        <v>1</v>
      </c>
      <c r="BS85">
        <v>0</v>
      </c>
      <c r="BT85">
        <v>0</v>
      </c>
      <c r="BU85">
        <v>1</v>
      </c>
      <c r="BV85">
        <v>0</v>
      </c>
      <c r="BW85" t="s">
        <v>922</v>
      </c>
      <c r="BX85" t="s">
        <v>411</v>
      </c>
      <c r="BY85">
        <v>95474</v>
      </c>
      <c r="BZ85" t="s">
        <v>396</v>
      </c>
      <c r="CA85" t="s">
        <v>207</v>
      </c>
      <c r="CB85" t="s">
        <v>396</v>
      </c>
      <c r="CC85" t="s">
        <v>398</v>
      </c>
      <c r="CD85" t="s">
        <v>207</v>
      </c>
      <c r="CE85">
        <v>1</v>
      </c>
      <c r="CF85" t="s">
        <v>207</v>
      </c>
      <c r="CG85" t="s">
        <v>399</v>
      </c>
      <c r="CH85" t="s">
        <v>207</v>
      </c>
      <c r="CI85" t="s">
        <v>400</v>
      </c>
      <c r="CJ85" t="s">
        <v>207</v>
      </c>
      <c r="CK85" t="s">
        <v>207</v>
      </c>
      <c r="CL85">
        <v>1</v>
      </c>
      <c r="CM85" t="s">
        <v>923</v>
      </c>
      <c r="CN85" t="s">
        <v>207</v>
      </c>
      <c r="CO85">
        <v>0.75</v>
      </c>
      <c r="CP85">
        <v>0</v>
      </c>
      <c r="CQ85">
        <v>2</v>
      </c>
      <c r="CR85" s="105">
        <v>33163</v>
      </c>
      <c r="CS85">
        <v>2</v>
      </c>
      <c r="CT85" s="106">
        <v>42237</v>
      </c>
      <c r="CU85">
        <v>97</v>
      </c>
      <c r="CV85" s="106">
        <v>37630</v>
      </c>
      <c r="CW85" t="s">
        <v>207</v>
      </c>
    </row>
    <row r="86" spans="1:101" x14ac:dyDescent="0.2">
      <c r="A86">
        <v>1365</v>
      </c>
      <c r="B86" t="s">
        <v>259</v>
      </c>
      <c r="C86" t="s">
        <v>924</v>
      </c>
      <c r="D86">
        <v>4233</v>
      </c>
      <c r="E86" t="s">
        <v>416</v>
      </c>
      <c r="F86" t="s">
        <v>925</v>
      </c>
      <c r="G86" t="s">
        <v>926</v>
      </c>
      <c r="H86" t="s">
        <v>207</v>
      </c>
      <c r="I86" t="s">
        <v>207</v>
      </c>
      <c r="J86" t="s">
        <v>207</v>
      </c>
      <c r="K86">
        <v>314</v>
      </c>
      <c r="L86" t="s">
        <v>927</v>
      </c>
      <c r="M86">
        <v>3831</v>
      </c>
      <c r="N86" t="s">
        <v>207</v>
      </c>
      <c r="O86" t="s">
        <v>250</v>
      </c>
      <c r="P86" t="s">
        <v>444</v>
      </c>
      <c r="Q86" t="s">
        <v>207</v>
      </c>
      <c r="R86" t="s">
        <v>207</v>
      </c>
      <c r="S86">
        <v>0</v>
      </c>
      <c r="T86">
        <v>0</v>
      </c>
      <c r="U86">
        <v>0</v>
      </c>
      <c r="V86">
        <v>1</v>
      </c>
      <c r="W86" t="s">
        <v>189</v>
      </c>
      <c r="X86" t="s">
        <v>207</v>
      </c>
      <c r="Y86" t="s">
        <v>207</v>
      </c>
      <c r="Z86" t="s">
        <v>445</v>
      </c>
      <c r="AA86">
        <v>51243</v>
      </c>
      <c r="AB86">
        <v>0</v>
      </c>
      <c r="AC86">
        <v>1050</v>
      </c>
      <c r="AD86">
        <v>54256</v>
      </c>
      <c r="AE86">
        <v>100</v>
      </c>
      <c r="AF86">
        <v>200</v>
      </c>
      <c r="AG86">
        <v>54256</v>
      </c>
      <c r="AH86" t="s">
        <v>207</v>
      </c>
      <c r="AI86" t="s">
        <v>207</v>
      </c>
      <c r="AJ86" t="s">
        <v>207</v>
      </c>
      <c r="AK86" t="s">
        <v>207</v>
      </c>
      <c r="AL86">
        <v>58.94</v>
      </c>
      <c r="AM86">
        <v>70</v>
      </c>
      <c r="AN86" t="s">
        <v>392</v>
      </c>
      <c r="AO86" t="s">
        <v>207</v>
      </c>
      <c r="AP86" t="s">
        <v>207</v>
      </c>
      <c r="AQ86">
        <v>3197</v>
      </c>
      <c r="AR86">
        <v>22</v>
      </c>
      <c r="AS86" t="s">
        <v>928</v>
      </c>
      <c r="AT86" t="s">
        <v>207</v>
      </c>
      <c r="AU86" t="s">
        <v>207</v>
      </c>
      <c r="AV86">
        <v>3397</v>
      </c>
      <c r="AW86">
        <v>2000</v>
      </c>
      <c r="AX86" t="s">
        <v>207</v>
      </c>
      <c r="AY86">
        <v>27584</v>
      </c>
      <c r="AZ86" t="s">
        <v>929</v>
      </c>
      <c r="BA86" t="s">
        <v>207</v>
      </c>
      <c r="BB86" t="s">
        <v>930</v>
      </c>
      <c r="BC86" t="s">
        <v>207</v>
      </c>
      <c r="BD86">
        <v>4931</v>
      </c>
      <c r="BE86" t="s">
        <v>434</v>
      </c>
      <c r="BF86" t="s">
        <v>736</v>
      </c>
      <c r="BG86" t="s">
        <v>394</v>
      </c>
      <c r="BH86" t="s">
        <v>207</v>
      </c>
      <c r="BI86" t="s">
        <v>489</v>
      </c>
      <c r="BJ86" t="s">
        <v>931</v>
      </c>
      <c r="BK86" t="s">
        <v>395</v>
      </c>
      <c r="BL86" t="s">
        <v>207</v>
      </c>
      <c r="BM86">
        <v>0</v>
      </c>
      <c r="BN86">
        <v>1</v>
      </c>
      <c r="BO86">
        <v>0</v>
      </c>
      <c r="BP86">
        <v>0</v>
      </c>
      <c r="BQ86">
        <v>0</v>
      </c>
      <c r="BR86">
        <v>1</v>
      </c>
      <c r="BS86">
        <v>0</v>
      </c>
      <c r="BT86">
        <v>0</v>
      </c>
      <c r="BU86">
        <v>1</v>
      </c>
      <c r="BV86">
        <v>1</v>
      </c>
      <c r="BW86" t="s">
        <v>396</v>
      </c>
      <c r="BX86" t="s">
        <v>207</v>
      </c>
      <c r="BY86" t="s">
        <v>207</v>
      </c>
      <c r="BZ86" t="s">
        <v>424</v>
      </c>
      <c r="CA86">
        <v>12484</v>
      </c>
      <c r="CB86" t="s">
        <v>396</v>
      </c>
      <c r="CC86" t="s">
        <v>207</v>
      </c>
      <c r="CD86" t="s">
        <v>207</v>
      </c>
      <c r="CE86">
        <v>1</v>
      </c>
      <c r="CF86">
        <v>171</v>
      </c>
      <c r="CG86" t="s">
        <v>399</v>
      </c>
      <c r="CH86" t="s">
        <v>207</v>
      </c>
      <c r="CI86" t="s">
        <v>400</v>
      </c>
      <c r="CJ86" t="s">
        <v>207</v>
      </c>
      <c r="CK86" t="s">
        <v>207</v>
      </c>
      <c r="CL86">
        <v>1</v>
      </c>
      <c r="CM86" t="s">
        <v>932</v>
      </c>
      <c r="CN86" t="s">
        <v>207</v>
      </c>
      <c r="CO86">
        <v>0.50010001659393299</v>
      </c>
      <c r="CP86">
        <v>0</v>
      </c>
      <c r="CQ86">
        <v>2</v>
      </c>
      <c r="CR86" s="105">
        <v>33163</v>
      </c>
      <c r="CS86">
        <v>303</v>
      </c>
      <c r="CT86" s="106">
        <v>41467</v>
      </c>
      <c r="CU86">
        <v>18</v>
      </c>
      <c r="CV86" s="106">
        <v>34582</v>
      </c>
      <c r="CW86" t="s">
        <v>207</v>
      </c>
    </row>
    <row r="87" spans="1:101" x14ac:dyDescent="0.2">
      <c r="A87">
        <v>5132</v>
      </c>
      <c r="B87" t="s">
        <v>260</v>
      </c>
      <c r="C87" t="s">
        <v>933</v>
      </c>
      <c r="D87">
        <v>2803</v>
      </c>
      <c r="E87" t="s">
        <v>934</v>
      </c>
      <c r="F87" t="s">
        <v>935</v>
      </c>
      <c r="G87" t="s">
        <v>936</v>
      </c>
      <c r="H87" t="s">
        <v>207</v>
      </c>
      <c r="I87" t="s">
        <v>207</v>
      </c>
      <c r="J87" t="s">
        <v>207</v>
      </c>
      <c r="K87">
        <v>18</v>
      </c>
      <c r="L87" t="s">
        <v>207</v>
      </c>
      <c r="M87">
        <v>5423</v>
      </c>
      <c r="N87" t="s">
        <v>207</v>
      </c>
      <c r="O87" t="s">
        <v>261</v>
      </c>
      <c r="P87" t="s">
        <v>444</v>
      </c>
      <c r="Q87" t="s">
        <v>207</v>
      </c>
      <c r="R87" t="s">
        <v>207</v>
      </c>
      <c r="S87">
        <v>0</v>
      </c>
      <c r="T87">
        <v>0</v>
      </c>
      <c r="U87">
        <v>1</v>
      </c>
      <c r="V87">
        <v>1</v>
      </c>
      <c r="W87" t="s">
        <v>118</v>
      </c>
      <c r="X87" t="s">
        <v>207</v>
      </c>
      <c r="Y87" t="s">
        <v>207</v>
      </c>
      <c r="Z87" t="s">
        <v>207</v>
      </c>
      <c r="AA87" t="s">
        <v>207</v>
      </c>
      <c r="AB87">
        <v>2</v>
      </c>
      <c r="AC87">
        <v>370</v>
      </c>
      <c r="AD87">
        <v>4430</v>
      </c>
      <c r="AE87" t="s">
        <v>207</v>
      </c>
      <c r="AF87" t="s">
        <v>207</v>
      </c>
      <c r="AG87" t="s">
        <v>207</v>
      </c>
      <c r="AH87" t="s">
        <v>207</v>
      </c>
      <c r="AI87" t="s">
        <v>207</v>
      </c>
      <c r="AJ87" t="s">
        <v>207</v>
      </c>
      <c r="AK87" t="s">
        <v>207</v>
      </c>
      <c r="AL87">
        <v>68.569999999999993</v>
      </c>
      <c r="AM87">
        <v>100</v>
      </c>
      <c r="AN87" t="s">
        <v>392</v>
      </c>
      <c r="AO87" t="s">
        <v>207</v>
      </c>
      <c r="AP87" t="s">
        <v>207</v>
      </c>
      <c r="AQ87">
        <v>27000</v>
      </c>
      <c r="AR87">
        <v>60</v>
      </c>
      <c r="AS87" t="s">
        <v>392</v>
      </c>
      <c r="AT87" t="s">
        <v>207</v>
      </c>
      <c r="AU87" t="s">
        <v>207</v>
      </c>
      <c r="AV87">
        <v>114953</v>
      </c>
      <c r="AW87">
        <v>3000</v>
      </c>
      <c r="AX87" t="s">
        <v>207</v>
      </c>
      <c r="AY87">
        <v>35388</v>
      </c>
      <c r="AZ87" t="s">
        <v>207</v>
      </c>
      <c r="BA87" t="s">
        <v>207</v>
      </c>
      <c r="BB87" t="s">
        <v>207</v>
      </c>
      <c r="BC87" t="s">
        <v>207</v>
      </c>
      <c r="BD87">
        <v>4645</v>
      </c>
      <c r="BE87" t="s">
        <v>511</v>
      </c>
      <c r="BF87" t="s">
        <v>207</v>
      </c>
      <c r="BG87" t="s">
        <v>207</v>
      </c>
      <c r="BH87" t="s">
        <v>207</v>
      </c>
      <c r="BI87" t="s">
        <v>207</v>
      </c>
      <c r="BJ87" t="s">
        <v>207</v>
      </c>
      <c r="BK87" t="s">
        <v>411</v>
      </c>
      <c r="BL87" t="s">
        <v>411</v>
      </c>
      <c r="BM87">
        <v>0</v>
      </c>
      <c r="BN87">
        <v>0</v>
      </c>
      <c r="BO87">
        <v>0</v>
      </c>
      <c r="BP87">
        <v>0</v>
      </c>
      <c r="BQ87">
        <v>0</v>
      </c>
      <c r="BR87">
        <v>1</v>
      </c>
      <c r="BS87">
        <v>0</v>
      </c>
      <c r="BT87">
        <v>0</v>
      </c>
      <c r="BU87">
        <v>0</v>
      </c>
      <c r="BV87">
        <v>0</v>
      </c>
      <c r="BW87" t="s">
        <v>396</v>
      </c>
      <c r="BX87" t="s">
        <v>411</v>
      </c>
      <c r="BY87" t="s">
        <v>207</v>
      </c>
      <c r="BZ87" t="s">
        <v>396</v>
      </c>
      <c r="CA87" t="s">
        <v>207</v>
      </c>
      <c r="CB87" t="s">
        <v>438</v>
      </c>
      <c r="CC87" t="s">
        <v>398</v>
      </c>
      <c r="CD87">
        <v>12382</v>
      </c>
      <c r="CE87">
        <v>0</v>
      </c>
      <c r="CF87" t="s">
        <v>207</v>
      </c>
      <c r="CG87" t="s">
        <v>261</v>
      </c>
      <c r="CH87">
        <v>4690</v>
      </c>
      <c r="CI87" t="s">
        <v>937</v>
      </c>
      <c r="CJ87">
        <v>10011</v>
      </c>
      <c r="CK87" t="s">
        <v>207</v>
      </c>
      <c r="CL87">
        <v>1</v>
      </c>
      <c r="CM87" t="s">
        <v>938</v>
      </c>
      <c r="CN87" t="s">
        <v>207</v>
      </c>
      <c r="CO87">
        <v>0.50050002336502097</v>
      </c>
      <c r="CP87">
        <v>0</v>
      </c>
      <c r="CQ87">
        <v>2</v>
      </c>
      <c r="CR87" s="105">
        <v>33658</v>
      </c>
      <c r="CS87">
        <v>2648</v>
      </c>
      <c r="CT87" s="106">
        <v>43347</v>
      </c>
      <c r="CU87">
        <v>1</v>
      </c>
      <c r="CV87" s="106">
        <v>34358</v>
      </c>
      <c r="CW87" t="s">
        <v>207</v>
      </c>
    </row>
    <row r="88" spans="1:101" x14ac:dyDescent="0.2">
      <c r="A88">
        <v>4551</v>
      </c>
      <c r="B88" t="s">
        <v>262</v>
      </c>
      <c r="C88" t="s">
        <v>884</v>
      </c>
      <c r="D88">
        <v>5911</v>
      </c>
      <c r="E88" t="s">
        <v>939</v>
      </c>
      <c r="F88" t="s">
        <v>940</v>
      </c>
      <c r="G88" t="s">
        <v>941</v>
      </c>
      <c r="H88" t="s">
        <v>207</v>
      </c>
      <c r="I88" t="s">
        <v>207</v>
      </c>
      <c r="J88" t="s">
        <v>942</v>
      </c>
      <c r="K88">
        <v>350</v>
      </c>
      <c r="L88" t="s">
        <v>888</v>
      </c>
      <c r="M88">
        <v>5120</v>
      </c>
      <c r="N88" t="s">
        <v>207</v>
      </c>
      <c r="O88" t="s">
        <v>251</v>
      </c>
      <c r="P88" t="s">
        <v>444</v>
      </c>
      <c r="Q88" t="s">
        <v>207</v>
      </c>
      <c r="R88" t="s">
        <v>207</v>
      </c>
      <c r="S88">
        <v>0</v>
      </c>
      <c r="T88">
        <v>0</v>
      </c>
      <c r="U88">
        <v>0</v>
      </c>
      <c r="V88">
        <v>1</v>
      </c>
      <c r="W88" t="s">
        <v>118</v>
      </c>
      <c r="X88" t="s">
        <v>207</v>
      </c>
      <c r="Y88" t="s">
        <v>207</v>
      </c>
      <c r="Z88" t="s">
        <v>517</v>
      </c>
      <c r="AA88" t="s">
        <v>207</v>
      </c>
      <c r="AB88">
        <v>1</v>
      </c>
      <c r="AC88">
        <v>40</v>
      </c>
      <c r="AD88">
        <v>89972</v>
      </c>
      <c r="AE88" t="s">
        <v>207</v>
      </c>
      <c r="AF88" t="s">
        <v>207</v>
      </c>
      <c r="AG88" t="s">
        <v>207</v>
      </c>
      <c r="AH88" t="s">
        <v>207</v>
      </c>
      <c r="AI88" t="s">
        <v>207</v>
      </c>
      <c r="AJ88" t="s">
        <v>207</v>
      </c>
      <c r="AK88" t="s">
        <v>207</v>
      </c>
      <c r="AL88">
        <v>16.48</v>
      </c>
      <c r="AM88">
        <v>17</v>
      </c>
      <c r="AN88" t="s">
        <v>392</v>
      </c>
      <c r="AO88" t="s">
        <v>207</v>
      </c>
      <c r="AP88" t="s">
        <v>207</v>
      </c>
      <c r="AQ88">
        <v>9710</v>
      </c>
      <c r="AR88" t="s">
        <v>207</v>
      </c>
      <c r="AS88" t="s">
        <v>207</v>
      </c>
      <c r="AT88" t="s">
        <v>207</v>
      </c>
      <c r="AU88" t="s">
        <v>207</v>
      </c>
      <c r="AV88" t="s">
        <v>207</v>
      </c>
      <c r="AW88" t="s">
        <v>207</v>
      </c>
      <c r="AX88" t="s">
        <v>207</v>
      </c>
      <c r="AY88" t="s">
        <v>207</v>
      </c>
      <c r="AZ88" t="s">
        <v>943</v>
      </c>
      <c r="BA88" t="s">
        <v>207</v>
      </c>
      <c r="BB88" t="s">
        <v>207</v>
      </c>
      <c r="BC88" t="s">
        <v>207</v>
      </c>
      <c r="BD88" t="s">
        <v>207</v>
      </c>
      <c r="BE88" t="s">
        <v>519</v>
      </c>
      <c r="BF88" t="s">
        <v>423</v>
      </c>
      <c r="BG88" t="s">
        <v>207</v>
      </c>
      <c r="BH88" t="s">
        <v>207</v>
      </c>
      <c r="BI88" t="s">
        <v>207</v>
      </c>
      <c r="BJ88" t="s">
        <v>207</v>
      </c>
      <c r="BK88" t="s">
        <v>395</v>
      </c>
      <c r="BL88" t="s">
        <v>207</v>
      </c>
      <c r="BM88">
        <v>0</v>
      </c>
      <c r="BN88">
        <v>1</v>
      </c>
      <c r="BO88">
        <v>0</v>
      </c>
      <c r="BP88">
        <v>0</v>
      </c>
      <c r="BQ88">
        <v>0</v>
      </c>
      <c r="BR88">
        <v>0</v>
      </c>
      <c r="BS88">
        <v>0</v>
      </c>
      <c r="BT88">
        <v>0</v>
      </c>
      <c r="BU88">
        <v>1</v>
      </c>
      <c r="BV88">
        <v>0</v>
      </c>
      <c r="BW88" t="s">
        <v>396</v>
      </c>
      <c r="BX88" t="s">
        <v>207</v>
      </c>
      <c r="BY88">
        <v>237</v>
      </c>
      <c r="BZ88" t="s">
        <v>396</v>
      </c>
      <c r="CA88" t="s">
        <v>207</v>
      </c>
      <c r="CB88" t="s">
        <v>397</v>
      </c>
      <c r="CC88" t="s">
        <v>398</v>
      </c>
      <c r="CD88">
        <v>4537</v>
      </c>
      <c r="CE88">
        <v>0</v>
      </c>
      <c r="CF88" t="s">
        <v>207</v>
      </c>
      <c r="CG88" t="s">
        <v>399</v>
      </c>
      <c r="CH88" t="s">
        <v>207</v>
      </c>
      <c r="CI88" t="s">
        <v>400</v>
      </c>
      <c r="CJ88" t="s">
        <v>207</v>
      </c>
      <c r="CK88" t="s">
        <v>207</v>
      </c>
      <c r="CL88">
        <v>1</v>
      </c>
      <c r="CM88" t="s">
        <v>944</v>
      </c>
      <c r="CN88" t="s">
        <v>207</v>
      </c>
      <c r="CO88">
        <v>0.5</v>
      </c>
      <c r="CP88">
        <v>0</v>
      </c>
      <c r="CQ88">
        <v>2</v>
      </c>
      <c r="CR88" s="105">
        <v>33442</v>
      </c>
      <c r="CS88">
        <v>2291</v>
      </c>
      <c r="CT88" s="106">
        <v>41926</v>
      </c>
      <c r="CU88">
        <v>65</v>
      </c>
      <c r="CV88" s="106">
        <v>34568</v>
      </c>
      <c r="CW88" t="s">
        <v>207</v>
      </c>
    </row>
    <row r="89" spans="1:101" x14ac:dyDescent="0.2">
      <c r="A89">
        <v>3615</v>
      </c>
      <c r="B89" t="s">
        <v>263</v>
      </c>
      <c r="C89" t="s">
        <v>945</v>
      </c>
      <c r="D89">
        <v>74403</v>
      </c>
      <c r="E89" t="s">
        <v>946</v>
      </c>
      <c r="F89" t="s">
        <v>947</v>
      </c>
      <c r="G89" t="s">
        <v>948</v>
      </c>
      <c r="H89" t="s">
        <v>949</v>
      </c>
      <c r="I89" t="s">
        <v>950</v>
      </c>
      <c r="J89" t="s">
        <v>951</v>
      </c>
      <c r="K89">
        <v>349</v>
      </c>
      <c r="L89" t="s">
        <v>952</v>
      </c>
      <c r="M89">
        <v>10626</v>
      </c>
      <c r="N89" t="s">
        <v>207</v>
      </c>
      <c r="O89" t="s">
        <v>251</v>
      </c>
      <c r="P89" t="s">
        <v>953</v>
      </c>
      <c r="Q89" t="s">
        <v>207</v>
      </c>
      <c r="R89" t="s">
        <v>207</v>
      </c>
      <c r="S89">
        <v>0</v>
      </c>
      <c r="T89">
        <v>1</v>
      </c>
      <c r="U89">
        <v>0</v>
      </c>
      <c r="V89">
        <v>0</v>
      </c>
      <c r="W89" t="s">
        <v>114</v>
      </c>
      <c r="X89" t="s">
        <v>207</v>
      </c>
      <c r="Y89" t="s">
        <v>207</v>
      </c>
      <c r="Z89" t="s">
        <v>207</v>
      </c>
      <c r="AA89" t="s">
        <v>207</v>
      </c>
      <c r="AB89" t="s">
        <v>207</v>
      </c>
      <c r="AC89" t="s">
        <v>207</v>
      </c>
      <c r="AD89" t="s">
        <v>207</v>
      </c>
      <c r="AE89" t="s">
        <v>207</v>
      </c>
      <c r="AF89" t="s">
        <v>207</v>
      </c>
      <c r="AG89" t="s">
        <v>207</v>
      </c>
      <c r="AH89" t="s">
        <v>207</v>
      </c>
      <c r="AI89" t="s">
        <v>207</v>
      </c>
      <c r="AJ89" t="s">
        <v>207</v>
      </c>
      <c r="AK89" t="s">
        <v>207</v>
      </c>
      <c r="AL89">
        <v>12.85</v>
      </c>
      <c r="AM89">
        <v>10</v>
      </c>
      <c r="AN89" t="s">
        <v>470</v>
      </c>
      <c r="AO89" t="s">
        <v>207</v>
      </c>
      <c r="AP89" t="s">
        <v>207</v>
      </c>
      <c r="AQ89">
        <v>36377</v>
      </c>
      <c r="AR89">
        <v>8.5</v>
      </c>
      <c r="AS89" t="s">
        <v>392</v>
      </c>
      <c r="AT89" t="s">
        <v>207</v>
      </c>
      <c r="AU89" t="s">
        <v>207</v>
      </c>
      <c r="AV89">
        <v>12193</v>
      </c>
      <c r="AW89" t="s">
        <v>207</v>
      </c>
      <c r="AX89" t="s">
        <v>207</v>
      </c>
      <c r="AY89" t="s">
        <v>207</v>
      </c>
      <c r="AZ89" t="s">
        <v>207</v>
      </c>
      <c r="BA89" t="s">
        <v>207</v>
      </c>
      <c r="BB89" t="s">
        <v>207</v>
      </c>
      <c r="BC89" t="s">
        <v>207</v>
      </c>
      <c r="BD89">
        <v>4537</v>
      </c>
      <c r="BE89" t="s">
        <v>511</v>
      </c>
      <c r="BF89" t="s">
        <v>423</v>
      </c>
      <c r="BG89" t="s">
        <v>207</v>
      </c>
      <c r="BH89" t="s">
        <v>207</v>
      </c>
      <c r="BI89" t="s">
        <v>207</v>
      </c>
      <c r="BJ89" t="s">
        <v>207</v>
      </c>
      <c r="BK89" t="s">
        <v>411</v>
      </c>
      <c r="BL89" t="s">
        <v>411</v>
      </c>
      <c r="BM89">
        <v>0</v>
      </c>
      <c r="BN89">
        <v>0</v>
      </c>
      <c r="BO89">
        <v>0</v>
      </c>
      <c r="BP89">
        <v>0</v>
      </c>
      <c r="BQ89">
        <v>0</v>
      </c>
      <c r="BR89">
        <v>0</v>
      </c>
      <c r="BS89">
        <v>0</v>
      </c>
      <c r="BT89">
        <v>0</v>
      </c>
      <c r="BU89">
        <v>0</v>
      </c>
      <c r="BV89">
        <v>0</v>
      </c>
      <c r="BW89" t="s">
        <v>396</v>
      </c>
      <c r="BX89" t="s">
        <v>411</v>
      </c>
      <c r="BY89" t="s">
        <v>207</v>
      </c>
      <c r="BZ89" t="s">
        <v>396</v>
      </c>
      <c r="CA89" t="s">
        <v>207</v>
      </c>
      <c r="CB89" t="s">
        <v>434</v>
      </c>
      <c r="CC89" t="s">
        <v>425</v>
      </c>
      <c r="CD89">
        <v>7020</v>
      </c>
      <c r="CE89">
        <v>0</v>
      </c>
      <c r="CF89" t="s">
        <v>207</v>
      </c>
      <c r="CG89" t="s">
        <v>413</v>
      </c>
      <c r="CH89">
        <v>44091</v>
      </c>
      <c r="CI89" t="s">
        <v>400</v>
      </c>
      <c r="CJ89" t="s">
        <v>207</v>
      </c>
      <c r="CK89" t="s">
        <v>207</v>
      </c>
      <c r="CL89">
        <v>1</v>
      </c>
      <c r="CM89" t="s">
        <v>954</v>
      </c>
      <c r="CN89" t="s">
        <v>207</v>
      </c>
      <c r="CO89">
        <v>0.50199997425079301</v>
      </c>
      <c r="CP89">
        <v>0</v>
      </c>
      <c r="CQ89">
        <v>1</v>
      </c>
      <c r="CR89" s="105">
        <v>33359</v>
      </c>
      <c r="CS89">
        <v>303</v>
      </c>
      <c r="CT89" s="106">
        <v>39932</v>
      </c>
      <c r="CU89">
        <v>409</v>
      </c>
      <c r="CV89" s="106">
        <v>37211</v>
      </c>
      <c r="CW89" t="s">
        <v>207</v>
      </c>
    </row>
    <row r="90" spans="1:101" x14ac:dyDescent="0.2">
      <c r="A90">
        <v>14290</v>
      </c>
      <c r="B90" t="s">
        <v>264</v>
      </c>
      <c r="C90" t="s">
        <v>955</v>
      </c>
      <c r="D90">
        <v>9340</v>
      </c>
      <c r="E90" t="s">
        <v>956</v>
      </c>
      <c r="F90" t="s">
        <v>957</v>
      </c>
      <c r="G90" t="s">
        <v>958</v>
      </c>
      <c r="H90" t="s">
        <v>207</v>
      </c>
      <c r="I90" t="s">
        <v>207</v>
      </c>
      <c r="J90" t="s">
        <v>207</v>
      </c>
      <c r="K90">
        <v>416</v>
      </c>
      <c r="L90" t="s">
        <v>959</v>
      </c>
      <c r="M90">
        <v>8961</v>
      </c>
      <c r="N90" t="s">
        <v>207</v>
      </c>
      <c r="O90" t="s">
        <v>250</v>
      </c>
      <c r="P90" t="s">
        <v>444</v>
      </c>
      <c r="Q90" t="s">
        <v>207</v>
      </c>
      <c r="R90" t="s">
        <v>207</v>
      </c>
      <c r="S90">
        <v>0</v>
      </c>
      <c r="T90">
        <v>0</v>
      </c>
      <c r="U90">
        <v>1</v>
      </c>
      <c r="V90">
        <v>1</v>
      </c>
      <c r="W90" t="s">
        <v>165</v>
      </c>
      <c r="X90" t="s">
        <v>207</v>
      </c>
      <c r="Y90" t="s">
        <v>207</v>
      </c>
      <c r="Z90" t="s">
        <v>445</v>
      </c>
      <c r="AA90">
        <v>51243</v>
      </c>
      <c r="AB90">
        <v>1</v>
      </c>
      <c r="AC90">
        <v>550</v>
      </c>
      <c r="AD90">
        <v>58302</v>
      </c>
      <c r="AE90" t="s">
        <v>207</v>
      </c>
      <c r="AF90" t="s">
        <v>207</v>
      </c>
      <c r="AG90" t="s">
        <v>207</v>
      </c>
      <c r="AH90">
        <v>15</v>
      </c>
      <c r="AI90">
        <v>83312</v>
      </c>
      <c r="AJ90" t="s">
        <v>207</v>
      </c>
      <c r="AK90" t="s">
        <v>207</v>
      </c>
      <c r="AL90">
        <v>76.13</v>
      </c>
      <c r="AM90">
        <v>300</v>
      </c>
      <c r="AN90" t="s">
        <v>928</v>
      </c>
      <c r="AO90" t="s">
        <v>207</v>
      </c>
      <c r="AP90" t="s">
        <v>207</v>
      </c>
      <c r="AQ90">
        <v>9340</v>
      </c>
      <c r="AR90">
        <v>200</v>
      </c>
      <c r="AS90" t="s">
        <v>928</v>
      </c>
      <c r="AT90" t="s">
        <v>207</v>
      </c>
      <c r="AU90" t="s">
        <v>207</v>
      </c>
      <c r="AV90">
        <v>9340</v>
      </c>
      <c r="AW90">
        <v>450000</v>
      </c>
      <c r="AX90" t="s">
        <v>207</v>
      </c>
      <c r="AY90">
        <v>47525</v>
      </c>
      <c r="AZ90" t="s">
        <v>960</v>
      </c>
      <c r="BA90" t="s">
        <v>207</v>
      </c>
      <c r="BB90" t="s">
        <v>207</v>
      </c>
      <c r="BC90" t="s">
        <v>207</v>
      </c>
      <c r="BD90">
        <v>9340</v>
      </c>
      <c r="BE90" t="s">
        <v>434</v>
      </c>
      <c r="BF90" t="s">
        <v>393</v>
      </c>
      <c r="BG90" t="s">
        <v>394</v>
      </c>
      <c r="BH90" t="s">
        <v>207</v>
      </c>
      <c r="BI90" t="s">
        <v>411</v>
      </c>
      <c r="BJ90" t="s">
        <v>207</v>
      </c>
      <c r="BK90" t="s">
        <v>794</v>
      </c>
      <c r="BL90" t="s">
        <v>411</v>
      </c>
      <c r="BM90">
        <v>0</v>
      </c>
      <c r="BN90">
        <v>1</v>
      </c>
      <c r="BO90">
        <v>0</v>
      </c>
      <c r="BP90">
        <v>0</v>
      </c>
      <c r="BQ90">
        <v>0</v>
      </c>
      <c r="BR90">
        <v>0</v>
      </c>
      <c r="BS90">
        <v>0</v>
      </c>
      <c r="BT90">
        <v>0</v>
      </c>
      <c r="BU90">
        <v>1</v>
      </c>
      <c r="BV90">
        <v>1</v>
      </c>
      <c r="BW90" t="s">
        <v>397</v>
      </c>
      <c r="BX90" t="s">
        <v>411</v>
      </c>
      <c r="BY90" t="s">
        <v>207</v>
      </c>
      <c r="BZ90" t="s">
        <v>396</v>
      </c>
      <c r="CA90" t="s">
        <v>207</v>
      </c>
      <c r="CB90" t="s">
        <v>396</v>
      </c>
      <c r="CC90" t="s">
        <v>411</v>
      </c>
      <c r="CD90" t="s">
        <v>207</v>
      </c>
      <c r="CE90">
        <v>1</v>
      </c>
      <c r="CF90">
        <v>6885</v>
      </c>
      <c r="CG90" t="s">
        <v>399</v>
      </c>
      <c r="CH90" t="s">
        <v>207</v>
      </c>
      <c r="CI90" t="s">
        <v>400</v>
      </c>
      <c r="CJ90" t="s">
        <v>207</v>
      </c>
      <c r="CK90" t="s">
        <v>207</v>
      </c>
      <c r="CL90">
        <v>1</v>
      </c>
      <c r="CM90" t="s">
        <v>961</v>
      </c>
      <c r="CN90" t="s">
        <v>207</v>
      </c>
      <c r="CO90">
        <v>0.50389999151229903</v>
      </c>
      <c r="CP90">
        <v>0</v>
      </c>
      <c r="CQ90">
        <v>113</v>
      </c>
      <c r="CR90" s="105">
        <v>34907</v>
      </c>
      <c r="CS90">
        <v>303</v>
      </c>
      <c r="CT90" s="106">
        <v>43131</v>
      </c>
      <c r="CU90" t="s">
        <v>207</v>
      </c>
      <c r="CV90" t="s">
        <v>207</v>
      </c>
      <c r="CW90" t="s">
        <v>207</v>
      </c>
    </row>
    <row r="91" spans="1:101" x14ac:dyDescent="0.2">
      <c r="A91">
        <v>3594</v>
      </c>
      <c r="B91" s="110" t="s">
        <v>823</v>
      </c>
      <c r="C91" t="s">
        <v>824</v>
      </c>
      <c r="D91">
        <v>2850</v>
      </c>
      <c r="E91" t="s">
        <v>825</v>
      </c>
      <c r="F91" s="131" t="s">
        <v>826</v>
      </c>
      <c r="G91" t="s">
        <v>827</v>
      </c>
      <c r="H91" t="s">
        <v>207</v>
      </c>
      <c r="I91" t="s">
        <v>207</v>
      </c>
      <c r="J91" t="s">
        <v>207</v>
      </c>
      <c r="K91">
        <v>700</v>
      </c>
      <c r="L91" t="s">
        <v>207</v>
      </c>
      <c r="M91">
        <v>3912</v>
      </c>
      <c r="N91" t="s">
        <v>207</v>
      </c>
      <c r="O91" s="110" t="s">
        <v>251</v>
      </c>
      <c r="P91" t="s">
        <v>391</v>
      </c>
      <c r="Q91" t="s">
        <v>207</v>
      </c>
      <c r="R91" t="s">
        <v>207</v>
      </c>
      <c r="S91">
        <v>0</v>
      </c>
      <c r="T91">
        <v>0</v>
      </c>
      <c r="U91">
        <v>0</v>
      </c>
      <c r="V91">
        <v>1</v>
      </c>
      <c r="W91" s="110" t="s">
        <v>114</v>
      </c>
      <c r="X91" t="s">
        <v>207</v>
      </c>
      <c r="Y91" t="s">
        <v>207</v>
      </c>
      <c r="Z91" t="s">
        <v>517</v>
      </c>
      <c r="AA91" t="s">
        <v>207</v>
      </c>
      <c r="AB91">
        <v>2</v>
      </c>
      <c r="AC91">
        <v>30</v>
      </c>
      <c r="AD91">
        <v>9310</v>
      </c>
      <c r="AE91">
        <v>2</v>
      </c>
      <c r="AF91">
        <v>6</v>
      </c>
      <c r="AG91">
        <v>9310</v>
      </c>
      <c r="AH91">
        <v>10</v>
      </c>
      <c r="AI91">
        <v>56049</v>
      </c>
      <c r="AJ91" t="s">
        <v>207</v>
      </c>
      <c r="AK91" t="s">
        <v>207</v>
      </c>
      <c r="AL91">
        <v>35.65</v>
      </c>
      <c r="AM91">
        <v>66</v>
      </c>
      <c r="AN91" t="s">
        <v>392</v>
      </c>
      <c r="AO91" t="s">
        <v>207</v>
      </c>
      <c r="AP91" t="s">
        <v>207</v>
      </c>
      <c r="AQ91">
        <v>2850</v>
      </c>
      <c r="AR91" t="s">
        <v>207</v>
      </c>
      <c r="AS91" t="s">
        <v>207</v>
      </c>
      <c r="AT91" t="s">
        <v>207</v>
      </c>
      <c r="AU91" t="s">
        <v>207</v>
      </c>
      <c r="AV91" t="s">
        <v>207</v>
      </c>
      <c r="AW91" t="s">
        <v>207</v>
      </c>
      <c r="AX91" t="s">
        <v>207</v>
      </c>
      <c r="AY91" t="s">
        <v>207</v>
      </c>
      <c r="AZ91" t="s">
        <v>828</v>
      </c>
      <c r="BA91" t="s">
        <v>207</v>
      </c>
      <c r="BB91" t="s">
        <v>207</v>
      </c>
      <c r="BC91" t="s">
        <v>207</v>
      </c>
      <c r="BD91">
        <v>4563</v>
      </c>
      <c r="BE91" t="s">
        <v>397</v>
      </c>
      <c r="BF91" t="s">
        <v>736</v>
      </c>
      <c r="BG91" t="s">
        <v>394</v>
      </c>
      <c r="BH91" t="s">
        <v>207</v>
      </c>
      <c r="BI91" t="s">
        <v>207</v>
      </c>
      <c r="BJ91" t="s">
        <v>207</v>
      </c>
      <c r="BK91" t="s">
        <v>207</v>
      </c>
      <c r="BL91" t="s">
        <v>207</v>
      </c>
      <c r="BM91">
        <v>0</v>
      </c>
      <c r="BN91">
        <v>0</v>
      </c>
      <c r="BO91">
        <v>0</v>
      </c>
      <c r="BP91">
        <v>0</v>
      </c>
      <c r="BQ91">
        <v>1</v>
      </c>
      <c r="BR91">
        <v>0</v>
      </c>
      <c r="BS91">
        <v>0</v>
      </c>
      <c r="BT91">
        <v>1</v>
      </c>
      <c r="BU91">
        <v>1</v>
      </c>
      <c r="BV91">
        <v>1</v>
      </c>
      <c r="BW91" t="s">
        <v>396</v>
      </c>
      <c r="BX91" t="s">
        <v>207</v>
      </c>
      <c r="BY91" t="s">
        <v>207</v>
      </c>
      <c r="BZ91" t="s">
        <v>396</v>
      </c>
      <c r="CA91" t="s">
        <v>207</v>
      </c>
      <c r="CB91" t="s">
        <v>396</v>
      </c>
      <c r="CC91" t="s">
        <v>207</v>
      </c>
      <c r="CD91" t="s">
        <v>207</v>
      </c>
      <c r="CE91">
        <v>1</v>
      </c>
      <c r="CF91">
        <v>4563</v>
      </c>
      <c r="CG91" t="s">
        <v>399</v>
      </c>
      <c r="CH91" t="s">
        <v>207</v>
      </c>
      <c r="CI91" t="s">
        <v>400</v>
      </c>
      <c r="CJ91" t="s">
        <v>207</v>
      </c>
      <c r="CK91" t="s">
        <v>207</v>
      </c>
      <c r="CL91">
        <v>1</v>
      </c>
      <c r="CM91" t="s">
        <v>829</v>
      </c>
      <c r="CN91" t="s">
        <v>207</v>
      </c>
      <c r="CO91">
        <v>0.5</v>
      </c>
      <c r="CP91">
        <v>0</v>
      </c>
      <c r="CQ91">
        <v>1</v>
      </c>
      <c r="CR91" s="105">
        <v>33359</v>
      </c>
      <c r="CS91">
        <v>65</v>
      </c>
      <c r="CT91" s="106">
        <v>43690</v>
      </c>
      <c r="CU91">
        <v>113</v>
      </c>
      <c r="CV91" s="106">
        <v>34883</v>
      </c>
      <c r="CW91" t="s">
        <v>207</v>
      </c>
    </row>
    <row r="92" spans="1:101" x14ac:dyDescent="0.2">
      <c r="A92">
        <v>3200</v>
      </c>
      <c r="B92" s="110" t="s">
        <v>837</v>
      </c>
      <c r="C92" t="s">
        <v>796</v>
      </c>
      <c r="D92">
        <v>27139</v>
      </c>
      <c r="E92" t="s">
        <v>838</v>
      </c>
      <c r="F92" s="131" t="s">
        <v>839</v>
      </c>
      <c r="G92" t="s">
        <v>840</v>
      </c>
      <c r="H92" t="s">
        <v>207</v>
      </c>
      <c r="I92" t="s">
        <v>207</v>
      </c>
      <c r="J92" t="s">
        <v>207</v>
      </c>
      <c r="K92">
        <v>570</v>
      </c>
      <c r="L92" t="s">
        <v>207</v>
      </c>
      <c r="M92">
        <v>1147</v>
      </c>
      <c r="N92" t="s">
        <v>207</v>
      </c>
      <c r="O92" s="110" t="s">
        <v>205</v>
      </c>
      <c r="P92" t="s">
        <v>391</v>
      </c>
      <c r="Q92" t="s">
        <v>207</v>
      </c>
      <c r="R92" t="s">
        <v>207</v>
      </c>
      <c r="S92">
        <v>0</v>
      </c>
      <c r="T92">
        <v>0</v>
      </c>
      <c r="U92">
        <v>1</v>
      </c>
      <c r="V92">
        <v>1</v>
      </c>
      <c r="W92" s="110" t="s">
        <v>114</v>
      </c>
      <c r="X92" t="s">
        <v>207</v>
      </c>
      <c r="Y92" t="s">
        <v>207</v>
      </c>
      <c r="Z92" t="s">
        <v>517</v>
      </c>
      <c r="AA92" t="s">
        <v>207</v>
      </c>
      <c r="AB92" t="s">
        <v>207</v>
      </c>
      <c r="AC92" t="s">
        <v>207</v>
      </c>
      <c r="AD92" t="s">
        <v>207</v>
      </c>
      <c r="AE92" t="s">
        <v>207</v>
      </c>
      <c r="AF92" t="s">
        <v>207</v>
      </c>
      <c r="AG92" t="s">
        <v>207</v>
      </c>
      <c r="AH92">
        <v>3</v>
      </c>
      <c r="AI92">
        <v>12193</v>
      </c>
      <c r="AJ92" t="s">
        <v>207</v>
      </c>
      <c r="AK92" t="s">
        <v>207</v>
      </c>
      <c r="AL92">
        <v>14.62</v>
      </c>
      <c r="AM92">
        <v>10.800000190734901</v>
      </c>
      <c r="AN92" t="s">
        <v>392</v>
      </c>
      <c r="AO92" t="s">
        <v>207</v>
      </c>
      <c r="AP92" t="s">
        <v>207</v>
      </c>
      <c r="AQ92">
        <v>6792</v>
      </c>
      <c r="AR92">
        <v>7</v>
      </c>
      <c r="AS92" t="s">
        <v>392</v>
      </c>
      <c r="AT92" t="s">
        <v>207</v>
      </c>
      <c r="AU92" t="s">
        <v>207</v>
      </c>
      <c r="AV92">
        <v>12193</v>
      </c>
      <c r="AW92" t="s">
        <v>207</v>
      </c>
      <c r="AX92" t="s">
        <v>207</v>
      </c>
      <c r="AY92" t="s">
        <v>207</v>
      </c>
      <c r="AZ92" t="s">
        <v>207</v>
      </c>
      <c r="BA92" t="s">
        <v>207</v>
      </c>
      <c r="BB92" t="s">
        <v>207</v>
      </c>
      <c r="BC92" t="s">
        <v>207</v>
      </c>
      <c r="BD92" t="s">
        <v>207</v>
      </c>
      <c r="BE92" t="s">
        <v>207</v>
      </c>
      <c r="BF92" t="s">
        <v>423</v>
      </c>
      <c r="BG92" t="s">
        <v>207</v>
      </c>
      <c r="BH92" t="s">
        <v>207</v>
      </c>
      <c r="BI92" t="s">
        <v>207</v>
      </c>
      <c r="BJ92" t="s">
        <v>207</v>
      </c>
      <c r="BK92" t="s">
        <v>207</v>
      </c>
      <c r="BL92" t="s">
        <v>207</v>
      </c>
      <c r="BM92">
        <v>0</v>
      </c>
      <c r="BN92">
        <v>0</v>
      </c>
      <c r="BO92">
        <v>0</v>
      </c>
      <c r="BP92">
        <v>0</v>
      </c>
      <c r="BQ92">
        <v>0</v>
      </c>
      <c r="BR92">
        <v>0</v>
      </c>
      <c r="BS92">
        <v>0</v>
      </c>
      <c r="BT92">
        <v>0</v>
      </c>
      <c r="BU92">
        <v>0</v>
      </c>
      <c r="BV92">
        <v>0</v>
      </c>
      <c r="BW92" t="s">
        <v>207</v>
      </c>
      <c r="BX92" t="s">
        <v>207</v>
      </c>
      <c r="BY92" t="s">
        <v>207</v>
      </c>
      <c r="BZ92" t="s">
        <v>207</v>
      </c>
      <c r="CA92" t="s">
        <v>207</v>
      </c>
      <c r="CB92" t="s">
        <v>397</v>
      </c>
      <c r="CC92" t="s">
        <v>207</v>
      </c>
      <c r="CD92">
        <v>27139</v>
      </c>
      <c r="CE92">
        <v>0</v>
      </c>
      <c r="CF92" t="s">
        <v>207</v>
      </c>
      <c r="CG92" t="s">
        <v>399</v>
      </c>
      <c r="CH92" t="s">
        <v>207</v>
      </c>
      <c r="CI92" t="s">
        <v>400</v>
      </c>
      <c r="CJ92" t="s">
        <v>207</v>
      </c>
      <c r="CK92" t="s">
        <v>207</v>
      </c>
      <c r="CL92">
        <v>1</v>
      </c>
      <c r="CM92" t="s">
        <v>841</v>
      </c>
      <c r="CN92" t="s">
        <v>207</v>
      </c>
      <c r="CO92">
        <v>0.5</v>
      </c>
      <c r="CP92">
        <v>0</v>
      </c>
      <c r="CQ92">
        <v>1</v>
      </c>
      <c r="CR92" s="105">
        <v>33359</v>
      </c>
      <c r="CS92">
        <v>2</v>
      </c>
      <c r="CT92" s="106">
        <v>36843</v>
      </c>
      <c r="CU92" t="s">
        <v>207</v>
      </c>
      <c r="CV92" t="s">
        <v>207</v>
      </c>
      <c r="CW92" t="s">
        <v>207</v>
      </c>
    </row>
    <row r="93" spans="1:101" x14ac:dyDescent="0.2">
      <c r="A93">
        <v>3192</v>
      </c>
      <c r="B93" s="110" t="s">
        <v>962</v>
      </c>
      <c r="C93" t="s">
        <v>796</v>
      </c>
      <c r="D93">
        <v>86798</v>
      </c>
      <c r="E93" t="s">
        <v>781</v>
      </c>
      <c r="F93" s="131" t="s">
        <v>963</v>
      </c>
      <c r="G93" t="s">
        <v>964</v>
      </c>
      <c r="H93" t="s">
        <v>207</v>
      </c>
      <c r="I93" t="s">
        <v>207</v>
      </c>
      <c r="J93" t="s">
        <v>207</v>
      </c>
      <c r="K93">
        <v>570</v>
      </c>
      <c r="L93" t="s">
        <v>207</v>
      </c>
      <c r="M93">
        <v>1147</v>
      </c>
      <c r="N93" t="s">
        <v>207</v>
      </c>
      <c r="O93" s="110" t="s">
        <v>250</v>
      </c>
      <c r="P93" t="s">
        <v>391</v>
      </c>
      <c r="Q93" t="s">
        <v>207</v>
      </c>
      <c r="R93" t="s">
        <v>207</v>
      </c>
      <c r="S93">
        <v>0</v>
      </c>
      <c r="T93">
        <v>1</v>
      </c>
      <c r="U93">
        <v>1</v>
      </c>
      <c r="V93">
        <v>1</v>
      </c>
      <c r="W93" s="110" t="s">
        <v>114</v>
      </c>
      <c r="X93" t="s">
        <v>207</v>
      </c>
      <c r="Y93" t="s">
        <v>207</v>
      </c>
      <c r="Z93" t="s">
        <v>517</v>
      </c>
      <c r="AA93" t="s">
        <v>207</v>
      </c>
      <c r="AB93" t="s">
        <v>207</v>
      </c>
      <c r="AC93" t="s">
        <v>207</v>
      </c>
      <c r="AD93" t="s">
        <v>207</v>
      </c>
      <c r="AE93" t="s">
        <v>207</v>
      </c>
      <c r="AF93" t="s">
        <v>207</v>
      </c>
      <c r="AG93" t="s">
        <v>207</v>
      </c>
      <c r="AH93">
        <v>4</v>
      </c>
      <c r="AI93">
        <v>59043</v>
      </c>
      <c r="AJ93">
        <v>4</v>
      </c>
      <c r="AK93">
        <v>273</v>
      </c>
      <c r="AL93">
        <v>16.22</v>
      </c>
      <c r="AM93">
        <v>15</v>
      </c>
      <c r="AN93" t="s">
        <v>392</v>
      </c>
      <c r="AO93" t="s">
        <v>207</v>
      </c>
      <c r="AP93" t="s">
        <v>207</v>
      </c>
      <c r="AQ93">
        <v>27139</v>
      </c>
      <c r="AR93">
        <v>8.8999996185302699</v>
      </c>
      <c r="AS93" t="s">
        <v>392</v>
      </c>
      <c r="AT93" t="s">
        <v>207</v>
      </c>
      <c r="AU93" t="s">
        <v>207</v>
      </c>
      <c r="AV93">
        <v>12193</v>
      </c>
      <c r="AW93" t="s">
        <v>207</v>
      </c>
      <c r="AX93" t="s">
        <v>207</v>
      </c>
      <c r="AY93" t="s">
        <v>207</v>
      </c>
      <c r="AZ93" t="s">
        <v>207</v>
      </c>
      <c r="BA93" t="s">
        <v>207</v>
      </c>
      <c r="BB93" t="s">
        <v>207</v>
      </c>
      <c r="BC93" t="s">
        <v>207</v>
      </c>
      <c r="BD93" t="s">
        <v>207</v>
      </c>
      <c r="BE93" t="s">
        <v>207</v>
      </c>
      <c r="BF93" t="s">
        <v>423</v>
      </c>
      <c r="BG93" t="s">
        <v>207</v>
      </c>
      <c r="BH93" t="s">
        <v>207</v>
      </c>
      <c r="BI93" t="s">
        <v>411</v>
      </c>
      <c r="BJ93" t="s">
        <v>207</v>
      </c>
      <c r="BK93" t="s">
        <v>411</v>
      </c>
      <c r="BL93" t="s">
        <v>411</v>
      </c>
      <c r="BM93">
        <v>0</v>
      </c>
      <c r="BN93">
        <v>0</v>
      </c>
      <c r="BO93">
        <v>0</v>
      </c>
      <c r="BP93">
        <v>0</v>
      </c>
      <c r="BQ93">
        <v>0</v>
      </c>
      <c r="BR93">
        <v>0</v>
      </c>
      <c r="BS93">
        <v>0</v>
      </c>
      <c r="BT93">
        <v>0</v>
      </c>
      <c r="BU93">
        <v>0</v>
      </c>
      <c r="BV93">
        <v>0</v>
      </c>
      <c r="BW93" t="s">
        <v>396</v>
      </c>
      <c r="BX93" t="s">
        <v>411</v>
      </c>
      <c r="BY93" t="s">
        <v>207</v>
      </c>
      <c r="BZ93" t="s">
        <v>396</v>
      </c>
      <c r="CA93" t="s">
        <v>207</v>
      </c>
      <c r="CB93" t="s">
        <v>397</v>
      </c>
      <c r="CC93" t="s">
        <v>411</v>
      </c>
      <c r="CD93">
        <v>27139</v>
      </c>
      <c r="CE93">
        <v>0</v>
      </c>
      <c r="CF93" t="s">
        <v>207</v>
      </c>
      <c r="CG93" t="s">
        <v>399</v>
      </c>
      <c r="CH93" t="s">
        <v>207</v>
      </c>
      <c r="CI93" t="s">
        <v>400</v>
      </c>
      <c r="CJ93" t="s">
        <v>207</v>
      </c>
      <c r="CK93" t="s">
        <v>207</v>
      </c>
      <c r="CL93">
        <v>1</v>
      </c>
      <c r="CM93" t="s">
        <v>965</v>
      </c>
      <c r="CN93" t="s">
        <v>207</v>
      </c>
      <c r="CO93">
        <v>0.5</v>
      </c>
      <c r="CP93">
        <v>0</v>
      </c>
      <c r="CQ93">
        <v>1</v>
      </c>
      <c r="CR93" s="105">
        <v>33359</v>
      </c>
      <c r="CS93">
        <v>10</v>
      </c>
      <c r="CT93" s="106">
        <v>41852</v>
      </c>
      <c r="CU93">
        <v>10</v>
      </c>
      <c r="CV93" s="106">
        <v>34555</v>
      </c>
      <c r="CW93" t="s">
        <v>207</v>
      </c>
    </row>
    <row r="94" spans="1:101" x14ac:dyDescent="0.2">
      <c r="A94">
        <v>4653</v>
      </c>
      <c r="B94" s="110" t="s">
        <v>966</v>
      </c>
      <c r="C94" t="s">
        <v>967</v>
      </c>
      <c r="D94">
        <v>4832</v>
      </c>
      <c r="E94" t="s">
        <v>968</v>
      </c>
      <c r="F94" s="131" t="s">
        <v>969</v>
      </c>
      <c r="G94" t="s">
        <v>970</v>
      </c>
      <c r="H94" t="s">
        <v>207</v>
      </c>
      <c r="I94" t="s">
        <v>207</v>
      </c>
      <c r="J94" t="s">
        <v>207</v>
      </c>
      <c r="K94">
        <v>749</v>
      </c>
      <c r="L94" t="s">
        <v>971</v>
      </c>
      <c r="M94">
        <v>5364</v>
      </c>
      <c r="N94" t="s">
        <v>207</v>
      </c>
      <c r="O94" s="110" t="s">
        <v>250</v>
      </c>
      <c r="P94" t="s">
        <v>391</v>
      </c>
      <c r="Q94" t="s">
        <v>207</v>
      </c>
      <c r="R94" t="s">
        <v>207</v>
      </c>
      <c r="S94">
        <v>0</v>
      </c>
      <c r="T94">
        <v>1</v>
      </c>
      <c r="U94">
        <v>0</v>
      </c>
      <c r="V94">
        <v>0</v>
      </c>
      <c r="W94" s="110" t="s">
        <v>114</v>
      </c>
      <c r="X94" t="s">
        <v>207</v>
      </c>
      <c r="Y94" t="s">
        <v>207</v>
      </c>
      <c r="Z94" t="s">
        <v>207</v>
      </c>
      <c r="AA94" t="s">
        <v>207</v>
      </c>
      <c r="AB94" t="s">
        <v>207</v>
      </c>
      <c r="AC94" t="s">
        <v>207</v>
      </c>
      <c r="AD94" t="s">
        <v>207</v>
      </c>
      <c r="AE94" t="s">
        <v>207</v>
      </c>
      <c r="AF94" t="s">
        <v>207</v>
      </c>
      <c r="AG94" t="s">
        <v>207</v>
      </c>
      <c r="AH94" t="s">
        <v>207</v>
      </c>
      <c r="AI94" t="s">
        <v>207</v>
      </c>
      <c r="AJ94">
        <v>5</v>
      </c>
      <c r="AK94">
        <v>47810</v>
      </c>
      <c r="AL94">
        <v>11.36</v>
      </c>
      <c r="AM94">
        <v>3.7999999523162802</v>
      </c>
      <c r="AN94" t="s">
        <v>470</v>
      </c>
      <c r="AO94" t="s">
        <v>207</v>
      </c>
      <c r="AP94" t="s">
        <v>207</v>
      </c>
      <c r="AQ94">
        <v>41236</v>
      </c>
      <c r="AR94" t="s">
        <v>207</v>
      </c>
      <c r="AS94" t="s">
        <v>207</v>
      </c>
      <c r="AT94" t="s">
        <v>207</v>
      </c>
      <c r="AU94" t="s">
        <v>207</v>
      </c>
      <c r="AV94" t="s">
        <v>207</v>
      </c>
      <c r="AW94" t="s">
        <v>207</v>
      </c>
      <c r="AX94" t="s">
        <v>207</v>
      </c>
      <c r="AY94" t="s">
        <v>207</v>
      </c>
      <c r="AZ94" t="s">
        <v>207</v>
      </c>
      <c r="BA94" t="s">
        <v>207</v>
      </c>
      <c r="BB94" t="s">
        <v>207</v>
      </c>
      <c r="BC94" t="s">
        <v>207</v>
      </c>
      <c r="BD94">
        <v>4832</v>
      </c>
      <c r="BE94" t="s">
        <v>511</v>
      </c>
      <c r="BF94" t="s">
        <v>423</v>
      </c>
      <c r="BG94" t="s">
        <v>207</v>
      </c>
      <c r="BH94" t="s">
        <v>207</v>
      </c>
      <c r="BI94" t="s">
        <v>207</v>
      </c>
      <c r="BJ94" t="s">
        <v>207</v>
      </c>
      <c r="BK94" t="s">
        <v>395</v>
      </c>
      <c r="BL94" t="s">
        <v>411</v>
      </c>
      <c r="BM94">
        <v>0</v>
      </c>
      <c r="BN94">
        <v>0</v>
      </c>
      <c r="BO94">
        <v>0</v>
      </c>
      <c r="BP94">
        <v>0</v>
      </c>
      <c r="BQ94">
        <v>1</v>
      </c>
      <c r="BR94">
        <v>0</v>
      </c>
      <c r="BS94">
        <v>0</v>
      </c>
      <c r="BT94">
        <v>0</v>
      </c>
      <c r="BU94">
        <v>0</v>
      </c>
      <c r="BV94">
        <v>0</v>
      </c>
      <c r="BW94" t="s">
        <v>396</v>
      </c>
      <c r="BX94" t="s">
        <v>411</v>
      </c>
      <c r="BY94" t="s">
        <v>207</v>
      </c>
      <c r="BZ94" t="s">
        <v>396</v>
      </c>
      <c r="CA94" t="s">
        <v>207</v>
      </c>
      <c r="CB94" t="s">
        <v>434</v>
      </c>
      <c r="CC94" t="s">
        <v>425</v>
      </c>
      <c r="CD94">
        <v>1672</v>
      </c>
      <c r="CE94">
        <v>0</v>
      </c>
      <c r="CF94" t="s">
        <v>207</v>
      </c>
      <c r="CG94" t="s">
        <v>399</v>
      </c>
      <c r="CH94" t="s">
        <v>207</v>
      </c>
      <c r="CI94" t="s">
        <v>400</v>
      </c>
      <c r="CJ94" t="s">
        <v>207</v>
      </c>
      <c r="CK94" t="s">
        <v>207</v>
      </c>
      <c r="CL94">
        <v>1</v>
      </c>
      <c r="CM94" t="s">
        <v>972</v>
      </c>
      <c r="CN94" t="s">
        <v>207</v>
      </c>
      <c r="CO94">
        <v>0.5</v>
      </c>
      <c r="CP94">
        <v>0</v>
      </c>
      <c r="CQ94">
        <v>1</v>
      </c>
      <c r="CR94" s="105">
        <v>33495</v>
      </c>
      <c r="CS94">
        <v>3</v>
      </c>
      <c r="CT94" s="106">
        <v>40731</v>
      </c>
      <c r="CU94">
        <v>10</v>
      </c>
      <c r="CV94" s="106">
        <v>34500</v>
      </c>
      <c r="CW94" t="s">
        <v>207</v>
      </c>
    </row>
    <row r="95" spans="1:101" x14ac:dyDescent="0.2">
      <c r="A95">
        <v>1329</v>
      </c>
      <c r="B95" s="110" t="s">
        <v>973</v>
      </c>
      <c r="C95" t="s">
        <v>974</v>
      </c>
      <c r="D95">
        <v>4698</v>
      </c>
      <c r="E95" t="s">
        <v>416</v>
      </c>
      <c r="F95" s="131" t="s">
        <v>975</v>
      </c>
      <c r="G95" t="s">
        <v>976</v>
      </c>
      <c r="H95" t="s">
        <v>207</v>
      </c>
      <c r="I95" t="s">
        <v>207</v>
      </c>
      <c r="J95" t="s">
        <v>207</v>
      </c>
      <c r="K95">
        <v>277</v>
      </c>
      <c r="L95" t="s">
        <v>207</v>
      </c>
      <c r="M95">
        <v>2965</v>
      </c>
      <c r="N95" t="s">
        <v>207</v>
      </c>
      <c r="O95" s="110" t="s">
        <v>250</v>
      </c>
      <c r="P95" t="s">
        <v>444</v>
      </c>
      <c r="Q95" t="s">
        <v>207</v>
      </c>
      <c r="R95" t="s">
        <v>207</v>
      </c>
      <c r="S95">
        <v>0</v>
      </c>
      <c r="T95">
        <v>0</v>
      </c>
      <c r="U95">
        <v>1</v>
      </c>
      <c r="V95">
        <v>1</v>
      </c>
      <c r="W95" s="110" t="s">
        <v>126</v>
      </c>
      <c r="X95" t="s">
        <v>207</v>
      </c>
      <c r="Y95" t="s">
        <v>207</v>
      </c>
      <c r="Z95" t="s">
        <v>207</v>
      </c>
      <c r="AA95" t="s">
        <v>207</v>
      </c>
      <c r="AB95">
        <v>0</v>
      </c>
      <c r="AC95">
        <v>451</v>
      </c>
      <c r="AD95">
        <v>58496</v>
      </c>
      <c r="AE95" t="s">
        <v>207</v>
      </c>
      <c r="AF95" t="s">
        <v>207</v>
      </c>
      <c r="AG95" t="s">
        <v>207</v>
      </c>
      <c r="AH95">
        <v>18</v>
      </c>
      <c r="AI95">
        <v>122394</v>
      </c>
      <c r="AJ95" t="s">
        <v>207</v>
      </c>
      <c r="AK95" t="s">
        <v>207</v>
      </c>
      <c r="AL95">
        <v>26.89</v>
      </c>
      <c r="AM95">
        <v>60</v>
      </c>
      <c r="AN95" t="s">
        <v>392</v>
      </c>
      <c r="AO95" t="s">
        <v>207</v>
      </c>
      <c r="AP95" t="s">
        <v>207</v>
      </c>
      <c r="AQ95">
        <v>9925</v>
      </c>
      <c r="AR95">
        <v>24</v>
      </c>
      <c r="AS95" t="s">
        <v>470</v>
      </c>
      <c r="AT95" t="s">
        <v>207</v>
      </c>
      <c r="AU95" t="s">
        <v>207</v>
      </c>
      <c r="AV95">
        <v>4698</v>
      </c>
      <c r="AW95" t="s">
        <v>207</v>
      </c>
      <c r="AX95" t="s">
        <v>207</v>
      </c>
      <c r="AY95" t="s">
        <v>207</v>
      </c>
      <c r="AZ95" t="s">
        <v>977</v>
      </c>
      <c r="BA95" t="s">
        <v>207</v>
      </c>
      <c r="BB95" t="s">
        <v>978</v>
      </c>
      <c r="BC95" t="s">
        <v>207</v>
      </c>
      <c r="BD95" t="s">
        <v>207</v>
      </c>
      <c r="BE95" t="s">
        <v>207</v>
      </c>
      <c r="BF95" t="s">
        <v>393</v>
      </c>
      <c r="BG95" t="s">
        <v>731</v>
      </c>
      <c r="BH95" t="s">
        <v>207</v>
      </c>
      <c r="BI95" t="s">
        <v>207</v>
      </c>
      <c r="BJ95" t="s">
        <v>207</v>
      </c>
      <c r="BK95" t="s">
        <v>395</v>
      </c>
      <c r="BL95" t="s">
        <v>207</v>
      </c>
      <c r="BM95">
        <v>0</v>
      </c>
      <c r="BN95">
        <v>0</v>
      </c>
      <c r="BO95">
        <v>0</v>
      </c>
      <c r="BP95">
        <v>0</v>
      </c>
      <c r="BQ95">
        <v>0</v>
      </c>
      <c r="BR95">
        <v>0</v>
      </c>
      <c r="BS95">
        <v>0</v>
      </c>
      <c r="BT95">
        <v>0</v>
      </c>
      <c r="BU95">
        <v>0</v>
      </c>
      <c r="BV95">
        <v>0</v>
      </c>
      <c r="BW95" t="s">
        <v>396</v>
      </c>
      <c r="BX95" t="s">
        <v>207</v>
      </c>
      <c r="BY95" t="s">
        <v>207</v>
      </c>
      <c r="BZ95" t="s">
        <v>396</v>
      </c>
      <c r="CA95" t="s">
        <v>207</v>
      </c>
      <c r="CB95" t="s">
        <v>438</v>
      </c>
      <c r="CC95" t="s">
        <v>398</v>
      </c>
      <c r="CD95">
        <v>12253</v>
      </c>
      <c r="CE95">
        <v>0</v>
      </c>
      <c r="CF95" t="s">
        <v>207</v>
      </c>
      <c r="CG95" t="s">
        <v>399</v>
      </c>
      <c r="CH95" t="s">
        <v>207</v>
      </c>
      <c r="CI95" t="s">
        <v>400</v>
      </c>
      <c r="CJ95" t="s">
        <v>207</v>
      </c>
      <c r="CK95" t="s">
        <v>207</v>
      </c>
      <c r="CL95">
        <v>1</v>
      </c>
      <c r="CM95" t="s">
        <v>979</v>
      </c>
      <c r="CN95" t="s">
        <v>207</v>
      </c>
      <c r="CO95">
        <v>0.5</v>
      </c>
      <c r="CP95">
        <v>0</v>
      </c>
      <c r="CQ95">
        <v>1</v>
      </c>
      <c r="CR95" s="105">
        <v>33163</v>
      </c>
      <c r="CS95">
        <v>2448</v>
      </c>
      <c r="CT95" s="106">
        <v>44022</v>
      </c>
      <c r="CU95">
        <v>1</v>
      </c>
      <c r="CV95" s="106">
        <v>35415</v>
      </c>
      <c r="CW95" t="s">
        <v>207</v>
      </c>
    </row>
    <row r="96" spans="1:101" x14ac:dyDescent="0.2">
      <c r="A96">
        <v>6</v>
      </c>
      <c r="B96" t="s">
        <v>830</v>
      </c>
      <c r="C96" t="s">
        <v>831</v>
      </c>
      <c r="D96">
        <v>26</v>
      </c>
      <c r="E96" t="s">
        <v>455</v>
      </c>
      <c r="F96" t="s">
        <v>832</v>
      </c>
      <c r="G96" t="s">
        <v>833</v>
      </c>
      <c r="H96" t="s">
        <v>207</v>
      </c>
      <c r="I96" t="s">
        <v>207</v>
      </c>
      <c r="J96" t="s">
        <v>207</v>
      </c>
      <c r="K96">
        <v>315</v>
      </c>
      <c r="L96" t="s">
        <v>207</v>
      </c>
      <c r="M96">
        <v>6651</v>
      </c>
      <c r="N96" t="s">
        <v>207</v>
      </c>
      <c r="O96" s="110" t="s">
        <v>205</v>
      </c>
      <c r="P96" t="s">
        <v>444</v>
      </c>
      <c r="Q96" t="s">
        <v>207</v>
      </c>
      <c r="R96" t="s">
        <v>207</v>
      </c>
      <c r="S96">
        <v>0</v>
      </c>
      <c r="T96">
        <v>0</v>
      </c>
      <c r="U96">
        <v>1</v>
      </c>
      <c r="V96">
        <v>1</v>
      </c>
      <c r="W96" s="110" t="s">
        <v>189</v>
      </c>
      <c r="X96" t="s">
        <v>207</v>
      </c>
      <c r="Y96" t="s">
        <v>207</v>
      </c>
      <c r="Z96" t="s">
        <v>445</v>
      </c>
      <c r="AA96">
        <v>51243</v>
      </c>
      <c r="AB96">
        <v>0</v>
      </c>
      <c r="AC96">
        <v>85</v>
      </c>
      <c r="AD96">
        <v>13608</v>
      </c>
      <c r="AE96">
        <v>5</v>
      </c>
      <c r="AF96">
        <v>10</v>
      </c>
      <c r="AG96">
        <v>40849</v>
      </c>
      <c r="AH96">
        <v>4</v>
      </c>
      <c r="AI96">
        <v>2885</v>
      </c>
      <c r="AJ96" t="s">
        <v>207</v>
      </c>
      <c r="AK96" t="s">
        <v>207</v>
      </c>
      <c r="AL96">
        <v>39.24</v>
      </c>
      <c r="AM96">
        <v>210</v>
      </c>
      <c r="AN96" t="s">
        <v>392</v>
      </c>
      <c r="AO96" t="s">
        <v>207</v>
      </c>
      <c r="AP96" t="s">
        <v>207</v>
      </c>
      <c r="AQ96">
        <v>9846</v>
      </c>
      <c r="AR96">
        <v>100</v>
      </c>
      <c r="AS96" t="s">
        <v>392</v>
      </c>
      <c r="AT96" t="s">
        <v>207</v>
      </c>
      <c r="AU96" t="s">
        <v>207</v>
      </c>
      <c r="AV96">
        <v>3390</v>
      </c>
      <c r="AW96">
        <v>40000</v>
      </c>
      <c r="AX96" t="s">
        <v>207</v>
      </c>
      <c r="AY96">
        <v>30874</v>
      </c>
      <c r="AZ96" t="s">
        <v>834</v>
      </c>
      <c r="BA96" t="s">
        <v>207</v>
      </c>
      <c r="BB96" t="s">
        <v>207</v>
      </c>
      <c r="BC96" t="s">
        <v>207</v>
      </c>
      <c r="BD96">
        <v>4931</v>
      </c>
      <c r="BE96" t="s">
        <v>434</v>
      </c>
      <c r="BF96" t="s">
        <v>447</v>
      </c>
      <c r="BG96" t="s">
        <v>394</v>
      </c>
      <c r="BH96" t="s">
        <v>207</v>
      </c>
      <c r="BI96" t="s">
        <v>435</v>
      </c>
      <c r="BJ96" t="s">
        <v>207</v>
      </c>
      <c r="BK96" t="s">
        <v>794</v>
      </c>
      <c r="BL96" t="s">
        <v>411</v>
      </c>
      <c r="BM96">
        <v>1</v>
      </c>
      <c r="BN96">
        <v>1</v>
      </c>
      <c r="BO96">
        <v>0</v>
      </c>
      <c r="BP96">
        <v>0</v>
      </c>
      <c r="BQ96">
        <v>0</v>
      </c>
      <c r="BR96">
        <v>0</v>
      </c>
      <c r="BS96">
        <v>0</v>
      </c>
      <c r="BT96">
        <v>0</v>
      </c>
      <c r="BU96">
        <v>1</v>
      </c>
      <c r="BV96">
        <v>0</v>
      </c>
      <c r="BW96" t="s">
        <v>397</v>
      </c>
      <c r="BX96" t="s">
        <v>411</v>
      </c>
      <c r="BY96">
        <v>3691</v>
      </c>
      <c r="BZ96" t="s">
        <v>396</v>
      </c>
      <c r="CA96" t="s">
        <v>207</v>
      </c>
      <c r="CB96" t="s">
        <v>396</v>
      </c>
      <c r="CC96" t="s">
        <v>411</v>
      </c>
      <c r="CD96" t="s">
        <v>207</v>
      </c>
      <c r="CE96">
        <v>1</v>
      </c>
      <c r="CF96">
        <v>4699</v>
      </c>
      <c r="CG96" t="s">
        <v>835</v>
      </c>
      <c r="CH96">
        <v>30911</v>
      </c>
      <c r="CI96" t="s">
        <v>400</v>
      </c>
      <c r="CJ96" t="s">
        <v>207</v>
      </c>
      <c r="CK96" t="s">
        <v>207</v>
      </c>
      <c r="CL96">
        <v>1</v>
      </c>
      <c r="CM96" t="s">
        <v>836</v>
      </c>
      <c r="CN96" t="s">
        <v>207</v>
      </c>
      <c r="CO96">
        <v>1</v>
      </c>
      <c r="CP96">
        <v>0</v>
      </c>
      <c r="CQ96">
        <v>2</v>
      </c>
      <c r="CR96" s="105">
        <v>33163</v>
      </c>
      <c r="CS96">
        <v>97</v>
      </c>
      <c r="CT96" s="106">
        <v>43510</v>
      </c>
      <c r="CU96">
        <v>133</v>
      </c>
      <c r="CV96" s="106">
        <v>34977</v>
      </c>
      <c r="CW96" t="s">
        <v>207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D94DE-1488-7940-81EA-C374552E19F6}">
  <dimension ref="A1:E95"/>
  <sheetViews>
    <sheetView workbookViewId="0">
      <selection activeCell="F17" sqref="F17"/>
    </sheetView>
  </sheetViews>
  <sheetFormatPr baseColWidth="10" defaultRowHeight="16" x14ac:dyDescent="0.2"/>
  <cols>
    <col min="1" max="1" width="25.83203125" bestFit="1" customWidth="1"/>
    <col min="2" max="2" width="15.1640625" bestFit="1" customWidth="1"/>
  </cols>
  <sheetData>
    <row r="1" spans="1:5" s="189" customFormat="1" x14ac:dyDescent="0.2">
      <c r="A1" s="189" t="s">
        <v>0</v>
      </c>
      <c r="B1" s="189" t="s">
        <v>280</v>
      </c>
      <c r="C1" s="189" t="s">
        <v>282</v>
      </c>
      <c r="D1" s="189" t="s">
        <v>281</v>
      </c>
      <c r="E1" s="189" t="s">
        <v>283</v>
      </c>
    </row>
    <row r="2" spans="1:5" x14ac:dyDescent="0.2">
      <c r="A2" t="s">
        <v>88</v>
      </c>
      <c r="B2" t="s">
        <v>114</v>
      </c>
      <c r="C2" t="s">
        <v>204</v>
      </c>
      <c r="D2" t="s">
        <v>115</v>
      </c>
      <c r="E2" t="s">
        <v>113</v>
      </c>
    </row>
    <row r="3" spans="1:5" ht="17" customHeight="1" x14ac:dyDescent="0.2">
      <c r="A3" t="s">
        <v>8</v>
      </c>
      <c r="B3" t="s">
        <v>118</v>
      </c>
      <c r="C3" t="s">
        <v>206</v>
      </c>
      <c r="D3" t="s">
        <v>119</v>
      </c>
      <c r="E3" t="s">
        <v>117</v>
      </c>
    </row>
    <row r="4" spans="1:5" x14ac:dyDescent="0.2">
      <c r="A4" t="s">
        <v>10</v>
      </c>
      <c r="B4" t="s">
        <v>114</v>
      </c>
      <c r="C4" t="s">
        <v>205</v>
      </c>
      <c r="D4" t="s">
        <v>121</v>
      </c>
      <c r="E4" t="s">
        <v>122</v>
      </c>
    </row>
    <row r="5" spans="1:5" x14ac:dyDescent="0.2">
      <c r="A5" t="s">
        <v>263</v>
      </c>
      <c r="B5" t="s">
        <v>114</v>
      </c>
      <c r="C5" t="s">
        <v>206</v>
      </c>
      <c r="D5" t="s">
        <v>119</v>
      </c>
      <c r="E5" t="s">
        <v>122</v>
      </c>
    </row>
    <row r="6" spans="1:5" x14ac:dyDescent="0.2">
      <c r="A6" t="s">
        <v>262</v>
      </c>
      <c r="B6" t="s">
        <v>118</v>
      </c>
      <c r="C6" t="s">
        <v>206</v>
      </c>
      <c r="D6" t="s">
        <v>119</v>
      </c>
      <c r="E6" t="s">
        <v>117</v>
      </c>
    </row>
    <row r="7" spans="1:5" x14ac:dyDescent="0.2">
      <c r="A7" t="s">
        <v>11</v>
      </c>
      <c r="B7" t="s">
        <v>118</v>
      </c>
      <c r="C7" t="s">
        <v>206</v>
      </c>
      <c r="D7" t="s">
        <v>119</v>
      </c>
      <c r="E7" t="s">
        <v>117</v>
      </c>
    </row>
    <row r="8" spans="1:5" x14ac:dyDescent="0.2">
      <c r="A8" t="s">
        <v>12</v>
      </c>
      <c r="B8" t="s">
        <v>118</v>
      </c>
      <c r="C8" t="s">
        <v>204</v>
      </c>
      <c r="D8" t="s">
        <v>119</v>
      </c>
      <c r="E8" t="s">
        <v>117</v>
      </c>
    </row>
    <row r="9" spans="1:5" x14ac:dyDescent="0.2">
      <c r="A9" t="s">
        <v>13</v>
      </c>
      <c r="B9" t="s">
        <v>126</v>
      </c>
      <c r="C9" t="s">
        <v>208</v>
      </c>
      <c r="D9" t="s">
        <v>121</v>
      </c>
      <c r="E9" t="s">
        <v>125</v>
      </c>
    </row>
    <row r="10" spans="1:5" x14ac:dyDescent="0.2">
      <c r="A10" t="s">
        <v>14</v>
      </c>
      <c r="B10" t="s">
        <v>126</v>
      </c>
      <c r="C10" t="s">
        <v>204</v>
      </c>
      <c r="D10" t="s">
        <v>121</v>
      </c>
      <c r="E10" t="s">
        <v>117</v>
      </c>
    </row>
    <row r="11" spans="1:5" x14ac:dyDescent="0.2">
      <c r="A11" t="s">
        <v>15</v>
      </c>
      <c r="B11" t="s">
        <v>126</v>
      </c>
      <c r="C11" t="s">
        <v>205</v>
      </c>
      <c r="D11" t="s">
        <v>131</v>
      </c>
      <c r="E11" t="s">
        <v>129</v>
      </c>
    </row>
    <row r="12" spans="1:5" x14ac:dyDescent="0.2">
      <c r="A12" t="s">
        <v>254</v>
      </c>
      <c r="B12" t="s">
        <v>118</v>
      </c>
      <c r="C12" t="s">
        <v>204</v>
      </c>
      <c r="D12" t="s">
        <v>119</v>
      </c>
      <c r="E12" t="s">
        <v>117</v>
      </c>
    </row>
    <row r="13" spans="1:5" x14ac:dyDescent="0.2">
      <c r="A13" t="s">
        <v>16</v>
      </c>
      <c r="B13" t="s">
        <v>114</v>
      </c>
      <c r="C13" t="s">
        <v>204</v>
      </c>
      <c r="D13" t="s">
        <v>115</v>
      </c>
      <c r="E13" t="s">
        <v>113</v>
      </c>
    </row>
    <row r="14" spans="1:5" x14ac:dyDescent="0.2">
      <c r="A14" t="s">
        <v>256</v>
      </c>
      <c r="B14" t="s">
        <v>118</v>
      </c>
      <c r="C14" t="s">
        <v>204</v>
      </c>
      <c r="D14" t="s">
        <v>121</v>
      </c>
      <c r="E14" t="s">
        <v>117</v>
      </c>
    </row>
    <row r="15" spans="1:5" x14ac:dyDescent="0.2">
      <c r="A15" t="s">
        <v>18</v>
      </c>
      <c r="B15" t="s">
        <v>114</v>
      </c>
      <c r="C15" t="s">
        <v>205</v>
      </c>
      <c r="D15" t="s">
        <v>115</v>
      </c>
      <c r="E15" t="s">
        <v>122</v>
      </c>
    </row>
    <row r="16" spans="1:5" x14ac:dyDescent="0.2">
      <c r="A16" t="s">
        <v>252</v>
      </c>
      <c r="B16" t="s">
        <v>118</v>
      </c>
      <c r="C16" t="s">
        <v>206</v>
      </c>
      <c r="D16" t="s">
        <v>119</v>
      </c>
      <c r="E16" t="s">
        <v>117</v>
      </c>
    </row>
    <row r="17" spans="1:5" x14ac:dyDescent="0.2">
      <c r="A17" t="s">
        <v>19</v>
      </c>
      <c r="B17" t="s">
        <v>114</v>
      </c>
      <c r="C17" t="s">
        <v>206</v>
      </c>
      <c r="D17" t="s">
        <v>115</v>
      </c>
      <c r="E17" t="s">
        <v>113</v>
      </c>
    </row>
    <row r="18" spans="1:5" x14ac:dyDescent="0.2">
      <c r="A18" t="s">
        <v>20</v>
      </c>
      <c r="B18" t="s">
        <v>114</v>
      </c>
      <c r="C18" t="s">
        <v>205</v>
      </c>
      <c r="D18" t="s">
        <v>115</v>
      </c>
      <c r="E18" t="s">
        <v>122</v>
      </c>
    </row>
    <row r="19" spans="1:5" x14ac:dyDescent="0.2">
      <c r="A19" t="s">
        <v>21</v>
      </c>
      <c r="B19" t="s">
        <v>114</v>
      </c>
      <c r="C19" t="s">
        <v>204</v>
      </c>
      <c r="D19" t="s">
        <v>115</v>
      </c>
      <c r="E19" t="s">
        <v>113</v>
      </c>
    </row>
    <row r="20" spans="1:5" x14ac:dyDescent="0.2">
      <c r="A20" t="s">
        <v>22</v>
      </c>
      <c r="B20" t="s">
        <v>114</v>
      </c>
      <c r="C20" t="s">
        <v>204</v>
      </c>
      <c r="D20" t="s">
        <v>115</v>
      </c>
      <c r="E20" t="s">
        <v>113</v>
      </c>
    </row>
    <row r="21" spans="1:5" x14ac:dyDescent="0.2">
      <c r="A21" t="s">
        <v>23</v>
      </c>
      <c r="B21" t="s">
        <v>126</v>
      </c>
      <c r="C21" t="s">
        <v>204</v>
      </c>
      <c r="D21" t="s">
        <v>115</v>
      </c>
      <c r="E21" t="s">
        <v>125</v>
      </c>
    </row>
    <row r="22" spans="1:5" x14ac:dyDescent="0.2">
      <c r="A22" t="s">
        <v>24</v>
      </c>
      <c r="B22" t="s">
        <v>114</v>
      </c>
      <c r="C22" t="s">
        <v>205</v>
      </c>
      <c r="D22" t="s">
        <v>115</v>
      </c>
      <c r="E22" t="s">
        <v>122</v>
      </c>
    </row>
    <row r="23" spans="1:5" x14ac:dyDescent="0.2">
      <c r="A23" t="s">
        <v>25</v>
      </c>
      <c r="B23" t="s">
        <v>114</v>
      </c>
      <c r="C23" t="s">
        <v>204</v>
      </c>
      <c r="D23" t="s">
        <v>119</v>
      </c>
      <c r="E23" t="s">
        <v>122</v>
      </c>
    </row>
    <row r="24" spans="1:5" x14ac:dyDescent="0.2">
      <c r="A24" t="s">
        <v>26</v>
      </c>
      <c r="B24" t="s">
        <v>114</v>
      </c>
      <c r="C24" t="s">
        <v>205</v>
      </c>
      <c r="D24" t="s">
        <v>121</v>
      </c>
      <c r="E24" t="s">
        <v>117</v>
      </c>
    </row>
    <row r="25" spans="1:5" x14ac:dyDescent="0.2">
      <c r="A25" t="s">
        <v>255</v>
      </c>
      <c r="B25" t="s">
        <v>114</v>
      </c>
      <c r="C25" t="s">
        <v>205</v>
      </c>
      <c r="D25" t="s">
        <v>119</v>
      </c>
      <c r="E25" t="s">
        <v>113</v>
      </c>
    </row>
    <row r="26" spans="1:5" x14ac:dyDescent="0.2">
      <c r="A26" t="s">
        <v>28</v>
      </c>
      <c r="B26" t="s">
        <v>114</v>
      </c>
      <c r="C26" t="s">
        <v>204</v>
      </c>
      <c r="D26" t="s">
        <v>121</v>
      </c>
      <c r="E26" t="s">
        <v>129</v>
      </c>
    </row>
    <row r="27" spans="1:5" x14ac:dyDescent="0.2">
      <c r="A27" t="s">
        <v>29</v>
      </c>
      <c r="B27" t="s">
        <v>114</v>
      </c>
      <c r="C27" t="s">
        <v>204</v>
      </c>
      <c r="D27" t="s">
        <v>115</v>
      </c>
      <c r="E27" t="s">
        <v>113</v>
      </c>
    </row>
    <row r="28" spans="1:5" x14ac:dyDescent="0.2">
      <c r="A28" t="s">
        <v>30</v>
      </c>
      <c r="B28" t="s">
        <v>114</v>
      </c>
      <c r="C28" t="s">
        <v>204</v>
      </c>
      <c r="D28" t="s">
        <v>115</v>
      </c>
      <c r="E28" t="s">
        <v>125</v>
      </c>
    </row>
    <row r="29" spans="1:5" x14ac:dyDescent="0.2">
      <c r="A29" t="s">
        <v>32</v>
      </c>
      <c r="B29" t="s">
        <v>114</v>
      </c>
      <c r="C29" t="s">
        <v>204</v>
      </c>
      <c r="D29" t="s">
        <v>121</v>
      </c>
      <c r="E29" t="s">
        <v>122</v>
      </c>
    </row>
    <row r="30" spans="1:5" x14ac:dyDescent="0.2">
      <c r="A30" t="s">
        <v>33</v>
      </c>
      <c r="B30" t="s">
        <v>118</v>
      </c>
      <c r="C30" t="s">
        <v>204</v>
      </c>
      <c r="D30" t="s">
        <v>119</v>
      </c>
      <c r="E30" t="s">
        <v>117</v>
      </c>
    </row>
    <row r="31" spans="1:5" x14ac:dyDescent="0.2">
      <c r="A31" t="s">
        <v>34</v>
      </c>
      <c r="B31" t="s">
        <v>118</v>
      </c>
      <c r="C31" t="s">
        <v>204</v>
      </c>
      <c r="D31" t="s">
        <v>119</v>
      </c>
      <c r="E31" t="s">
        <v>117</v>
      </c>
    </row>
    <row r="32" spans="1:5" x14ac:dyDescent="0.2">
      <c r="A32" t="s">
        <v>35</v>
      </c>
      <c r="B32" t="s">
        <v>126</v>
      </c>
      <c r="C32" t="s">
        <v>205</v>
      </c>
      <c r="D32" t="s">
        <v>121</v>
      </c>
      <c r="E32" t="s">
        <v>122</v>
      </c>
    </row>
    <row r="33" spans="1:5" x14ac:dyDescent="0.2">
      <c r="A33" t="s">
        <v>36</v>
      </c>
      <c r="B33" t="s">
        <v>114</v>
      </c>
      <c r="C33" t="s">
        <v>204</v>
      </c>
      <c r="D33" t="s">
        <v>121</v>
      </c>
      <c r="E33" t="s">
        <v>122</v>
      </c>
    </row>
    <row r="34" spans="1:5" x14ac:dyDescent="0.2">
      <c r="A34" t="s">
        <v>92</v>
      </c>
      <c r="B34" t="s">
        <v>114</v>
      </c>
      <c r="C34" t="s">
        <v>204</v>
      </c>
      <c r="D34" t="s">
        <v>119</v>
      </c>
      <c r="E34" t="s">
        <v>113</v>
      </c>
    </row>
    <row r="35" spans="1:5" x14ac:dyDescent="0.2">
      <c r="A35" t="s">
        <v>257</v>
      </c>
      <c r="B35" t="s">
        <v>118</v>
      </c>
      <c r="C35" t="s">
        <v>205</v>
      </c>
      <c r="D35" t="s">
        <v>119</v>
      </c>
      <c r="E35" t="s">
        <v>117</v>
      </c>
    </row>
    <row r="36" spans="1:5" x14ac:dyDescent="0.2">
      <c r="A36" t="s">
        <v>37</v>
      </c>
      <c r="B36" t="s">
        <v>114</v>
      </c>
      <c r="C36" t="s">
        <v>204</v>
      </c>
      <c r="D36" t="s">
        <v>115</v>
      </c>
      <c r="E36" t="s">
        <v>113</v>
      </c>
    </row>
    <row r="37" spans="1:5" x14ac:dyDescent="0.2">
      <c r="A37" t="s">
        <v>38</v>
      </c>
      <c r="B37" t="s">
        <v>114</v>
      </c>
      <c r="C37" t="s">
        <v>204</v>
      </c>
      <c r="D37" t="s">
        <v>121</v>
      </c>
      <c r="E37" t="s">
        <v>113</v>
      </c>
    </row>
    <row r="38" spans="1:5" x14ac:dyDescent="0.2">
      <c r="A38" t="s">
        <v>39</v>
      </c>
      <c r="B38" t="s">
        <v>126</v>
      </c>
      <c r="C38" t="s">
        <v>204</v>
      </c>
      <c r="D38" t="s">
        <v>119</v>
      </c>
      <c r="E38" t="s">
        <v>125</v>
      </c>
    </row>
    <row r="39" spans="1:5" x14ac:dyDescent="0.2">
      <c r="A39" t="s">
        <v>41</v>
      </c>
      <c r="B39" t="s">
        <v>126</v>
      </c>
      <c r="C39" t="s">
        <v>204</v>
      </c>
      <c r="D39" t="s">
        <v>119</v>
      </c>
      <c r="E39" t="s">
        <v>122</v>
      </c>
    </row>
    <row r="40" spans="1:5" x14ac:dyDescent="0.2">
      <c r="A40" t="s">
        <v>43</v>
      </c>
      <c r="B40" t="s">
        <v>114</v>
      </c>
      <c r="C40" t="s">
        <v>206</v>
      </c>
      <c r="D40" t="s">
        <v>115</v>
      </c>
      <c r="E40" t="s">
        <v>122</v>
      </c>
    </row>
    <row r="41" spans="1:5" x14ac:dyDescent="0.2">
      <c r="A41" t="s">
        <v>44</v>
      </c>
      <c r="B41" t="s">
        <v>126</v>
      </c>
      <c r="C41" t="s">
        <v>205</v>
      </c>
      <c r="D41" t="s">
        <v>121</v>
      </c>
      <c r="E41" t="s">
        <v>122</v>
      </c>
    </row>
    <row r="42" spans="1:5" x14ac:dyDescent="0.2">
      <c r="A42" t="s">
        <v>45</v>
      </c>
      <c r="B42" t="s">
        <v>126</v>
      </c>
      <c r="C42" t="s">
        <v>205</v>
      </c>
      <c r="D42" t="s">
        <v>115</v>
      </c>
      <c r="E42" t="s">
        <v>113</v>
      </c>
    </row>
    <row r="43" spans="1:5" x14ac:dyDescent="0.2">
      <c r="A43" t="s">
        <v>46</v>
      </c>
      <c r="B43" t="s">
        <v>126</v>
      </c>
      <c r="C43" t="s">
        <v>204</v>
      </c>
      <c r="D43" t="s">
        <v>115</v>
      </c>
      <c r="E43" t="s">
        <v>113</v>
      </c>
    </row>
    <row r="44" spans="1:5" x14ac:dyDescent="0.2">
      <c r="A44" t="s">
        <v>48</v>
      </c>
      <c r="B44" t="s">
        <v>126</v>
      </c>
      <c r="C44" t="s">
        <v>204</v>
      </c>
      <c r="D44" t="s">
        <v>115</v>
      </c>
      <c r="E44" t="s">
        <v>122</v>
      </c>
    </row>
    <row r="45" spans="1:5" x14ac:dyDescent="0.2">
      <c r="A45" t="s">
        <v>49</v>
      </c>
      <c r="B45" t="s">
        <v>126</v>
      </c>
      <c r="C45" t="s">
        <v>204</v>
      </c>
      <c r="D45" t="s">
        <v>121</v>
      </c>
      <c r="E45" t="s">
        <v>125</v>
      </c>
    </row>
    <row r="46" spans="1:5" x14ac:dyDescent="0.2">
      <c r="A46" t="s">
        <v>50</v>
      </c>
      <c r="B46" t="s">
        <v>126</v>
      </c>
      <c r="C46" t="s">
        <v>204</v>
      </c>
      <c r="D46" t="s">
        <v>131</v>
      </c>
      <c r="E46" t="s">
        <v>117</v>
      </c>
    </row>
    <row r="47" spans="1:5" x14ac:dyDescent="0.2">
      <c r="A47" t="s">
        <v>51</v>
      </c>
      <c r="B47" t="s">
        <v>161</v>
      </c>
      <c r="C47" t="s">
        <v>204</v>
      </c>
      <c r="D47" t="s">
        <v>115</v>
      </c>
      <c r="E47" t="s">
        <v>125</v>
      </c>
    </row>
    <row r="48" spans="1:5" x14ac:dyDescent="0.2">
      <c r="A48" t="s">
        <v>52</v>
      </c>
      <c r="B48" t="s">
        <v>114</v>
      </c>
      <c r="C48" t="s">
        <v>204</v>
      </c>
      <c r="D48" t="s">
        <v>115</v>
      </c>
      <c r="E48" t="s">
        <v>125</v>
      </c>
    </row>
    <row r="49" spans="1:5" x14ac:dyDescent="0.2">
      <c r="A49" t="s">
        <v>54</v>
      </c>
      <c r="B49" t="s">
        <v>161</v>
      </c>
      <c r="C49" t="s">
        <v>204</v>
      </c>
      <c r="D49" t="s">
        <v>121</v>
      </c>
      <c r="E49" t="s">
        <v>125</v>
      </c>
    </row>
    <row r="50" spans="1:5" x14ac:dyDescent="0.2">
      <c r="A50" t="s">
        <v>55</v>
      </c>
      <c r="B50" t="s">
        <v>114</v>
      </c>
      <c r="C50" t="s">
        <v>204</v>
      </c>
      <c r="D50" t="s">
        <v>115</v>
      </c>
      <c r="E50" t="s">
        <v>125</v>
      </c>
    </row>
    <row r="51" spans="1:5" x14ac:dyDescent="0.2">
      <c r="A51" t="s">
        <v>95</v>
      </c>
      <c r="B51" t="s">
        <v>114</v>
      </c>
      <c r="C51" t="s">
        <v>205</v>
      </c>
      <c r="D51" t="s">
        <v>115</v>
      </c>
      <c r="E51" t="s">
        <v>122</v>
      </c>
    </row>
    <row r="52" spans="1:5" x14ac:dyDescent="0.2">
      <c r="A52" t="s">
        <v>96</v>
      </c>
      <c r="B52" t="s">
        <v>114</v>
      </c>
      <c r="C52" t="s">
        <v>204</v>
      </c>
      <c r="D52" t="s">
        <v>121</v>
      </c>
      <c r="E52" t="s">
        <v>122</v>
      </c>
    </row>
    <row r="53" spans="1:5" x14ac:dyDescent="0.2">
      <c r="A53" t="s">
        <v>97</v>
      </c>
      <c r="B53" t="s">
        <v>114</v>
      </c>
      <c r="C53" t="s">
        <v>204</v>
      </c>
      <c r="D53" t="s">
        <v>119</v>
      </c>
      <c r="E53" t="s">
        <v>113</v>
      </c>
    </row>
    <row r="54" spans="1:5" x14ac:dyDescent="0.2">
      <c r="A54" t="s">
        <v>98</v>
      </c>
      <c r="B54" t="s">
        <v>114</v>
      </c>
      <c r="C54" t="s">
        <v>206</v>
      </c>
      <c r="D54" t="s">
        <v>121</v>
      </c>
      <c r="E54" t="s">
        <v>113</v>
      </c>
    </row>
    <row r="55" spans="1:5" x14ac:dyDescent="0.2">
      <c r="A55" t="s">
        <v>56</v>
      </c>
      <c r="B55" t="s">
        <v>126</v>
      </c>
      <c r="C55" t="s">
        <v>204</v>
      </c>
      <c r="D55" t="s">
        <v>115</v>
      </c>
      <c r="E55" t="s">
        <v>117</v>
      </c>
    </row>
    <row r="56" spans="1:5" x14ac:dyDescent="0.2">
      <c r="A56" t="s">
        <v>57</v>
      </c>
      <c r="B56" t="s">
        <v>126</v>
      </c>
      <c r="C56" t="s">
        <v>204</v>
      </c>
      <c r="D56" t="s">
        <v>121</v>
      </c>
      <c r="E56" t="s">
        <v>113</v>
      </c>
    </row>
    <row r="57" spans="1:5" x14ac:dyDescent="0.2">
      <c r="A57" t="s">
        <v>59</v>
      </c>
      <c r="B57" t="s">
        <v>114</v>
      </c>
      <c r="C57" t="s">
        <v>205</v>
      </c>
      <c r="D57" t="s">
        <v>115</v>
      </c>
      <c r="E57" t="s">
        <v>122</v>
      </c>
    </row>
    <row r="58" spans="1:5" x14ac:dyDescent="0.2">
      <c r="A58" t="s">
        <v>60</v>
      </c>
      <c r="B58" t="s">
        <v>126</v>
      </c>
      <c r="C58" t="s">
        <v>204</v>
      </c>
      <c r="D58" t="s">
        <v>121</v>
      </c>
      <c r="E58" t="s">
        <v>113</v>
      </c>
    </row>
    <row r="59" spans="1:5" x14ac:dyDescent="0.2">
      <c r="A59" t="s">
        <v>101</v>
      </c>
      <c r="B59" t="s">
        <v>126</v>
      </c>
      <c r="C59" t="s">
        <v>206</v>
      </c>
      <c r="D59" t="s">
        <v>115</v>
      </c>
      <c r="E59" t="s">
        <v>122</v>
      </c>
    </row>
    <row r="60" spans="1:5" x14ac:dyDescent="0.2">
      <c r="A60" t="s">
        <v>258</v>
      </c>
      <c r="B60" t="s">
        <v>126</v>
      </c>
      <c r="C60" t="s">
        <v>206</v>
      </c>
      <c r="D60" t="s">
        <v>121</v>
      </c>
      <c r="E60" t="s">
        <v>125</v>
      </c>
    </row>
    <row r="61" spans="1:5" x14ac:dyDescent="0.2">
      <c r="A61" t="s">
        <v>102</v>
      </c>
      <c r="B61" t="s">
        <v>114</v>
      </c>
      <c r="C61" t="s">
        <v>204</v>
      </c>
      <c r="D61" t="s">
        <v>119</v>
      </c>
      <c r="E61" t="s">
        <v>113</v>
      </c>
    </row>
    <row r="62" spans="1:5" x14ac:dyDescent="0.2">
      <c r="A62" t="s">
        <v>62</v>
      </c>
      <c r="B62" t="s">
        <v>126</v>
      </c>
      <c r="C62" t="s">
        <v>204</v>
      </c>
      <c r="D62" t="s">
        <v>115</v>
      </c>
      <c r="E62" t="s">
        <v>117</v>
      </c>
    </row>
    <row r="63" spans="1:5" x14ac:dyDescent="0.2">
      <c r="A63" t="s">
        <v>64</v>
      </c>
      <c r="B63" t="s">
        <v>118</v>
      </c>
      <c r="C63" t="s">
        <v>206</v>
      </c>
      <c r="D63" t="s">
        <v>119</v>
      </c>
      <c r="E63" t="s">
        <v>117</v>
      </c>
    </row>
    <row r="64" spans="1:5" x14ac:dyDescent="0.2">
      <c r="A64" t="s">
        <v>65</v>
      </c>
      <c r="B64" t="s">
        <v>114</v>
      </c>
      <c r="C64" t="s">
        <v>205</v>
      </c>
      <c r="D64" t="s">
        <v>115</v>
      </c>
      <c r="E64" t="s">
        <v>122</v>
      </c>
    </row>
    <row r="65" spans="1:5" x14ac:dyDescent="0.2">
      <c r="A65" t="s">
        <v>66</v>
      </c>
      <c r="B65" t="s">
        <v>126</v>
      </c>
      <c r="C65" t="s">
        <v>205</v>
      </c>
      <c r="D65" t="s">
        <v>115</v>
      </c>
      <c r="E65" t="s">
        <v>122</v>
      </c>
    </row>
    <row r="66" spans="1:5" x14ac:dyDescent="0.2">
      <c r="A66" t="s">
        <v>67</v>
      </c>
      <c r="B66" t="s">
        <v>114</v>
      </c>
      <c r="C66" t="s">
        <v>204</v>
      </c>
      <c r="D66" t="s">
        <v>121</v>
      </c>
      <c r="E66" t="s">
        <v>113</v>
      </c>
    </row>
    <row r="67" spans="1:5" x14ac:dyDescent="0.2">
      <c r="A67" t="s">
        <v>68</v>
      </c>
      <c r="B67" t="s">
        <v>126</v>
      </c>
      <c r="C67" t="s">
        <v>204</v>
      </c>
      <c r="D67" t="s">
        <v>115</v>
      </c>
      <c r="E67" t="s">
        <v>125</v>
      </c>
    </row>
    <row r="68" spans="1:5" x14ac:dyDescent="0.2">
      <c r="A68" t="s">
        <v>69</v>
      </c>
      <c r="B68" t="s">
        <v>114</v>
      </c>
      <c r="C68" t="s">
        <v>204</v>
      </c>
      <c r="D68" t="s">
        <v>115</v>
      </c>
      <c r="E68" t="s">
        <v>113</v>
      </c>
    </row>
    <row r="69" spans="1:5" x14ac:dyDescent="0.2">
      <c r="A69" t="s">
        <v>103</v>
      </c>
      <c r="B69" t="s">
        <v>114</v>
      </c>
      <c r="C69" t="s">
        <v>204</v>
      </c>
      <c r="D69" t="s">
        <v>115</v>
      </c>
      <c r="E69" t="s">
        <v>113</v>
      </c>
    </row>
    <row r="70" spans="1:5" x14ac:dyDescent="0.2">
      <c r="A70" t="s">
        <v>70</v>
      </c>
      <c r="B70" t="s">
        <v>114</v>
      </c>
      <c r="C70" t="s">
        <v>204</v>
      </c>
      <c r="D70" t="s">
        <v>121</v>
      </c>
      <c r="E70" t="s">
        <v>125</v>
      </c>
    </row>
    <row r="71" spans="1:5" x14ac:dyDescent="0.2">
      <c r="A71" t="s">
        <v>72</v>
      </c>
      <c r="B71" t="s">
        <v>161</v>
      </c>
      <c r="C71" t="s">
        <v>204</v>
      </c>
      <c r="D71" t="s">
        <v>115</v>
      </c>
      <c r="E71" t="s">
        <v>125</v>
      </c>
    </row>
    <row r="72" spans="1:5" x14ac:dyDescent="0.2">
      <c r="A72" t="s">
        <v>74</v>
      </c>
      <c r="B72" t="s">
        <v>114</v>
      </c>
      <c r="C72" t="s">
        <v>204</v>
      </c>
      <c r="D72" t="s">
        <v>121</v>
      </c>
      <c r="E72" t="s">
        <v>125</v>
      </c>
    </row>
    <row r="73" spans="1:5" x14ac:dyDescent="0.2">
      <c r="A73" t="s">
        <v>105</v>
      </c>
      <c r="B73" t="s">
        <v>114</v>
      </c>
      <c r="C73" t="s">
        <v>204</v>
      </c>
      <c r="D73" t="s">
        <v>115</v>
      </c>
      <c r="E73" t="s">
        <v>122</v>
      </c>
    </row>
    <row r="74" spans="1:5" x14ac:dyDescent="0.2">
      <c r="A74" t="s">
        <v>75</v>
      </c>
      <c r="B74" t="s">
        <v>114</v>
      </c>
      <c r="C74" t="s">
        <v>205</v>
      </c>
      <c r="D74" t="s">
        <v>115</v>
      </c>
      <c r="E74" t="s">
        <v>122</v>
      </c>
    </row>
    <row r="75" spans="1:5" x14ac:dyDescent="0.2">
      <c r="A75" t="s">
        <v>253</v>
      </c>
      <c r="B75" t="s">
        <v>126</v>
      </c>
      <c r="C75" t="s">
        <v>204</v>
      </c>
      <c r="D75" t="s">
        <v>115</v>
      </c>
      <c r="E75" t="s">
        <v>129</v>
      </c>
    </row>
    <row r="76" spans="1:5" x14ac:dyDescent="0.2">
      <c r="A76" t="s">
        <v>76</v>
      </c>
      <c r="B76" t="s">
        <v>126</v>
      </c>
      <c r="C76" t="s">
        <v>205</v>
      </c>
      <c r="D76" t="s">
        <v>115</v>
      </c>
      <c r="E76" t="s">
        <v>122</v>
      </c>
    </row>
    <row r="77" spans="1:5" x14ac:dyDescent="0.2">
      <c r="A77" t="s">
        <v>77</v>
      </c>
      <c r="B77" t="s">
        <v>114</v>
      </c>
      <c r="C77" t="s">
        <v>204</v>
      </c>
      <c r="D77" t="s">
        <v>121</v>
      </c>
      <c r="E77" t="s">
        <v>122</v>
      </c>
    </row>
    <row r="78" spans="1:5" x14ac:dyDescent="0.2">
      <c r="A78" t="s">
        <v>78</v>
      </c>
      <c r="B78" t="s">
        <v>114</v>
      </c>
      <c r="C78" t="s">
        <v>206</v>
      </c>
      <c r="D78" t="s">
        <v>121</v>
      </c>
      <c r="E78" t="s">
        <v>122</v>
      </c>
    </row>
    <row r="79" spans="1:5" x14ac:dyDescent="0.2">
      <c r="A79" t="s">
        <v>79</v>
      </c>
      <c r="B79" t="s">
        <v>114</v>
      </c>
      <c r="C79" t="s">
        <v>205</v>
      </c>
      <c r="D79" t="s">
        <v>131</v>
      </c>
      <c r="E79" t="s">
        <v>129</v>
      </c>
    </row>
    <row r="80" spans="1:5" x14ac:dyDescent="0.2">
      <c r="A80" t="s">
        <v>80</v>
      </c>
      <c r="B80" t="s">
        <v>114</v>
      </c>
      <c r="C80" t="s">
        <v>205</v>
      </c>
      <c r="D80" t="s">
        <v>115</v>
      </c>
      <c r="E80" t="s">
        <v>122</v>
      </c>
    </row>
    <row r="81" spans="1:5" x14ac:dyDescent="0.2">
      <c r="A81" t="s">
        <v>81</v>
      </c>
      <c r="B81" t="s">
        <v>126</v>
      </c>
      <c r="C81" t="s">
        <v>205</v>
      </c>
      <c r="D81" t="s">
        <v>121</v>
      </c>
      <c r="E81" t="s">
        <v>113</v>
      </c>
    </row>
    <row r="82" spans="1:5" x14ac:dyDescent="0.2">
      <c r="A82" t="s">
        <v>82</v>
      </c>
      <c r="B82" t="s">
        <v>118</v>
      </c>
      <c r="C82" t="s">
        <v>204</v>
      </c>
      <c r="D82" t="s">
        <v>121</v>
      </c>
      <c r="E82" t="s">
        <v>117</v>
      </c>
    </row>
    <row r="83" spans="1:5" x14ac:dyDescent="0.2">
      <c r="A83" t="s">
        <v>83</v>
      </c>
      <c r="B83" t="s">
        <v>118</v>
      </c>
      <c r="C83" t="s">
        <v>204</v>
      </c>
      <c r="D83" t="s">
        <v>115</v>
      </c>
      <c r="E83" t="s">
        <v>117</v>
      </c>
    </row>
    <row r="84" spans="1:5" x14ac:dyDescent="0.2">
      <c r="A84" t="s">
        <v>264</v>
      </c>
      <c r="B84" t="s">
        <v>161</v>
      </c>
      <c r="C84" t="s">
        <v>204</v>
      </c>
      <c r="D84" t="s">
        <v>115</v>
      </c>
      <c r="E84" t="s">
        <v>129</v>
      </c>
    </row>
    <row r="85" spans="1:5" x14ac:dyDescent="0.2">
      <c r="A85" t="s">
        <v>260</v>
      </c>
      <c r="B85" t="s">
        <v>118</v>
      </c>
      <c r="C85" t="s">
        <v>286</v>
      </c>
      <c r="D85" t="s">
        <v>115</v>
      </c>
      <c r="E85" t="s">
        <v>129</v>
      </c>
    </row>
    <row r="86" spans="1:5" x14ac:dyDescent="0.2">
      <c r="A86" t="s">
        <v>259</v>
      </c>
      <c r="B86" t="s">
        <v>161</v>
      </c>
      <c r="C86" t="s">
        <v>204</v>
      </c>
      <c r="D86" t="s">
        <v>115</v>
      </c>
      <c r="E86" t="s">
        <v>117</v>
      </c>
    </row>
    <row r="87" spans="1:5" x14ac:dyDescent="0.2">
      <c r="A87" t="s">
        <v>84</v>
      </c>
      <c r="B87" t="s">
        <v>126</v>
      </c>
      <c r="C87" t="s">
        <v>204</v>
      </c>
      <c r="D87" t="s">
        <v>131</v>
      </c>
      <c r="E87" t="s">
        <v>117</v>
      </c>
    </row>
    <row r="88" spans="1:5" x14ac:dyDescent="0.2">
      <c r="A88" t="s">
        <v>85</v>
      </c>
      <c r="B88" t="s">
        <v>126</v>
      </c>
      <c r="C88" t="s">
        <v>205</v>
      </c>
      <c r="D88" t="s">
        <v>115</v>
      </c>
      <c r="E88" t="s">
        <v>122</v>
      </c>
    </row>
    <row r="89" spans="1:5" x14ac:dyDescent="0.2">
      <c r="A89" t="s">
        <v>87</v>
      </c>
      <c r="B89" t="s">
        <v>114</v>
      </c>
      <c r="C89" t="s">
        <v>204</v>
      </c>
      <c r="D89" t="s">
        <v>115</v>
      </c>
      <c r="E89" t="s">
        <v>122</v>
      </c>
    </row>
    <row r="90" spans="1:5" x14ac:dyDescent="0.2">
      <c r="A90" t="s">
        <v>823</v>
      </c>
      <c r="B90" t="s">
        <v>114</v>
      </c>
      <c r="C90" t="s">
        <v>206</v>
      </c>
      <c r="D90" t="s">
        <v>115</v>
      </c>
      <c r="E90" t="s">
        <v>117</v>
      </c>
    </row>
    <row r="91" spans="1:5" x14ac:dyDescent="0.2">
      <c r="A91" t="s">
        <v>837</v>
      </c>
      <c r="B91" t="s">
        <v>114</v>
      </c>
      <c r="C91" t="s">
        <v>205</v>
      </c>
      <c r="D91" t="s">
        <v>115</v>
      </c>
      <c r="E91" t="s">
        <v>129</v>
      </c>
    </row>
    <row r="92" spans="1:5" x14ac:dyDescent="0.2">
      <c r="A92" t="s">
        <v>962</v>
      </c>
      <c r="B92" t="s">
        <v>114</v>
      </c>
      <c r="C92" t="s">
        <v>205</v>
      </c>
      <c r="D92" t="s">
        <v>121</v>
      </c>
      <c r="E92" t="s">
        <v>125</v>
      </c>
    </row>
    <row r="93" spans="1:5" x14ac:dyDescent="0.2">
      <c r="A93" t="s">
        <v>966</v>
      </c>
      <c r="B93" t="s">
        <v>114</v>
      </c>
      <c r="C93" t="s">
        <v>204</v>
      </c>
      <c r="D93" t="s">
        <v>119</v>
      </c>
      <c r="E93" t="s">
        <v>122</v>
      </c>
    </row>
    <row r="94" spans="1:5" x14ac:dyDescent="0.2">
      <c r="A94" t="s">
        <v>973</v>
      </c>
      <c r="B94" t="s">
        <v>126</v>
      </c>
      <c r="C94" t="s">
        <v>204</v>
      </c>
      <c r="D94" t="s">
        <v>131</v>
      </c>
      <c r="E94" t="s">
        <v>129</v>
      </c>
    </row>
    <row r="95" spans="1:5" x14ac:dyDescent="0.2">
      <c r="A95" t="s">
        <v>830</v>
      </c>
      <c r="B95" t="s">
        <v>161</v>
      </c>
      <c r="C95" t="s">
        <v>205</v>
      </c>
      <c r="D95" t="s">
        <v>115</v>
      </c>
      <c r="E95" t="s">
        <v>129</v>
      </c>
    </row>
  </sheetData>
  <sortState xmlns:xlrd2="http://schemas.microsoft.com/office/spreadsheetml/2017/richdata2" ref="A1:B89">
    <sortCondition ref="A1:A8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403C-9DB1-E047-9E81-3C5344F3FB8A}">
  <dimension ref="A1:O97"/>
  <sheetViews>
    <sheetView topLeftCell="A68" zoomScale="109" workbookViewId="0">
      <pane xSplit="1" topLeftCell="B1" activePane="topRight" state="frozen"/>
      <selection pane="topRight" activeCell="H94" sqref="H94"/>
    </sheetView>
  </sheetViews>
  <sheetFormatPr baseColWidth="10" defaultRowHeight="16" x14ac:dyDescent="0.2"/>
  <cols>
    <col min="1" max="1" width="26.1640625" style="122" bestFit="1" customWidth="1"/>
    <col min="2" max="2" width="13.6640625" style="183" customWidth="1"/>
    <col min="3" max="4" width="13.6640625" customWidth="1"/>
    <col min="6" max="6" width="15.1640625" bestFit="1" customWidth="1"/>
    <col min="7" max="7" width="26.1640625" customWidth="1"/>
    <col min="10" max="10" width="22" customWidth="1"/>
  </cols>
  <sheetData>
    <row r="1" spans="1:14" ht="86" customHeight="1" x14ac:dyDescent="0.2">
      <c r="A1"/>
      <c r="C1" s="158" t="s">
        <v>167</v>
      </c>
      <c r="D1" s="160" t="s">
        <v>228</v>
      </c>
      <c r="E1" s="26" t="s">
        <v>111</v>
      </c>
      <c r="F1" s="54" t="s">
        <v>224</v>
      </c>
      <c r="G1" s="28"/>
      <c r="H1" s="43" t="s">
        <v>110</v>
      </c>
      <c r="I1" s="162" t="s">
        <v>215</v>
      </c>
      <c r="J1" s="162"/>
      <c r="K1" s="27" t="s">
        <v>109</v>
      </c>
      <c r="L1" s="156" t="s">
        <v>225</v>
      </c>
      <c r="M1" s="28"/>
      <c r="N1" s="28" t="s">
        <v>108</v>
      </c>
    </row>
    <row r="2" spans="1:14" ht="120" thickBot="1" x14ac:dyDescent="0.25">
      <c r="A2"/>
      <c r="B2" s="183" t="s">
        <v>284</v>
      </c>
      <c r="C2" s="159"/>
      <c r="D2" s="161"/>
      <c r="E2" s="29" t="s">
        <v>227</v>
      </c>
      <c r="F2" s="53" t="s">
        <v>226</v>
      </c>
      <c r="G2" s="32" t="s">
        <v>216</v>
      </c>
      <c r="H2" s="31" t="s">
        <v>210</v>
      </c>
      <c r="I2" s="53" t="s">
        <v>217</v>
      </c>
      <c r="J2" s="23" t="s">
        <v>216</v>
      </c>
      <c r="K2" s="50" t="s">
        <v>209</v>
      </c>
      <c r="L2" s="157"/>
      <c r="M2" s="23" t="s">
        <v>216</v>
      </c>
      <c r="N2" s="23" t="s">
        <v>216</v>
      </c>
    </row>
    <row r="3" spans="1:14" ht="17" thickBot="1" x14ac:dyDescent="0.25">
      <c r="A3" s="122" t="s">
        <v>0</v>
      </c>
    </row>
    <row r="4" spans="1:14" x14ac:dyDescent="0.2">
      <c r="A4" s="123" t="s">
        <v>88</v>
      </c>
      <c r="B4" s="184" t="s">
        <v>88</v>
      </c>
      <c r="C4" s="21">
        <v>44358</v>
      </c>
      <c r="D4" s="1" t="s">
        <v>112</v>
      </c>
      <c r="E4" s="24" t="s">
        <v>114</v>
      </c>
      <c r="F4" s="12" t="str">
        <f>E4</f>
        <v>benthopelagic</v>
      </c>
      <c r="G4" s="18"/>
      <c r="H4" s="19" t="s">
        <v>204</v>
      </c>
      <c r="I4" s="1" t="str">
        <f t="shared" ref="I4" si="0">H4</f>
        <v>fusiform</v>
      </c>
      <c r="K4" s="17" t="s">
        <v>115</v>
      </c>
      <c r="L4" s="1" t="str">
        <f t="shared" ref="L4:L6" si="1">K4</f>
        <v>Subtropical</v>
      </c>
      <c r="M4" s="44"/>
      <c r="N4" s="18" t="s">
        <v>113</v>
      </c>
    </row>
    <row r="5" spans="1:14" x14ac:dyDescent="0.2">
      <c r="A5" s="122" t="s">
        <v>8</v>
      </c>
      <c r="B5" s="184" t="s">
        <v>8</v>
      </c>
      <c r="C5" s="21">
        <v>44358</v>
      </c>
      <c r="D5" s="1" t="s">
        <v>116</v>
      </c>
      <c r="E5" s="24" t="s">
        <v>118</v>
      </c>
      <c r="F5" s="12" t="str">
        <f t="shared" ref="F5:F6" si="2">E5</f>
        <v>reef-associated</v>
      </c>
      <c r="G5" s="18"/>
      <c r="H5" s="19" t="s">
        <v>206</v>
      </c>
      <c r="I5" s="1" t="str">
        <f>H5</f>
        <v>short/deep</v>
      </c>
      <c r="K5" s="17" t="s">
        <v>119</v>
      </c>
      <c r="L5" s="1" t="str">
        <f t="shared" si="1"/>
        <v>Tropical</v>
      </c>
      <c r="M5" s="44"/>
      <c r="N5" s="18" t="s">
        <v>117</v>
      </c>
    </row>
    <row r="6" spans="1:14" ht="17" thickBot="1" x14ac:dyDescent="0.25">
      <c r="A6" s="122" t="s">
        <v>10</v>
      </c>
      <c r="B6" s="184" t="s">
        <v>10</v>
      </c>
      <c r="C6" s="21">
        <v>44358</v>
      </c>
      <c r="D6" s="1" t="s">
        <v>120</v>
      </c>
      <c r="E6" s="25" t="s">
        <v>114</v>
      </c>
      <c r="F6" s="12" t="str">
        <f t="shared" si="2"/>
        <v>benthopelagic</v>
      </c>
      <c r="G6" s="20"/>
      <c r="H6" s="19" t="s">
        <v>205</v>
      </c>
      <c r="I6" s="1" t="str">
        <f t="shared" ref="I6" si="3">H6</f>
        <v>elongated</v>
      </c>
      <c r="K6" s="19" t="s">
        <v>121</v>
      </c>
      <c r="L6" s="1" t="str">
        <f t="shared" si="1"/>
        <v>Temperate</v>
      </c>
      <c r="M6" s="44"/>
      <c r="N6" s="18" t="s">
        <v>122</v>
      </c>
    </row>
    <row r="7" spans="1:14" s="119" customFormat="1" ht="17" thickBot="1" x14ac:dyDescent="0.25">
      <c r="A7" s="124" t="s">
        <v>263</v>
      </c>
      <c r="B7" s="185"/>
      <c r="C7" s="21">
        <v>44373</v>
      </c>
      <c r="D7" s="119" t="s">
        <v>273</v>
      </c>
      <c r="E7" s="119" t="s">
        <v>114</v>
      </c>
      <c r="F7" s="119" t="s">
        <v>114</v>
      </c>
      <c r="H7" s="118" t="s">
        <v>251</v>
      </c>
      <c r="I7" s="19" t="s">
        <v>206</v>
      </c>
      <c r="K7" s="119" t="s">
        <v>119</v>
      </c>
      <c r="L7" s="119" t="s">
        <v>119</v>
      </c>
      <c r="N7" s="119" t="s">
        <v>122</v>
      </c>
    </row>
    <row r="8" spans="1:14" s="121" customFormat="1" ht="17" thickBot="1" x14ac:dyDescent="0.25">
      <c r="A8" s="125" t="s">
        <v>262</v>
      </c>
      <c r="B8" s="186"/>
      <c r="C8" s="21">
        <v>44373</v>
      </c>
      <c r="D8" s="121" t="s">
        <v>275</v>
      </c>
      <c r="E8" s="121" t="s">
        <v>118</v>
      </c>
      <c r="F8" s="121" t="s">
        <v>118</v>
      </c>
      <c r="H8" s="120" t="s">
        <v>251</v>
      </c>
      <c r="I8" s="19" t="s">
        <v>206</v>
      </c>
      <c r="K8" s="119" t="s">
        <v>119</v>
      </c>
      <c r="L8" s="119" t="s">
        <v>119</v>
      </c>
      <c r="N8" s="121" t="s">
        <v>117</v>
      </c>
    </row>
    <row r="9" spans="1:14" x14ac:dyDescent="0.2">
      <c r="A9" s="122" t="s">
        <v>11</v>
      </c>
      <c r="B9" s="184" t="s">
        <v>11</v>
      </c>
      <c r="C9" s="21">
        <v>44358</v>
      </c>
      <c r="D9" s="1" t="s">
        <v>123</v>
      </c>
      <c r="E9" s="24" t="s">
        <v>118</v>
      </c>
      <c r="F9" s="12" t="str">
        <f t="shared" ref="F9:F14" si="4">E9</f>
        <v>reef-associated</v>
      </c>
      <c r="G9" s="18"/>
      <c r="H9" s="19" t="s">
        <v>206</v>
      </c>
      <c r="I9" s="1" t="str">
        <f>H9</f>
        <v>short/deep</v>
      </c>
      <c r="K9" s="17" t="s">
        <v>119</v>
      </c>
      <c r="L9" s="1" t="str">
        <f t="shared" ref="L9:L14" si="5">K9</f>
        <v>Tropical</v>
      </c>
      <c r="M9" s="44"/>
      <c r="N9" s="18" t="s">
        <v>117</v>
      </c>
    </row>
    <row r="10" spans="1:14" x14ac:dyDescent="0.2">
      <c r="A10" s="122" t="s">
        <v>12</v>
      </c>
      <c r="B10" s="184" t="s">
        <v>12</v>
      </c>
      <c r="C10" s="21">
        <v>44358</v>
      </c>
      <c r="D10" s="1" t="s">
        <v>124</v>
      </c>
      <c r="E10" s="24" t="s">
        <v>118</v>
      </c>
      <c r="F10" s="12" t="str">
        <f t="shared" si="4"/>
        <v>reef-associated</v>
      </c>
      <c r="G10" s="18"/>
      <c r="H10" s="19" t="s">
        <v>204</v>
      </c>
      <c r="I10" s="1" t="str">
        <f t="shared" ref="I10:I13" si="6">H10</f>
        <v>fusiform</v>
      </c>
      <c r="K10" s="17" t="s">
        <v>119</v>
      </c>
      <c r="L10" s="1" t="str">
        <f t="shared" si="5"/>
        <v>Tropical</v>
      </c>
      <c r="M10" s="44"/>
      <c r="N10" s="18" t="s">
        <v>117</v>
      </c>
    </row>
    <row r="11" spans="1:14" x14ac:dyDescent="0.2">
      <c r="A11" s="122" t="s">
        <v>13</v>
      </c>
      <c r="B11" s="184" t="s">
        <v>13</v>
      </c>
      <c r="C11" s="21">
        <v>44358</v>
      </c>
      <c r="D11" s="1" t="s">
        <v>128</v>
      </c>
      <c r="E11" s="24" t="s">
        <v>126</v>
      </c>
      <c r="F11" s="12" t="str">
        <f t="shared" si="4"/>
        <v>demersal</v>
      </c>
      <c r="G11" s="18"/>
      <c r="H11" s="19" t="s">
        <v>208</v>
      </c>
      <c r="I11" s="1" t="str">
        <f t="shared" si="6"/>
        <v>eel-like</v>
      </c>
      <c r="K11" s="17" t="s">
        <v>121</v>
      </c>
      <c r="L11" s="1" t="str">
        <f t="shared" si="5"/>
        <v>Temperate</v>
      </c>
      <c r="M11" s="44"/>
      <c r="N11" s="18" t="s">
        <v>125</v>
      </c>
    </row>
    <row r="12" spans="1:14" x14ac:dyDescent="0.2">
      <c r="A12" s="122" t="s">
        <v>14</v>
      </c>
      <c r="B12" s="184" t="s">
        <v>14</v>
      </c>
      <c r="C12" s="21">
        <v>44358</v>
      </c>
      <c r="D12" s="1" t="s">
        <v>127</v>
      </c>
      <c r="E12" s="24" t="s">
        <v>126</v>
      </c>
      <c r="F12" s="12" t="str">
        <f t="shared" si="4"/>
        <v>demersal</v>
      </c>
      <c r="G12" s="18"/>
      <c r="H12" s="19" t="s">
        <v>204</v>
      </c>
      <c r="I12" s="1" t="str">
        <f t="shared" si="6"/>
        <v>fusiform</v>
      </c>
      <c r="K12" s="17" t="s">
        <v>121</v>
      </c>
      <c r="L12" s="1" t="str">
        <f t="shared" si="5"/>
        <v>Temperate</v>
      </c>
      <c r="M12" s="44"/>
      <c r="N12" s="18" t="s">
        <v>117</v>
      </c>
    </row>
    <row r="13" spans="1:14" x14ac:dyDescent="0.2">
      <c r="A13" s="122" t="s">
        <v>15</v>
      </c>
      <c r="B13" s="184" t="s">
        <v>15</v>
      </c>
      <c r="C13" s="21">
        <v>44358</v>
      </c>
      <c r="D13" s="1" t="s">
        <v>130</v>
      </c>
      <c r="E13" s="24" t="s">
        <v>126</v>
      </c>
      <c r="F13" s="12" t="str">
        <f t="shared" si="4"/>
        <v>demersal</v>
      </c>
      <c r="G13" s="18"/>
      <c r="H13" s="19" t="s">
        <v>205</v>
      </c>
      <c r="I13" s="1" t="str">
        <f t="shared" si="6"/>
        <v>elongated</v>
      </c>
      <c r="K13" s="17" t="s">
        <v>131</v>
      </c>
      <c r="L13" s="1" t="str">
        <f t="shared" si="5"/>
        <v>Polar</v>
      </c>
      <c r="M13" s="44"/>
      <c r="N13" s="18" t="s">
        <v>129</v>
      </c>
    </row>
    <row r="14" spans="1:14" s="113" customFormat="1" x14ac:dyDescent="0.2">
      <c r="A14" s="126" t="s">
        <v>254</v>
      </c>
      <c r="B14" s="187"/>
      <c r="C14" s="21">
        <v>44373</v>
      </c>
      <c r="D14" s="113" t="s">
        <v>274</v>
      </c>
      <c r="E14" s="113" t="s">
        <v>118</v>
      </c>
      <c r="F14" s="113" t="str">
        <f t="shared" si="4"/>
        <v>reef-associated</v>
      </c>
      <c r="H14" s="112" t="s">
        <v>250</v>
      </c>
      <c r="I14" s="114" t="s">
        <v>204</v>
      </c>
      <c r="K14" s="113" t="s">
        <v>119</v>
      </c>
      <c r="L14" s="113" t="str">
        <f t="shared" si="5"/>
        <v>Tropical</v>
      </c>
      <c r="N14" s="113" t="s">
        <v>117</v>
      </c>
    </row>
    <row r="15" spans="1:14" x14ac:dyDescent="0.2">
      <c r="A15" s="122" t="s">
        <v>16</v>
      </c>
      <c r="B15" s="184" t="s">
        <v>16</v>
      </c>
      <c r="C15" s="21">
        <v>44358</v>
      </c>
      <c r="D15" s="1" t="s">
        <v>132</v>
      </c>
      <c r="E15" s="24" t="s">
        <v>114</v>
      </c>
      <c r="F15" s="12" t="str">
        <f t="shared" ref="F15" si="7">E15</f>
        <v>benthopelagic</v>
      </c>
      <c r="G15" s="18"/>
      <c r="H15" s="19" t="s">
        <v>204</v>
      </c>
      <c r="I15" s="1" t="str">
        <f t="shared" ref="I15" si="8">H15</f>
        <v>fusiform</v>
      </c>
      <c r="K15" s="17" t="s">
        <v>115</v>
      </c>
      <c r="L15" s="1" t="str">
        <f t="shared" ref="L15" si="9">K15</f>
        <v>Subtropical</v>
      </c>
      <c r="M15" s="44"/>
      <c r="N15" s="18" t="s">
        <v>113</v>
      </c>
    </row>
    <row r="16" spans="1:14" s="113" customFormat="1" x14ac:dyDescent="0.2">
      <c r="A16" s="126" t="s">
        <v>256</v>
      </c>
      <c r="B16" s="187"/>
      <c r="C16" s="21">
        <v>44373</v>
      </c>
      <c r="D16" s="113" t="s">
        <v>276</v>
      </c>
      <c r="E16" s="113" t="s">
        <v>118</v>
      </c>
      <c r="F16" s="113" t="str">
        <f>E16</f>
        <v>reef-associated</v>
      </c>
      <c r="H16" s="112" t="s">
        <v>250</v>
      </c>
      <c r="I16" s="114" t="s">
        <v>204</v>
      </c>
      <c r="K16" s="113" t="s">
        <v>121</v>
      </c>
      <c r="L16" s="113" t="s">
        <v>121</v>
      </c>
      <c r="N16" s="113" t="s">
        <v>117</v>
      </c>
    </row>
    <row r="17" spans="1:14" x14ac:dyDescent="0.2">
      <c r="A17" s="122" t="s">
        <v>18</v>
      </c>
      <c r="B17" s="184" t="s">
        <v>18</v>
      </c>
      <c r="C17" s="21">
        <v>44358</v>
      </c>
      <c r="D17" s="1" t="s">
        <v>133</v>
      </c>
      <c r="E17" s="24" t="s">
        <v>114</v>
      </c>
      <c r="F17" s="12" t="str">
        <f t="shared" ref="F17:F18" si="10">E17</f>
        <v>benthopelagic</v>
      </c>
      <c r="G17" s="18"/>
      <c r="H17" s="19" t="s">
        <v>205</v>
      </c>
      <c r="I17" s="1" t="str">
        <f t="shared" ref="I17" si="11">H17</f>
        <v>elongated</v>
      </c>
      <c r="K17" s="17" t="s">
        <v>115</v>
      </c>
      <c r="L17" s="1" t="str">
        <f t="shared" ref="L17" si="12">K17</f>
        <v>Subtropical</v>
      </c>
      <c r="M17" s="44"/>
      <c r="N17" s="18" t="s">
        <v>122</v>
      </c>
    </row>
    <row r="18" spans="1:14" s="113" customFormat="1" x14ac:dyDescent="0.2">
      <c r="A18" s="126" t="s">
        <v>252</v>
      </c>
      <c r="B18" s="187"/>
      <c r="C18" s="21">
        <v>44373</v>
      </c>
      <c r="D18" s="113" t="s">
        <v>277</v>
      </c>
      <c r="E18" s="113" t="s">
        <v>118</v>
      </c>
      <c r="F18" s="113" t="str">
        <f t="shared" si="10"/>
        <v>reef-associated</v>
      </c>
      <c r="H18" s="112" t="s">
        <v>251</v>
      </c>
      <c r="I18" s="19" t="s">
        <v>206</v>
      </c>
      <c r="K18" s="113" t="s">
        <v>119</v>
      </c>
      <c r="L18" s="113" t="s">
        <v>119</v>
      </c>
      <c r="N18" s="113" t="s">
        <v>117</v>
      </c>
    </row>
    <row r="19" spans="1:14" x14ac:dyDescent="0.2">
      <c r="A19" s="122" t="s">
        <v>19</v>
      </c>
      <c r="B19" s="184" t="s">
        <v>19</v>
      </c>
      <c r="C19" s="21">
        <v>44358</v>
      </c>
      <c r="D19" s="1" t="s">
        <v>134</v>
      </c>
      <c r="E19" s="24" t="s">
        <v>114</v>
      </c>
      <c r="F19" s="12" t="str">
        <f t="shared" ref="F19:F37" si="13">E19</f>
        <v>benthopelagic</v>
      </c>
      <c r="G19" s="18"/>
      <c r="H19" s="19" t="s">
        <v>206</v>
      </c>
      <c r="I19" s="1" t="str">
        <f t="shared" ref="I19:I30" si="14">H19</f>
        <v>short/deep</v>
      </c>
      <c r="K19" s="17" t="s">
        <v>115</v>
      </c>
      <c r="L19" s="1" t="str">
        <f t="shared" ref="L19:L37" si="15">K19</f>
        <v>Subtropical</v>
      </c>
      <c r="M19" s="44"/>
      <c r="N19" s="18" t="s">
        <v>113</v>
      </c>
    </row>
    <row r="20" spans="1:14" x14ac:dyDescent="0.2">
      <c r="A20" s="122" t="s">
        <v>20</v>
      </c>
      <c r="B20" s="184" t="s">
        <v>20</v>
      </c>
      <c r="C20" s="21">
        <v>44358</v>
      </c>
      <c r="D20" s="1" t="s">
        <v>135</v>
      </c>
      <c r="E20" s="24" t="s">
        <v>114</v>
      </c>
      <c r="F20" s="12" t="str">
        <f t="shared" si="13"/>
        <v>benthopelagic</v>
      </c>
      <c r="G20" s="18"/>
      <c r="H20" s="19" t="s">
        <v>205</v>
      </c>
      <c r="I20" s="1" t="str">
        <f t="shared" si="14"/>
        <v>elongated</v>
      </c>
      <c r="K20" s="17" t="s">
        <v>115</v>
      </c>
      <c r="L20" s="1" t="str">
        <f t="shared" si="15"/>
        <v>Subtropical</v>
      </c>
      <c r="M20" s="44"/>
      <c r="N20" s="18" t="s">
        <v>122</v>
      </c>
    </row>
    <row r="21" spans="1:14" x14ac:dyDescent="0.2">
      <c r="A21" s="122" t="s">
        <v>21</v>
      </c>
      <c r="B21" s="184" t="s">
        <v>21</v>
      </c>
      <c r="C21" s="21">
        <v>44358</v>
      </c>
      <c r="D21" s="1" t="s">
        <v>134</v>
      </c>
      <c r="E21" s="24" t="s">
        <v>114</v>
      </c>
      <c r="F21" s="12" t="str">
        <f t="shared" si="13"/>
        <v>benthopelagic</v>
      </c>
      <c r="G21" s="18"/>
      <c r="H21" s="19" t="s">
        <v>204</v>
      </c>
      <c r="I21" s="1" t="str">
        <f t="shared" si="14"/>
        <v>fusiform</v>
      </c>
      <c r="K21" s="17" t="s">
        <v>115</v>
      </c>
      <c r="L21" s="1" t="str">
        <f t="shared" si="15"/>
        <v>Subtropical</v>
      </c>
      <c r="M21" s="44"/>
      <c r="N21" s="18" t="s">
        <v>113</v>
      </c>
    </row>
    <row r="22" spans="1:14" x14ac:dyDescent="0.2">
      <c r="A22" s="122" t="s">
        <v>22</v>
      </c>
      <c r="B22" s="184" t="s">
        <v>22</v>
      </c>
      <c r="C22" s="21">
        <v>44358</v>
      </c>
      <c r="D22" s="1" t="s">
        <v>136</v>
      </c>
      <c r="E22" s="24" t="s">
        <v>114</v>
      </c>
      <c r="F22" s="12" t="str">
        <f t="shared" si="13"/>
        <v>benthopelagic</v>
      </c>
      <c r="G22" s="18"/>
      <c r="H22" s="19" t="s">
        <v>204</v>
      </c>
      <c r="I22" s="1" t="str">
        <f t="shared" si="14"/>
        <v>fusiform</v>
      </c>
      <c r="K22" s="17" t="s">
        <v>115</v>
      </c>
      <c r="L22" s="1" t="str">
        <f t="shared" si="15"/>
        <v>Subtropical</v>
      </c>
      <c r="M22" s="44"/>
      <c r="N22" s="18" t="s">
        <v>113</v>
      </c>
    </row>
    <row r="23" spans="1:14" x14ac:dyDescent="0.2">
      <c r="A23" s="122" t="s">
        <v>23</v>
      </c>
      <c r="B23" s="184" t="s">
        <v>23</v>
      </c>
      <c r="C23" s="21">
        <v>44358</v>
      </c>
      <c r="D23" s="1" t="s">
        <v>137</v>
      </c>
      <c r="E23" s="24" t="s">
        <v>126</v>
      </c>
      <c r="F23" s="12" t="str">
        <f t="shared" si="13"/>
        <v>demersal</v>
      </c>
      <c r="G23" s="18"/>
      <c r="H23" s="19" t="s">
        <v>204</v>
      </c>
      <c r="I23" s="1" t="str">
        <f t="shared" si="14"/>
        <v>fusiform</v>
      </c>
      <c r="K23" s="17" t="s">
        <v>115</v>
      </c>
      <c r="L23" s="1" t="str">
        <f t="shared" si="15"/>
        <v>Subtropical</v>
      </c>
      <c r="M23" s="44"/>
      <c r="N23" s="18" t="s">
        <v>125</v>
      </c>
    </row>
    <row r="24" spans="1:14" x14ac:dyDescent="0.2">
      <c r="A24" s="122" t="s">
        <v>24</v>
      </c>
      <c r="B24" s="184" t="s">
        <v>24</v>
      </c>
      <c r="C24" s="21">
        <v>44358</v>
      </c>
      <c r="D24" s="1" t="s">
        <v>138</v>
      </c>
      <c r="E24" s="24" t="s">
        <v>114</v>
      </c>
      <c r="F24" s="12" t="str">
        <f t="shared" si="13"/>
        <v>benthopelagic</v>
      </c>
      <c r="G24" s="18"/>
      <c r="H24" s="19" t="s">
        <v>205</v>
      </c>
      <c r="I24" s="1" t="str">
        <f t="shared" si="14"/>
        <v>elongated</v>
      </c>
      <c r="K24" s="17" t="s">
        <v>115</v>
      </c>
      <c r="L24" s="1" t="str">
        <f t="shared" si="15"/>
        <v>Subtropical</v>
      </c>
      <c r="M24" s="44"/>
      <c r="N24" s="18" t="s">
        <v>122</v>
      </c>
    </row>
    <row r="25" spans="1:14" x14ac:dyDescent="0.2">
      <c r="A25" s="122" t="s">
        <v>25</v>
      </c>
      <c r="B25" s="184" t="s">
        <v>25</v>
      </c>
      <c r="C25" s="21">
        <v>44358</v>
      </c>
      <c r="D25" s="1" t="s">
        <v>139</v>
      </c>
      <c r="E25" s="24" t="s">
        <v>114</v>
      </c>
      <c r="F25" s="12" t="str">
        <f t="shared" si="13"/>
        <v>benthopelagic</v>
      </c>
      <c r="G25" s="18"/>
      <c r="H25" s="19" t="s">
        <v>204</v>
      </c>
      <c r="I25" s="1" t="str">
        <f t="shared" si="14"/>
        <v>fusiform</v>
      </c>
      <c r="K25" s="17" t="s">
        <v>119</v>
      </c>
      <c r="L25" s="1" t="str">
        <f t="shared" si="15"/>
        <v>Tropical</v>
      </c>
      <c r="M25" s="44"/>
      <c r="N25" s="18" t="s">
        <v>122</v>
      </c>
    </row>
    <row r="26" spans="1:14" x14ac:dyDescent="0.2">
      <c r="A26" s="122" t="s">
        <v>26</v>
      </c>
      <c r="B26" s="184" t="s">
        <v>26</v>
      </c>
      <c r="C26" s="21">
        <v>44358</v>
      </c>
      <c r="D26" s="1" t="s">
        <v>140</v>
      </c>
      <c r="E26" s="24" t="s">
        <v>114</v>
      </c>
      <c r="F26" s="12" t="str">
        <f t="shared" si="13"/>
        <v>benthopelagic</v>
      </c>
      <c r="G26" s="18"/>
      <c r="H26" s="19" t="s">
        <v>205</v>
      </c>
      <c r="I26" s="1" t="str">
        <f t="shared" si="14"/>
        <v>elongated</v>
      </c>
      <c r="K26" s="17" t="s">
        <v>121</v>
      </c>
      <c r="L26" s="1" t="str">
        <f t="shared" si="15"/>
        <v>Temperate</v>
      </c>
      <c r="M26" s="44"/>
      <c r="N26" s="18" t="s">
        <v>117</v>
      </c>
    </row>
    <row r="27" spans="1:14" s="113" customFormat="1" x14ac:dyDescent="0.2">
      <c r="A27" s="126" t="s">
        <v>255</v>
      </c>
      <c r="B27" s="187"/>
      <c r="C27" s="21">
        <v>44373</v>
      </c>
      <c r="D27" s="113" t="s">
        <v>278</v>
      </c>
      <c r="E27" s="113" t="s">
        <v>114</v>
      </c>
      <c r="F27" s="113" t="str">
        <f t="shared" si="13"/>
        <v>benthopelagic</v>
      </c>
      <c r="H27" s="111" t="s">
        <v>205</v>
      </c>
      <c r="I27" s="114" t="str">
        <f t="shared" si="14"/>
        <v>elongated</v>
      </c>
      <c r="K27" s="113" t="s">
        <v>119</v>
      </c>
      <c r="L27" s="113" t="str">
        <f t="shared" si="15"/>
        <v>Tropical</v>
      </c>
      <c r="N27" s="113" t="s">
        <v>113</v>
      </c>
    </row>
    <row r="28" spans="1:14" x14ac:dyDescent="0.2">
      <c r="A28" s="122" t="s">
        <v>28</v>
      </c>
      <c r="B28" s="184" t="s">
        <v>28</v>
      </c>
      <c r="C28" s="21">
        <v>44358</v>
      </c>
      <c r="D28" s="1" t="s">
        <v>141</v>
      </c>
      <c r="E28" s="24" t="s">
        <v>114</v>
      </c>
      <c r="F28" s="12" t="str">
        <f t="shared" si="13"/>
        <v>benthopelagic</v>
      </c>
      <c r="G28" s="18"/>
      <c r="H28" s="19" t="s">
        <v>204</v>
      </c>
      <c r="I28" s="1" t="str">
        <f t="shared" si="14"/>
        <v>fusiform</v>
      </c>
      <c r="K28" s="17" t="s">
        <v>121</v>
      </c>
      <c r="L28" s="1" t="str">
        <f t="shared" si="15"/>
        <v>Temperate</v>
      </c>
      <c r="M28" s="44"/>
      <c r="N28" s="18" t="s">
        <v>129</v>
      </c>
    </row>
    <row r="29" spans="1:14" x14ac:dyDescent="0.2">
      <c r="A29" s="122" t="s">
        <v>29</v>
      </c>
      <c r="B29" s="184" t="s">
        <v>29</v>
      </c>
      <c r="C29" s="21">
        <v>44358</v>
      </c>
      <c r="D29" s="1" t="s">
        <v>142</v>
      </c>
      <c r="E29" s="24" t="s">
        <v>114</v>
      </c>
      <c r="F29" s="12" t="str">
        <f t="shared" si="13"/>
        <v>benthopelagic</v>
      </c>
      <c r="G29" s="18"/>
      <c r="H29" s="19" t="s">
        <v>204</v>
      </c>
      <c r="I29" s="1" t="str">
        <f t="shared" si="14"/>
        <v>fusiform</v>
      </c>
      <c r="K29" s="17" t="s">
        <v>115</v>
      </c>
      <c r="L29" s="1" t="str">
        <f t="shared" si="15"/>
        <v>Subtropical</v>
      </c>
      <c r="M29" s="44"/>
      <c r="N29" s="18" t="s">
        <v>113</v>
      </c>
    </row>
    <row r="30" spans="1:14" x14ac:dyDescent="0.2">
      <c r="A30" s="122" t="s">
        <v>30</v>
      </c>
      <c r="B30" s="184" t="s">
        <v>30</v>
      </c>
      <c r="C30" s="21">
        <v>44358</v>
      </c>
      <c r="D30" s="1" t="s">
        <v>143</v>
      </c>
      <c r="E30" s="24" t="s">
        <v>114</v>
      </c>
      <c r="F30" s="12" t="str">
        <f t="shared" si="13"/>
        <v>benthopelagic</v>
      </c>
      <c r="G30" s="18"/>
      <c r="H30" s="19" t="s">
        <v>204</v>
      </c>
      <c r="I30" s="1" t="str">
        <f t="shared" si="14"/>
        <v>fusiform</v>
      </c>
      <c r="K30" s="17" t="s">
        <v>115</v>
      </c>
      <c r="L30" s="1" t="str">
        <f t="shared" si="15"/>
        <v>Subtropical</v>
      </c>
      <c r="M30" s="44"/>
      <c r="N30" s="18" t="s">
        <v>125</v>
      </c>
    </row>
    <row r="31" spans="1:14" ht="323" x14ac:dyDescent="0.2">
      <c r="A31" s="122" t="s">
        <v>32</v>
      </c>
      <c r="B31" s="184" t="s">
        <v>32</v>
      </c>
      <c r="C31" s="21">
        <v>44358</v>
      </c>
      <c r="D31" s="1" t="s">
        <v>144</v>
      </c>
      <c r="E31" s="24" t="s">
        <v>114</v>
      </c>
      <c r="F31" s="12" t="str">
        <f t="shared" si="13"/>
        <v>benthopelagic</v>
      </c>
      <c r="G31" s="18"/>
      <c r="H31" s="45" t="s">
        <v>204</v>
      </c>
      <c r="I31" s="42" t="s">
        <v>219</v>
      </c>
      <c r="J31" s="47" t="s">
        <v>220</v>
      </c>
      <c r="K31" s="17" t="s">
        <v>121</v>
      </c>
      <c r="L31" s="1" t="str">
        <f t="shared" si="15"/>
        <v>Temperate</v>
      </c>
      <c r="M31" s="44"/>
      <c r="N31" s="18" t="s">
        <v>122</v>
      </c>
    </row>
    <row r="32" spans="1:14" x14ac:dyDescent="0.2">
      <c r="A32" s="122" t="s">
        <v>33</v>
      </c>
      <c r="B32" s="184" t="s">
        <v>33</v>
      </c>
      <c r="C32" s="21">
        <v>44358</v>
      </c>
      <c r="D32" s="1" t="s">
        <v>145</v>
      </c>
      <c r="E32" s="24" t="s">
        <v>118</v>
      </c>
      <c r="F32" s="12" t="str">
        <f t="shared" si="13"/>
        <v>reef-associated</v>
      </c>
      <c r="G32" s="18"/>
      <c r="H32" s="19" t="s">
        <v>204</v>
      </c>
      <c r="I32" s="1" t="str">
        <f t="shared" ref="I32:I37" si="16">H32</f>
        <v>fusiform</v>
      </c>
      <c r="K32" s="17" t="s">
        <v>119</v>
      </c>
      <c r="L32" s="1" t="str">
        <f t="shared" si="15"/>
        <v>Tropical</v>
      </c>
      <c r="M32" s="44"/>
      <c r="N32" s="18" t="s">
        <v>117</v>
      </c>
    </row>
    <row r="33" spans="1:15" x14ac:dyDescent="0.2">
      <c r="A33" s="122" t="s">
        <v>34</v>
      </c>
      <c r="B33" s="184" t="s">
        <v>34</v>
      </c>
      <c r="C33" s="21">
        <v>44358</v>
      </c>
      <c r="D33" s="1" t="s">
        <v>146</v>
      </c>
      <c r="E33" s="24" t="s">
        <v>118</v>
      </c>
      <c r="F33" s="12" t="str">
        <f t="shared" si="13"/>
        <v>reef-associated</v>
      </c>
      <c r="G33" s="18"/>
      <c r="H33" s="19" t="s">
        <v>204</v>
      </c>
      <c r="I33" s="1" t="str">
        <f t="shared" si="16"/>
        <v>fusiform</v>
      </c>
      <c r="K33" s="17" t="s">
        <v>119</v>
      </c>
      <c r="L33" s="1" t="str">
        <f t="shared" si="15"/>
        <v>Tropical</v>
      </c>
      <c r="M33" s="44"/>
      <c r="N33" s="18" t="s">
        <v>117</v>
      </c>
    </row>
    <row r="34" spans="1:15" x14ac:dyDescent="0.2">
      <c r="A34" s="122" t="s">
        <v>35</v>
      </c>
      <c r="B34" s="184" t="s">
        <v>35</v>
      </c>
      <c r="C34" s="21">
        <v>44358</v>
      </c>
      <c r="D34" s="1" t="s">
        <v>147</v>
      </c>
      <c r="E34" s="24" t="s">
        <v>126</v>
      </c>
      <c r="F34" s="12" t="str">
        <f t="shared" si="13"/>
        <v>demersal</v>
      </c>
      <c r="G34" s="18"/>
      <c r="H34" s="19" t="s">
        <v>205</v>
      </c>
      <c r="I34" s="1" t="str">
        <f t="shared" si="16"/>
        <v>elongated</v>
      </c>
      <c r="K34" s="17" t="s">
        <v>121</v>
      </c>
      <c r="L34" s="1" t="str">
        <f t="shared" si="15"/>
        <v>Temperate</v>
      </c>
      <c r="M34" s="44"/>
      <c r="N34" s="18" t="s">
        <v>122</v>
      </c>
    </row>
    <row r="35" spans="1:15" x14ac:dyDescent="0.2">
      <c r="A35" s="122" t="s">
        <v>36</v>
      </c>
      <c r="B35" s="184" t="s">
        <v>36</v>
      </c>
      <c r="C35" s="21">
        <v>44358</v>
      </c>
      <c r="D35" s="1" t="s">
        <v>148</v>
      </c>
      <c r="E35" s="24" t="s">
        <v>114</v>
      </c>
      <c r="F35" s="12" t="str">
        <f t="shared" si="13"/>
        <v>benthopelagic</v>
      </c>
      <c r="G35" s="18"/>
      <c r="H35" s="19" t="s">
        <v>204</v>
      </c>
      <c r="I35" s="1" t="str">
        <f t="shared" si="16"/>
        <v>fusiform</v>
      </c>
      <c r="K35" s="17" t="s">
        <v>121</v>
      </c>
      <c r="L35" s="1" t="str">
        <f t="shared" si="15"/>
        <v>Temperate</v>
      </c>
      <c r="M35" s="44"/>
      <c r="N35" s="18" t="s">
        <v>122</v>
      </c>
    </row>
    <row r="36" spans="1:15" ht="17" thickBot="1" x14ac:dyDescent="0.25">
      <c r="A36" s="122" t="s">
        <v>92</v>
      </c>
      <c r="B36" s="184" t="s">
        <v>92</v>
      </c>
      <c r="C36" s="21">
        <v>44358</v>
      </c>
      <c r="D36" s="1" t="s">
        <v>149</v>
      </c>
      <c r="E36" s="24" t="s">
        <v>114</v>
      </c>
      <c r="F36" s="12" t="str">
        <f t="shared" si="13"/>
        <v>benthopelagic</v>
      </c>
      <c r="G36" s="18"/>
      <c r="H36" s="19" t="s">
        <v>204</v>
      </c>
      <c r="I36" s="1" t="str">
        <f t="shared" si="16"/>
        <v>fusiform</v>
      </c>
      <c r="K36" s="17" t="s">
        <v>119</v>
      </c>
      <c r="L36" s="1" t="str">
        <f t="shared" si="15"/>
        <v>Tropical</v>
      </c>
      <c r="M36" s="44"/>
      <c r="N36" s="18" t="s">
        <v>113</v>
      </c>
    </row>
    <row r="37" spans="1:15" s="117" customFormat="1" ht="17" thickBot="1" x14ac:dyDescent="0.25">
      <c r="A37" s="127" t="s">
        <v>257</v>
      </c>
      <c r="B37" s="188"/>
      <c r="C37" s="21">
        <v>44373</v>
      </c>
      <c r="D37" s="117" t="s">
        <v>279</v>
      </c>
      <c r="E37" s="117" t="s">
        <v>118</v>
      </c>
      <c r="F37" s="117" t="str">
        <f t="shared" si="13"/>
        <v>reef-associated</v>
      </c>
      <c r="H37" s="115" t="s">
        <v>205</v>
      </c>
      <c r="I37" s="117" t="str">
        <f t="shared" si="16"/>
        <v>elongated</v>
      </c>
      <c r="K37" s="117" t="s">
        <v>119</v>
      </c>
      <c r="L37" s="117" t="str">
        <f t="shared" si="15"/>
        <v>Tropical</v>
      </c>
      <c r="N37" s="117" t="s">
        <v>117</v>
      </c>
    </row>
    <row r="38" spans="1:15" x14ac:dyDescent="0.2">
      <c r="A38" s="122" t="s">
        <v>37</v>
      </c>
      <c r="B38" s="184" t="s">
        <v>37</v>
      </c>
      <c r="C38" s="21">
        <v>44358</v>
      </c>
      <c r="D38" s="1" t="s">
        <v>150</v>
      </c>
      <c r="E38" s="24" t="s">
        <v>114</v>
      </c>
      <c r="F38" s="12" t="str">
        <f t="shared" ref="F38:F60" si="17">E38</f>
        <v>benthopelagic</v>
      </c>
      <c r="G38" s="18"/>
      <c r="H38" s="19" t="s">
        <v>204</v>
      </c>
      <c r="I38" s="1" t="str">
        <f t="shared" ref="I38:I60" si="18">H38</f>
        <v>fusiform</v>
      </c>
      <c r="K38" s="17" t="s">
        <v>115</v>
      </c>
      <c r="L38" s="1" t="str">
        <f t="shared" ref="L38:L60" si="19">K38</f>
        <v>Subtropical</v>
      </c>
      <c r="N38" s="18" t="s">
        <v>113</v>
      </c>
      <c r="O38" s="1"/>
    </row>
    <row r="39" spans="1:15" x14ac:dyDescent="0.2">
      <c r="A39" s="122" t="s">
        <v>38</v>
      </c>
      <c r="B39" s="184" t="s">
        <v>38</v>
      </c>
      <c r="C39" s="21">
        <v>44358</v>
      </c>
      <c r="D39" s="1" t="s">
        <v>151</v>
      </c>
      <c r="E39" s="24" t="s">
        <v>114</v>
      </c>
      <c r="F39" s="12" t="str">
        <f t="shared" si="17"/>
        <v>benthopelagic</v>
      </c>
      <c r="G39" s="18"/>
      <c r="H39" s="19" t="s">
        <v>204</v>
      </c>
      <c r="I39" s="1" t="str">
        <f t="shared" si="18"/>
        <v>fusiform</v>
      </c>
      <c r="K39" s="17" t="s">
        <v>121</v>
      </c>
      <c r="L39" s="1" t="str">
        <f t="shared" si="19"/>
        <v>Temperate</v>
      </c>
      <c r="N39" s="18" t="s">
        <v>113</v>
      </c>
      <c r="O39" s="1"/>
    </row>
    <row r="40" spans="1:15" x14ac:dyDescent="0.2">
      <c r="A40" s="122" t="s">
        <v>39</v>
      </c>
      <c r="B40" s="184" t="s">
        <v>39</v>
      </c>
      <c r="C40" s="21">
        <v>44358</v>
      </c>
      <c r="D40" s="1" t="s">
        <v>152</v>
      </c>
      <c r="E40" s="24" t="s">
        <v>126</v>
      </c>
      <c r="F40" s="12" t="str">
        <f t="shared" si="17"/>
        <v>demersal</v>
      </c>
      <c r="G40" s="18"/>
      <c r="H40" s="19" t="s">
        <v>204</v>
      </c>
      <c r="I40" s="1" t="str">
        <f t="shared" si="18"/>
        <v>fusiform</v>
      </c>
      <c r="K40" s="17" t="s">
        <v>119</v>
      </c>
      <c r="L40" s="1" t="str">
        <f t="shared" si="19"/>
        <v>Tropical</v>
      </c>
      <c r="N40" s="18" t="s">
        <v>125</v>
      </c>
      <c r="O40" s="1"/>
    </row>
    <row r="41" spans="1:15" x14ac:dyDescent="0.2">
      <c r="A41" s="122" t="s">
        <v>41</v>
      </c>
      <c r="B41" s="184" t="s">
        <v>41</v>
      </c>
      <c r="C41" s="21">
        <v>44358</v>
      </c>
      <c r="D41" s="1" t="s">
        <v>153</v>
      </c>
      <c r="E41" s="24" t="s">
        <v>126</v>
      </c>
      <c r="F41" s="12" t="str">
        <f t="shared" si="17"/>
        <v>demersal</v>
      </c>
      <c r="G41" s="18"/>
      <c r="H41" s="19" t="s">
        <v>204</v>
      </c>
      <c r="I41" s="1" t="str">
        <f t="shared" si="18"/>
        <v>fusiform</v>
      </c>
      <c r="K41" s="17" t="s">
        <v>119</v>
      </c>
      <c r="L41" s="1" t="str">
        <f t="shared" si="19"/>
        <v>Tropical</v>
      </c>
      <c r="N41" s="18" t="s">
        <v>122</v>
      </c>
      <c r="O41" s="1"/>
    </row>
    <row r="42" spans="1:15" ht="153" x14ac:dyDescent="0.2">
      <c r="A42" s="122" t="s">
        <v>43</v>
      </c>
      <c r="B42" s="184" t="s">
        <v>43</v>
      </c>
      <c r="C42" s="21">
        <v>44358</v>
      </c>
      <c r="D42" s="1" t="s">
        <v>154</v>
      </c>
      <c r="E42" s="24" t="s">
        <v>114</v>
      </c>
      <c r="F42" s="12" t="str">
        <f t="shared" si="17"/>
        <v>benthopelagic</v>
      </c>
      <c r="G42" s="18"/>
      <c r="H42" s="45" t="s">
        <v>207</v>
      </c>
      <c r="I42" s="38" t="s">
        <v>206</v>
      </c>
      <c r="J42" s="48" t="s">
        <v>221</v>
      </c>
      <c r="K42" s="17" t="s">
        <v>115</v>
      </c>
      <c r="L42" s="1" t="str">
        <f t="shared" si="19"/>
        <v>Subtropical</v>
      </c>
      <c r="N42" s="18" t="s">
        <v>122</v>
      </c>
      <c r="O42" s="1"/>
    </row>
    <row r="43" spans="1:15" x14ac:dyDescent="0.2">
      <c r="A43" s="122" t="s">
        <v>44</v>
      </c>
      <c r="B43" s="184" t="s">
        <v>44</v>
      </c>
      <c r="C43" s="21">
        <v>44358</v>
      </c>
      <c r="D43" s="1" t="s">
        <v>155</v>
      </c>
      <c r="E43" s="24" t="s">
        <v>126</v>
      </c>
      <c r="F43" s="12" t="str">
        <f t="shared" si="17"/>
        <v>demersal</v>
      </c>
      <c r="G43" s="18"/>
      <c r="H43" s="19" t="s">
        <v>205</v>
      </c>
      <c r="I43" s="1" t="str">
        <f t="shared" si="18"/>
        <v>elongated</v>
      </c>
      <c r="K43" s="17" t="s">
        <v>121</v>
      </c>
      <c r="L43" s="1" t="str">
        <f t="shared" si="19"/>
        <v>Temperate</v>
      </c>
      <c r="N43" s="18" t="s">
        <v>122</v>
      </c>
      <c r="O43" s="1"/>
    </row>
    <row r="44" spans="1:15" x14ac:dyDescent="0.2">
      <c r="A44" s="122" t="s">
        <v>45</v>
      </c>
      <c r="B44" s="184" t="s">
        <v>45</v>
      </c>
      <c r="C44" s="21">
        <v>44358</v>
      </c>
      <c r="D44" s="1" t="s">
        <v>156</v>
      </c>
      <c r="E44" s="24" t="s">
        <v>126</v>
      </c>
      <c r="F44" s="12" t="str">
        <f t="shared" si="17"/>
        <v>demersal</v>
      </c>
      <c r="G44" s="18"/>
      <c r="H44" s="19" t="s">
        <v>205</v>
      </c>
      <c r="I44" s="1" t="str">
        <f t="shared" si="18"/>
        <v>elongated</v>
      </c>
      <c r="K44" s="17" t="s">
        <v>115</v>
      </c>
      <c r="L44" s="1" t="str">
        <f t="shared" si="19"/>
        <v>Subtropical</v>
      </c>
      <c r="N44" s="18" t="s">
        <v>113</v>
      </c>
      <c r="O44" s="1"/>
    </row>
    <row r="45" spans="1:15" x14ac:dyDescent="0.2">
      <c r="A45" s="122" t="s">
        <v>46</v>
      </c>
      <c r="B45" s="184" t="s">
        <v>46</v>
      </c>
      <c r="C45" s="21">
        <v>44358</v>
      </c>
      <c r="D45" s="1" t="s">
        <v>157</v>
      </c>
      <c r="E45" s="24" t="s">
        <v>126</v>
      </c>
      <c r="F45" s="12" t="str">
        <f t="shared" si="17"/>
        <v>demersal</v>
      </c>
      <c r="G45" s="18"/>
      <c r="H45" s="19" t="s">
        <v>204</v>
      </c>
      <c r="I45" s="1" t="str">
        <f t="shared" si="18"/>
        <v>fusiform</v>
      </c>
      <c r="K45" s="17" t="s">
        <v>115</v>
      </c>
      <c r="L45" s="1" t="str">
        <f t="shared" si="19"/>
        <v>Subtropical</v>
      </c>
      <c r="N45" s="18" t="s">
        <v>113</v>
      </c>
      <c r="O45" s="1"/>
    </row>
    <row r="46" spans="1:15" x14ac:dyDescent="0.2">
      <c r="A46" s="122" t="s">
        <v>48</v>
      </c>
      <c r="B46" s="184" t="s">
        <v>48</v>
      </c>
      <c r="C46" s="21">
        <v>44358</v>
      </c>
      <c r="D46" s="1" t="s">
        <v>158</v>
      </c>
      <c r="E46" s="24" t="s">
        <v>126</v>
      </c>
      <c r="F46" s="12" t="str">
        <f t="shared" si="17"/>
        <v>demersal</v>
      </c>
      <c r="G46" s="18"/>
      <c r="H46" s="19" t="s">
        <v>204</v>
      </c>
      <c r="I46" s="1" t="str">
        <f t="shared" si="18"/>
        <v>fusiform</v>
      </c>
      <c r="K46" s="17" t="s">
        <v>115</v>
      </c>
      <c r="L46" s="1" t="str">
        <f t="shared" si="19"/>
        <v>Subtropical</v>
      </c>
      <c r="N46" s="18" t="s">
        <v>122</v>
      </c>
      <c r="O46" s="1"/>
    </row>
    <row r="47" spans="1:15" x14ac:dyDescent="0.2">
      <c r="A47" s="122" t="s">
        <v>49</v>
      </c>
      <c r="B47" s="184" t="s">
        <v>49</v>
      </c>
      <c r="C47" s="21">
        <v>44358</v>
      </c>
      <c r="D47" s="1" t="s">
        <v>159</v>
      </c>
      <c r="E47" s="24" t="s">
        <v>126</v>
      </c>
      <c r="F47" s="12" t="str">
        <f t="shared" si="17"/>
        <v>demersal</v>
      </c>
      <c r="G47" s="18"/>
      <c r="H47" s="19" t="s">
        <v>204</v>
      </c>
      <c r="I47" s="1" t="str">
        <f t="shared" si="18"/>
        <v>fusiform</v>
      </c>
      <c r="K47" s="17" t="s">
        <v>121</v>
      </c>
      <c r="L47" s="1" t="str">
        <f t="shared" si="19"/>
        <v>Temperate</v>
      </c>
      <c r="N47" s="18" t="s">
        <v>125</v>
      </c>
      <c r="O47" s="1"/>
    </row>
    <row r="48" spans="1:15" x14ac:dyDescent="0.2">
      <c r="A48" s="122" t="s">
        <v>50</v>
      </c>
      <c r="B48" s="184" t="s">
        <v>50</v>
      </c>
      <c r="C48" s="21">
        <v>44358</v>
      </c>
      <c r="D48" s="1" t="s">
        <v>160</v>
      </c>
      <c r="E48" s="24" t="s">
        <v>126</v>
      </c>
      <c r="F48" s="12" t="str">
        <f t="shared" si="17"/>
        <v>demersal</v>
      </c>
      <c r="G48" s="18"/>
      <c r="H48" s="19" t="s">
        <v>204</v>
      </c>
      <c r="I48" s="1" t="str">
        <f t="shared" si="18"/>
        <v>fusiform</v>
      </c>
      <c r="K48" s="17" t="s">
        <v>131</v>
      </c>
      <c r="L48" s="1" t="str">
        <f t="shared" si="19"/>
        <v>Polar</v>
      </c>
      <c r="N48" s="18" t="s">
        <v>117</v>
      </c>
      <c r="O48" s="1"/>
    </row>
    <row r="49" spans="1:15" x14ac:dyDescent="0.2">
      <c r="A49" s="122" t="s">
        <v>51</v>
      </c>
      <c r="B49" s="184" t="s">
        <v>51</v>
      </c>
      <c r="C49" s="21">
        <v>44358</v>
      </c>
      <c r="D49" s="1" t="s">
        <v>162</v>
      </c>
      <c r="E49" s="24" t="s">
        <v>161</v>
      </c>
      <c r="F49" s="12" t="str">
        <f t="shared" si="17"/>
        <v>pelagic</v>
      </c>
      <c r="G49" s="40"/>
      <c r="H49" s="19" t="s">
        <v>204</v>
      </c>
      <c r="I49" s="1" t="str">
        <f t="shared" si="18"/>
        <v>fusiform</v>
      </c>
      <c r="K49" s="17" t="s">
        <v>115</v>
      </c>
      <c r="L49" s="1" t="str">
        <f t="shared" si="19"/>
        <v>Subtropical</v>
      </c>
      <c r="N49" s="18" t="s">
        <v>125</v>
      </c>
      <c r="O49" s="1"/>
    </row>
    <row r="50" spans="1:15" x14ac:dyDescent="0.2">
      <c r="A50" s="122" t="s">
        <v>52</v>
      </c>
      <c r="B50" s="184" t="s">
        <v>52</v>
      </c>
      <c r="C50" s="21">
        <v>44358</v>
      </c>
      <c r="D50" s="1" t="s">
        <v>163</v>
      </c>
      <c r="E50" s="24" t="s">
        <v>114</v>
      </c>
      <c r="F50" s="12" t="str">
        <f t="shared" si="17"/>
        <v>benthopelagic</v>
      </c>
      <c r="G50" s="18"/>
      <c r="H50" s="19" t="s">
        <v>204</v>
      </c>
      <c r="I50" s="1" t="str">
        <f t="shared" si="18"/>
        <v>fusiform</v>
      </c>
      <c r="K50" s="17" t="s">
        <v>115</v>
      </c>
      <c r="L50" s="1" t="str">
        <f t="shared" si="19"/>
        <v>Subtropical</v>
      </c>
      <c r="N50" s="18" t="s">
        <v>125</v>
      </c>
      <c r="O50" s="1"/>
    </row>
    <row r="51" spans="1:15" ht="45" customHeight="1" x14ac:dyDescent="0.2">
      <c r="A51" s="122" t="s">
        <v>54</v>
      </c>
      <c r="B51" s="184" t="s">
        <v>54</v>
      </c>
      <c r="C51" s="21">
        <v>44358</v>
      </c>
      <c r="D51" s="1" t="s">
        <v>164</v>
      </c>
      <c r="E51" s="39" t="s">
        <v>165</v>
      </c>
      <c r="F51" s="38" t="s">
        <v>161</v>
      </c>
      <c r="G51" s="41" t="s">
        <v>218</v>
      </c>
      <c r="H51" s="19" t="s">
        <v>204</v>
      </c>
      <c r="I51" s="1" t="str">
        <f t="shared" si="18"/>
        <v>fusiform</v>
      </c>
      <c r="K51" s="17" t="s">
        <v>121</v>
      </c>
      <c r="L51" s="1" t="str">
        <f t="shared" si="19"/>
        <v>Temperate</v>
      </c>
      <c r="N51" s="18" t="s">
        <v>125</v>
      </c>
      <c r="O51" s="1"/>
    </row>
    <row r="52" spans="1:15" x14ac:dyDescent="0.2">
      <c r="A52" s="122" t="s">
        <v>55</v>
      </c>
      <c r="B52" s="184" t="s">
        <v>55</v>
      </c>
      <c r="C52" s="21">
        <v>44358</v>
      </c>
      <c r="D52" s="1" t="s">
        <v>166</v>
      </c>
      <c r="E52" s="24" t="s">
        <v>114</v>
      </c>
      <c r="F52" s="12" t="str">
        <f t="shared" si="17"/>
        <v>benthopelagic</v>
      </c>
      <c r="G52" s="18"/>
      <c r="H52" s="19" t="s">
        <v>204</v>
      </c>
      <c r="I52" s="1" t="str">
        <f t="shared" si="18"/>
        <v>fusiform</v>
      </c>
      <c r="K52" s="17" t="s">
        <v>115</v>
      </c>
      <c r="L52" s="1" t="str">
        <f t="shared" si="19"/>
        <v>Subtropical</v>
      </c>
      <c r="N52" s="18" t="s">
        <v>125</v>
      </c>
      <c r="O52" s="1"/>
    </row>
    <row r="53" spans="1:15" x14ac:dyDescent="0.2">
      <c r="A53" s="122" t="s">
        <v>95</v>
      </c>
      <c r="B53" s="184" t="s">
        <v>95</v>
      </c>
      <c r="C53" s="21">
        <v>44358</v>
      </c>
      <c r="D53" s="1" t="s">
        <v>168</v>
      </c>
      <c r="E53" s="24" t="s">
        <v>114</v>
      </c>
      <c r="F53" s="12" t="str">
        <f t="shared" si="17"/>
        <v>benthopelagic</v>
      </c>
      <c r="G53" s="18"/>
      <c r="H53" s="19" t="s">
        <v>205</v>
      </c>
      <c r="I53" s="1" t="str">
        <f t="shared" si="18"/>
        <v>elongated</v>
      </c>
      <c r="K53" s="17" t="s">
        <v>115</v>
      </c>
      <c r="L53" s="1" t="str">
        <f t="shared" si="19"/>
        <v>Subtropical</v>
      </c>
      <c r="N53" s="18" t="s">
        <v>122</v>
      </c>
      <c r="O53" s="1"/>
    </row>
    <row r="54" spans="1:15" x14ac:dyDescent="0.2">
      <c r="A54" s="122" t="s">
        <v>96</v>
      </c>
      <c r="B54" s="184" t="s">
        <v>96</v>
      </c>
      <c r="C54" s="21">
        <v>44358</v>
      </c>
      <c r="D54" s="1" t="s">
        <v>169</v>
      </c>
      <c r="E54" s="24" t="s">
        <v>114</v>
      </c>
      <c r="F54" s="12" t="str">
        <f t="shared" si="17"/>
        <v>benthopelagic</v>
      </c>
      <c r="G54" s="18"/>
      <c r="H54" s="19" t="s">
        <v>204</v>
      </c>
      <c r="I54" s="1" t="str">
        <f t="shared" si="18"/>
        <v>fusiform</v>
      </c>
      <c r="K54" s="17" t="s">
        <v>121</v>
      </c>
      <c r="L54" s="1" t="str">
        <f t="shared" si="19"/>
        <v>Temperate</v>
      </c>
      <c r="N54" s="18" t="s">
        <v>122</v>
      </c>
      <c r="O54" s="1"/>
    </row>
    <row r="55" spans="1:15" x14ac:dyDescent="0.2">
      <c r="A55" s="122" t="s">
        <v>97</v>
      </c>
      <c r="B55" s="184" t="s">
        <v>97</v>
      </c>
      <c r="C55" s="21">
        <v>44358</v>
      </c>
      <c r="D55" s="1" t="s">
        <v>170</v>
      </c>
      <c r="E55" s="24" t="s">
        <v>114</v>
      </c>
      <c r="F55" s="12" t="str">
        <f t="shared" si="17"/>
        <v>benthopelagic</v>
      </c>
      <c r="G55" s="18"/>
      <c r="H55" s="19" t="s">
        <v>204</v>
      </c>
      <c r="I55" s="1" t="str">
        <f t="shared" si="18"/>
        <v>fusiform</v>
      </c>
      <c r="K55" s="17" t="s">
        <v>171</v>
      </c>
      <c r="L55" s="1" t="str">
        <f t="shared" si="19"/>
        <v>tropical</v>
      </c>
      <c r="N55" s="18" t="s">
        <v>113</v>
      </c>
      <c r="O55" s="1"/>
    </row>
    <row r="56" spans="1:15" x14ac:dyDescent="0.2">
      <c r="A56" s="122" t="s">
        <v>98</v>
      </c>
      <c r="B56" s="184" t="s">
        <v>98</v>
      </c>
      <c r="C56" s="21">
        <v>44358</v>
      </c>
      <c r="D56" s="1" t="s">
        <v>173</v>
      </c>
      <c r="E56" s="24" t="s">
        <v>114</v>
      </c>
      <c r="F56" s="12" t="str">
        <f t="shared" si="17"/>
        <v>benthopelagic</v>
      </c>
      <c r="G56" s="18"/>
      <c r="H56" s="19" t="s">
        <v>206</v>
      </c>
      <c r="I56" s="1" t="str">
        <f t="shared" si="18"/>
        <v>short/deep</v>
      </c>
      <c r="K56" s="17" t="s">
        <v>121</v>
      </c>
      <c r="L56" s="1" t="str">
        <f t="shared" si="19"/>
        <v>Temperate</v>
      </c>
      <c r="N56" s="18" t="s">
        <v>113</v>
      </c>
      <c r="O56" s="1"/>
    </row>
    <row r="57" spans="1:15" x14ac:dyDescent="0.2">
      <c r="A57" s="122" t="s">
        <v>56</v>
      </c>
      <c r="B57" s="184" t="s">
        <v>56</v>
      </c>
      <c r="C57" s="21">
        <v>44358</v>
      </c>
      <c r="D57" s="1" t="s">
        <v>172</v>
      </c>
      <c r="E57" s="24" t="s">
        <v>126</v>
      </c>
      <c r="F57" s="12" t="str">
        <f t="shared" si="17"/>
        <v>demersal</v>
      </c>
      <c r="G57" s="18"/>
      <c r="H57" s="19" t="s">
        <v>204</v>
      </c>
      <c r="I57" s="1" t="str">
        <f t="shared" si="18"/>
        <v>fusiform</v>
      </c>
      <c r="K57" s="17" t="s">
        <v>115</v>
      </c>
      <c r="L57" s="1" t="str">
        <f t="shared" si="19"/>
        <v>Subtropical</v>
      </c>
      <c r="N57" s="18" t="s">
        <v>117</v>
      </c>
      <c r="O57" s="1"/>
    </row>
    <row r="58" spans="1:15" x14ac:dyDescent="0.2">
      <c r="A58" s="122" t="s">
        <v>57</v>
      </c>
      <c r="B58" s="184" t="s">
        <v>57</v>
      </c>
      <c r="C58" s="21">
        <v>44358</v>
      </c>
      <c r="D58" s="1" t="s">
        <v>175</v>
      </c>
      <c r="E58" s="24" t="s">
        <v>126</v>
      </c>
      <c r="F58" s="12" t="str">
        <f t="shared" si="17"/>
        <v>demersal</v>
      </c>
      <c r="G58" s="18"/>
      <c r="H58" s="19" t="s">
        <v>204</v>
      </c>
      <c r="I58" s="1" t="str">
        <f t="shared" si="18"/>
        <v>fusiform</v>
      </c>
      <c r="K58" s="17" t="s">
        <v>121</v>
      </c>
      <c r="L58" s="1" t="str">
        <f t="shared" si="19"/>
        <v>Temperate</v>
      </c>
      <c r="N58" s="18" t="s">
        <v>113</v>
      </c>
      <c r="O58" s="1"/>
    </row>
    <row r="59" spans="1:15" x14ac:dyDescent="0.2">
      <c r="A59" s="122" t="s">
        <v>59</v>
      </c>
      <c r="B59" s="184" t="s">
        <v>59</v>
      </c>
      <c r="C59" s="21">
        <v>44358</v>
      </c>
      <c r="D59" s="1" t="s">
        <v>174</v>
      </c>
      <c r="E59" s="24" t="s">
        <v>114</v>
      </c>
      <c r="F59" s="12" t="str">
        <f t="shared" si="17"/>
        <v>benthopelagic</v>
      </c>
      <c r="G59" s="18"/>
      <c r="H59" s="19" t="s">
        <v>205</v>
      </c>
      <c r="I59" s="1" t="str">
        <f t="shared" si="18"/>
        <v>elongated</v>
      </c>
      <c r="K59" s="17" t="s">
        <v>115</v>
      </c>
      <c r="L59" s="1" t="str">
        <f t="shared" si="19"/>
        <v>Subtropical</v>
      </c>
      <c r="N59" s="18" t="s">
        <v>122</v>
      </c>
      <c r="O59" s="1"/>
    </row>
    <row r="60" spans="1:15" x14ac:dyDescent="0.2">
      <c r="A60" s="122" t="s">
        <v>60</v>
      </c>
      <c r="B60" s="184" t="s">
        <v>60</v>
      </c>
      <c r="C60" s="21">
        <v>44358</v>
      </c>
      <c r="D60" s="1" t="s">
        <v>176</v>
      </c>
      <c r="E60" s="24" t="s">
        <v>126</v>
      </c>
      <c r="F60" s="12" t="str">
        <f t="shared" si="17"/>
        <v>demersal</v>
      </c>
      <c r="G60" s="18"/>
      <c r="H60" s="19" t="s">
        <v>204</v>
      </c>
      <c r="I60" s="1" t="str">
        <f t="shared" si="18"/>
        <v>fusiform</v>
      </c>
      <c r="K60" s="17" t="s">
        <v>121</v>
      </c>
      <c r="L60" s="1" t="str">
        <f t="shared" si="19"/>
        <v>Temperate</v>
      </c>
      <c r="N60" s="18" t="s">
        <v>113</v>
      </c>
      <c r="O60" s="1"/>
    </row>
    <row r="61" spans="1:15" ht="17" thickBot="1" x14ac:dyDescent="0.25">
      <c r="A61" s="128" t="s">
        <v>101</v>
      </c>
      <c r="B61" s="184" t="s">
        <v>101</v>
      </c>
      <c r="C61" s="21">
        <v>44358</v>
      </c>
      <c r="D61" s="1" t="s">
        <v>177</v>
      </c>
      <c r="E61" s="24" t="s">
        <v>126</v>
      </c>
      <c r="F61" s="12" t="str">
        <f t="shared" ref="F61:F71" si="20">E61</f>
        <v>demersal</v>
      </c>
      <c r="G61" s="18"/>
      <c r="H61" s="19" t="s">
        <v>206</v>
      </c>
      <c r="I61" s="1" t="str">
        <f t="shared" ref="I61:I71" si="21">H61</f>
        <v>short/deep</v>
      </c>
      <c r="K61" s="17" t="s">
        <v>115</v>
      </c>
      <c r="L61" s="1" t="str">
        <f t="shared" ref="L61:L71" si="22">K61</f>
        <v>Subtropical</v>
      </c>
      <c r="N61" s="18" t="s">
        <v>122</v>
      </c>
      <c r="O61" s="1"/>
    </row>
    <row r="62" spans="1:15" s="117" customFormat="1" ht="17" thickBot="1" x14ac:dyDescent="0.25">
      <c r="A62" s="127" t="s">
        <v>258</v>
      </c>
      <c r="B62" s="188"/>
      <c r="C62" s="21">
        <v>44373</v>
      </c>
      <c r="D62" s="117" t="s">
        <v>272</v>
      </c>
      <c r="E62" s="115" t="s">
        <v>126</v>
      </c>
      <c r="F62" s="117" t="str">
        <f t="shared" si="20"/>
        <v>demersal</v>
      </c>
      <c r="H62" s="115" t="s">
        <v>206</v>
      </c>
      <c r="I62" s="117" t="str">
        <f t="shared" si="21"/>
        <v>short/deep</v>
      </c>
      <c r="K62" s="115" t="s">
        <v>121</v>
      </c>
      <c r="L62" s="117" t="str">
        <f t="shared" si="22"/>
        <v>Temperate</v>
      </c>
      <c r="N62" s="116" t="s">
        <v>125</v>
      </c>
    </row>
    <row r="63" spans="1:15" x14ac:dyDescent="0.2">
      <c r="A63" s="129" t="s">
        <v>102</v>
      </c>
      <c r="B63" s="184" t="s">
        <v>102</v>
      </c>
      <c r="C63" s="21">
        <v>44358</v>
      </c>
      <c r="D63" s="1" t="s">
        <v>180</v>
      </c>
      <c r="E63" s="24" t="s">
        <v>114</v>
      </c>
      <c r="F63" s="12" t="str">
        <f t="shared" si="20"/>
        <v>benthopelagic</v>
      </c>
      <c r="G63" s="18"/>
      <c r="H63" s="19" t="s">
        <v>204</v>
      </c>
      <c r="I63" s="1" t="str">
        <f t="shared" si="21"/>
        <v>fusiform</v>
      </c>
      <c r="K63" s="17" t="s">
        <v>119</v>
      </c>
      <c r="L63" s="1" t="str">
        <f t="shared" si="22"/>
        <v>Tropical</v>
      </c>
      <c r="N63" s="18" t="s">
        <v>113</v>
      </c>
      <c r="O63" s="1"/>
    </row>
    <row r="64" spans="1:15" x14ac:dyDescent="0.2">
      <c r="A64" s="122" t="s">
        <v>62</v>
      </c>
      <c r="B64" s="184" t="s">
        <v>62</v>
      </c>
      <c r="C64" s="21">
        <v>44358</v>
      </c>
      <c r="D64" s="1" t="s">
        <v>178</v>
      </c>
      <c r="E64" s="24" t="s">
        <v>126</v>
      </c>
      <c r="F64" s="12" t="str">
        <f t="shared" si="20"/>
        <v>demersal</v>
      </c>
      <c r="G64" s="18"/>
      <c r="H64" s="19" t="s">
        <v>204</v>
      </c>
      <c r="I64" s="1" t="str">
        <f t="shared" si="21"/>
        <v>fusiform</v>
      </c>
      <c r="K64" s="17" t="s">
        <v>115</v>
      </c>
      <c r="L64" s="1" t="str">
        <f t="shared" si="22"/>
        <v>Subtropical</v>
      </c>
      <c r="N64" s="18" t="s">
        <v>117</v>
      </c>
      <c r="O64" s="1"/>
    </row>
    <row r="65" spans="1:15" x14ac:dyDescent="0.2">
      <c r="A65" s="122" t="s">
        <v>64</v>
      </c>
      <c r="B65" s="184" t="s">
        <v>64</v>
      </c>
      <c r="C65" s="21">
        <v>44358</v>
      </c>
      <c r="D65" s="1" t="s">
        <v>179</v>
      </c>
      <c r="E65" s="24" t="s">
        <v>118</v>
      </c>
      <c r="F65" s="12" t="str">
        <f t="shared" si="20"/>
        <v>reef-associated</v>
      </c>
      <c r="G65" s="18"/>
      <c r="H65" s="19" t="s">
        <v>206</v>
      </c>
      <c r="I65" s="1" t="str">
        <f t="shared" si="21"/>
        <v>short/deep</v>
      </c>
      <c r="K65" s="17" t="s">
        <v>119</v>
      </c>
      <c r="L65" s="1" t="str">
        <f t="shared" si="22"/>
        <v>Tropical</v>
      </c>
      <c r="N65" s="18" t="s">
        <v>117</v>
      </c>
      <c r="O65" s="1"/>
    </row>
    <row r="66" spans="1:15" x14ac:dyDescent="0.2">
      <c r="A66" s="122" t="s">
        <v>65</v>
      </c>
      <c r="B66" s="184" t="s">
        <v>65</v>
      </c>
      <c r="C66" s="21">
        <v>44358</v>
      </c>
      <c r="D66" s="1" t="s">
        <v>184</v>
      </c>
      <c r="E66" s="24" t="s">
        <v>114</v>
      </c>
      <c r="F66" s="12" t="str">
        <f t="shared" si="20"/>
        <v>benthopelagic</v>
      </c>
      <c r="G66" s="18"/>
      <c r="H66" s="19" t="s">
        <v>205</v>
      </c>
      <c r="I66" s="1" t="str">
        <f t="shared" si="21"/>
        <v>elongated</v>
      </c>
      <c r="K66" s="17" t="s">
        <v>115</v>
      </c>
      <c r="L66" s="1" t="str">
        <f t="shared" si="22"/>
        <v>Subtropical</v>
      </c>
      <c r="N66" s="18" t="s">
        <v>122</v>
      </c>
      <c r="O66" s="1"/>
    </row>
    <row r="67" spans="1:15" x14ac:dyDescent="0.2">
      <c r="A67" s="122" t="s">
        <v>66</v>
      </c>
      <c r="B67" s="184" t="s">
        <v>66</v>
      </c>
      <c r="C67" s="21">
        <v>44358</v>
      </c>
      <c r="D67" s="1" t="s">
        <v>181</v>
      </c>
      <c r="E67" s="24" t="s">
        <v>126</v>
      </c>
      <c r="F67" s="12" t="str">
        <f t="shared" si="20"/>
        <v>demersal</v>
      </c>
      <c r="G67" s="18"/>
      <c r="H67" s="19" t="s">
        <v>205</v>
      </c>
      <c r="I67" s="1" t="str">
        <f t="shared" si="21"/>
        <v>elongated</v>
      </c>
      <c r="K67" s="17" t="s">
        <v>115</v>
      </c>
      <c r="L67" s="1" t="str">
        <f t="shared" si="22"/>
        <v>Subtropical</v>
      </c>
      <c r="N67" s="18" t="s">
        <v>122</v>
      </c>
      <c r="O67" s="1"/>
    </row>
    <row r="68" spans="1:15" x14ac:dyDescent="0.2">
      <c r="A68" s="122" t="s">
        <v>67</v>
      </c>
      <c r="B68" s="184" t="s">
        <v>67</v>
      </c>
      <c r="C68" s="21">
        <v>44358</v>
      </c>
      <c r="D68" s="1" t="s">
        <v>182</v>
      </c>
      <c r="E68" s="24" t="s">
        <v>114</v>
      </c>
      <c r="F68" s="12" t="str">
        <f t="shared" si="20"/>
        <v>benthopelagic</v>
      </c>
      <c r="G68" s="18"/>
      <c r="H68" s="19" t="s">
        <v>204</v>
      </c>
      <c r="I68" s="1" t="str">
        <f t="shared" si="21"/>
        <v>fusiform</v>
      </c>
      <c r="K68" s="17" t="s">
        <v>121</v>
      </c>
      <c r="L68" s="1" t="str">
        <f t="shared" si="22"/>
        <v>Temperate</v>
      </c>
      <c r="N68" s="18" t="s">
        <v>113</v>
      </c>
      <c r="O68" s="1"/>
    </row>
    <row r="69" spans="1:15" x14ac:dyDescent="0.2">
      <c r="A69" s="122" t="s">
        <v>68</v>
      </c>
      <c r="B69" s="184" t="s">
        <v>68</v>
      </c>
      <c r="C69" s="21">
        <v>44358</v>
      </c>
      <c r="D69" s="1" t="s">
        <v>183</v>
      </c>
      <c r="E69" s="24" t="s">
        <v>126</v>
      </c>
      <c r="F69" s="12" t="str">
        <f t="shared" si="20"/>
        <v>demersal</v>
      </c>
      <c r="G69" s="18"/>
      <c r="H69" s="19" t="s">
        <v>204</v>
      </c>
      <c r="I69" s="1" t="str">
        <f t="shared" si="21"/>
        <v>fusiform</v>
      </c>
      <c r="K69" s="17" t="s">
        <v>115</v>
      </c>
      <c r="L69" s="1" t="str">
        <f t="shared" si="22"/>
        <v>Subtropical</v>
      </c>
      <c r="N69" s="18" t="s">
        <v>125</v>
      </c>
      <c r="O69" s="1"/>
    </row>
    <row r="70" spans="1:15" x14ac:dyDescent="0.2">
      <c r="A70" s="122" t="s">
        <v>69</v>
      </c>
      <c r="B70" s="184" t="s">
        <v>69</v>
      </c>
      <c r="C70" s="21">
        <v>44358</v>
      </c>
      <c r="D70" s="10" t="s">
        <v>185</v>
      </c>
      <c r="E70" s="24" t="s">
        <v>114</v>
      </c>
      <c r="F70" s="12" t="str">
        <f t="shared" si="20"/>
        <v>benthopelagic</v>
      </c>
      <c r="G70" s="18"/>
      <c r="H70" s="19" t="s">
        <v>204</v>
      </c>
      <c r="I70" s="1" t="str">
        <f t="shared" si="21"/>
        <v>fusiform</v>
      </c>
      <c r="K70" s="17" t="s">
        <v>115</v>
      </c>
      <c r="L70" s="1" t="str">
        <f t="shared" si="22"/>
        <v>Subtropical</v>
      </c>
      <c r="N70" s="18" t="s">
        <v>113</v>
      </c>
      <c r="O70" s="1"/>
    </row>
    <row r="71" spans="1:15" x14ac:dyDescent="0.2">
      <c r="A71" s="122" t="s">
        <v>103</v>
      </c>
      <c r="B71" s="184" t="s">
        <v>103</v>
      </c>
      <c r="C71" s="21">
        <v>44358</v>
      </c>
      <c r="D71" s="1" t="s">
        <v>187</v>
      </c>
      <c r="E71" s="24" t="s">
        <v>114</v>
      </c>
      <c r="F71" s="12" t="str">
        <f t="shared" si="20"/>
        <v>benthopelagic</v>
      </c>
      <c r="G71" s="18"/>
      <c r="H71" s="19" t="s">
        <v>204</v>
      </c>
      <c r="I71" s="1" t="str">
        <f t="shared" si="21"/>
        <v>fusiform</v>
      </c>
      <c r="K71" s="17" t="s">
        <v>115</v>
      </c>
      <c r="L71" s="1" t="str">
        <f t="shared" si="22"/>
        <v>Subtropical</v>
      </c>
      <c r="N71" s="18" t="s">
        <v>113</v>
      </c>
      <c r="O71" s="1"/>
    </row>
    <row r="72" spans="1:15" x14ac:dyDescent="0.2">
      <c r="A72" s="122" t="s">
        <v>70</v>
      </c>
      <c r="B72" s="184" t="s">
        <v>70</v>
      </c>
      <c r="C72" s="21">
        <v>44358</v>
      </c>
      <c r="D72" s="1" t="s">
        <v>186</v>
      </c>
      <c r="E72" s="24" t="s">
        <v>114</v>
      </c>
      <c r="F72" s="12" t="str">
        <f t="shared" ref="F72:F77" si="23">E72</f>
        <v>benthopelagic</v>
      </c>
      <c r="G72" s="18"/>
      <c r="H72" s="19" t="s">
        <v>204</v>
      </c>
      <c r="I72" s="1" t="str">
        <f t="shared" ref="I72:I77" si="24">H72</f>
        <v>fusiform</v>
      </c>
      <c r="K72" s="17" t="s">
        <v>121</v>
      </c>
      <c r="L72" s="1" t="str">
        <f t="shared" ref="L72:L77" si="25">K72</f>
        <v>Temperate</v>
      </c>
      <c r="M72" s="44"/>
      <c r="N72" s="18" t="s">
        <v>125</v>
      </c>
    </row>
    <row r="73" spans="1:15" ht="119" x14ac:dyDescent="0.2">
      <c r="A73" s="122" t="s">
        <v>72</v>
      </c>
      <c r="B73" s="184" t="s">
        <v>72</v>
      </c>
      <c r="C73" s="21">
        <v>44358</v>
      </c>
      <c r="D73" s="1" t="s">
        <v>188</v>
      </c>
      <c r="E73" s="39" t="s">
        <v>189</v>
      </c>
      <c r="F73" s="38" t="s">
        <v>161</v>
      </c>
      <c r="G73" s="41" t="s">
        <v>218</v>
      </c>
      <c r="H73" s="19" t="s">
        <v>204</v>
      </c>
      <c r="I73" s="1" t="str">
        <f t="shared" si="24"/>
        <v>fusiform</v>
      </c>
      <c r="K73" s="17" t="s">
        <v>115</v>
      </c>
      <c r="L73" s="1" t="str">
        <f t="shared" si="25"/>
        <v>Subtropical</v>
      </c>
      <c r="M73" s="44"/>
      <c r="N73" s="18" t="s">
        <v>125</v>
      </c>
    </row>
    <row r="74" spans="1:15" x14ac:dyDescent="0.2">
      <c r="A74" s="122" t="s">
        <v>74</v>
      </c>
      <c r="B74" s="184" t="s">
        <v>74</v>
      </c>
      <c r="C74" s="21">
        <v>44358</v>
      </c>
      <c r="D74" s="1" t="s">
        <v>190</v>
      </c>
      <c r="E74" s="24" t="s">
        <v>114</v>
      </c>
      <c r="F74" s="12" t="str">
        <f t="shared" si="23"/>
        <v>benthopelagic</v>
      </c>
      <c r="G74" s="18"/>
      <c r="H74" s="19" t="s">
        <v>204</v>
      </c>
      <c r="I74" s="1" t="str">
        <f t="shared" si="24"/>
        <v>fusiform</v>
      </c>
      <c r="K74" s="17" t="s">
        <v>121</v>
      </c>
      <c r="L74" s="1" t="str">
        <f t="shared" si="25"/>
        <v>Temperate</v>
      </c>
      <c r="M74" s="44"/>
      <c r="N74" s="18" t="s">
        <v>125</v>
      </c>
    </row>
    <row r="75" spans="1:15" x14ac:dyDescent="0.2">
      <c r="A75" s="122" t="s">
        <v>105</v>
      </c>
      <c r="B75" s="184" t="s">
        <v>105</v>
      </c>
      <c r="C75" s="21">
        <v>44358</v>
      </c>
      <c r="D75" s="1" t="s">
        <v>191</v>
      </c>
      <c r="E75" s="24" t="s">
        <v>114</v>
      </c>
      <c r="F75" s="12" t="str">
        <f t="shared" si="23"/>
        <v>benthopelagic</v>
      </c>
      <c r="G75" s="18"/>
      <c r="H75" s="19" t="s">
        <v>204</v>
      </c>
      <c r="I75" s="1" t="str">
        <f t="shared" si="24"/>
        <v>fusiform</v>
      </c>
      <c r="K75" s="17" t="s">
        <v>115</v>
      </c>
      <c r="L75" s="1" t="str">
        <f t="shared" si="25"/>
        <v>Subtropical</v>
      </c>
      <c r="M75" s="44"/>
      <c r="N75" s="18" t="s">
        <v>122</v>
      </c>
    </row>
    <row r="76" spans="1:15" x14ac:dyDescent="0.2">
      <c r="A76" s="122" t="s">
        <v>75</v>
      </c>
      <c r="B76" s="184" t="s">
        <v>75</v>
      </c>
      <c r="C76" s="21">
        <v>44358</v>
      </c>
      <c r="D76" s="1" t="s">
        <v>194</v>
      </c>
      <c r="E76" s="24" t="s">
        <v>114</v>
      </c>
      <c r="F76" s="12" t="str">
        <f t="shared" si="23"/>
        <v>benthopelagic</v>
      </c>
      <c r="G76" s="18"/>
      <c r="H76" s="19" t="s">
        <v>205</v>
      </c>
      <c r="I76" s="1" t="str">
        <f t="shared" si="24"/>
        <v>elongated</v>
      </c>
      <c r="K76" s="17" t="s">
        <v>115</v>
      </c>
      <c r="L76" s="1" t="str">
        <f t="shared" si="25"/>
        <v>Subtropical</v>
      </c>
      <c r="M76" s="44"/>
      <c r="N76" s="18" t="s">
        <v>122</v>
      </c>
    </row>
    <row r="77" spans="1:15" x14ac:dyDescent="0.2">
      <c r="A77" s="122" t="s">
        <v>253</v>
      </c>
      <c r="D77" t="s">
        <v>285</v>
      </c>
      <c r="E77" s="24" t="s">
        <v>126</v>
      </c>
      <c r="F77" s="12" t="str">
        <f t="shared" si="23"/>
        <v>demersal</v>
      </c>
      <c r="H77" s="19" t="s">
        <v>204</v>
      </c>
      <c r="I77" s="1" t="str">
        <f t="shared" si="24"/>
        <v>fusiform</v>
      </c>
      <c r="K77" s="17" t="s">
        <v>115</v>
      </c>
      <c r="L77" s="1" t="str">
        <f t="shared" si="25"/>
        <v>Subtropical</v>
      </c>
      <c r="N77" s="18" t="s">
        <v>129</v>
      </c>
    </row>
    <row r="78" spans="1:15" x14ac:dyDescent="0.2">
      <c r="A78" s="122" t="s">
        <v>76</v>
      </c>
      <c r="B78" s="184" t="s">
        <v>76</v>
      </c>
      <c r="C78" s="21">
        <v>44358</v>
      </c>
      <c r="D78" s="1" t="s">
        <v>192</v>
      </c>
      <c r="E78" s="24" t="s">
        <v>126</v>
      </c>
      <c r="F78" s="12" t="str">
        <f t="shared" ref="F78:F87" si="26">E78</f>
        <v>demersal</v>
      </c>
      <c r="G78" s="18"/>
      <c r="H78" s="19" t="s">
        <v>205</v>
      </c>
      <c r="I78" s="1" t="str">
        <f>H78</f>
        <v>elongated</v>
      </c>
      <c r="K78" s="17" t="s">
        <v>115</v>
      </c>
      <c r="L78" s="1" t="str">
        <f>K78</f>
        <v>Subtropical</v>
      </c>
      <c r="M78" s="44"/>
      <c r="N78" s="18" t="s">
        <v>122</v>
      </c>
    </row>
    <row r="79" spans="1:15" ht="170" x14ac:dyDescent="0.2">
      <c r="A79" s="122" t="s">
        <v>77</v>
      </c>
      <c r="B79" s="184" t="s">
        <v>77</v>
      </c>
      <c r="C79" s="21">
        <v>44358</v>
      </c>
      <c r="D79" s="1" t="s">
        <v>193</v>
      </c>
      <c r="E79" s="24" t="s">
        <v>114</v>
      </c>
      <c r="F79" s="12" t="str">
        <f t="shared" si="26"/>
        <v>benthopelagic</v>
      </c>
      <c r="G79" s="18"/>
      <c r="H79" s="46" t="s">
        <v>207</v>
      </c>
      <c r="I79" s="42" t="s">
        <v>204</v>
      </c>
      <c r="J79" s="49" t="s">
        <v>222</v>
      </c>
      <c r="K79" s="17" t="s">
        <v>121</v>
      </c>
      <c r="L79" s="1" t="str">
        <f>K79</f>
        <v>Temperate</v>
      </c>
      <c r="M79" s="44"/>
      <c r="N79" s="18" t="s">
        <v>122</v>
      </c>
    </row>
    <row r="80" spans="1:15" x14ac:dyDescent="0.2">
      <c r="A80" s="122" t="s">
        <v>78</v>
      </c>
      <c r="B80" s="184" t="s">
        <v>78</v>
      </c>
      <c r="C80" s="21">
        <v>44358</v>
      </c>
      <c r="D80" s="1" t="s">
        <v>195</v>
      </c>
      <c r="E80" s="24" t="s">
        <v>114</v>
      </c>
      <c r="F80" s="12" t="str">
        <f t="shared" si="26"/>
        <v>benthopelagic</v>
      </c>
      <c r="G80" s="18"/>
      <c r="H80" s="19" t="s">
        <v>206</v>
      </c>
      <c r="I80" s="1" t="str">
        <f t="shared" ref="I80:I86" si="27">H80</f>
        <v>short/deep</v>
      </c>
      <c r="K80" s="17" t="s">
        <v>121</v>
      </c>
      <c r="L80" s="1" t="str">
        <f>K80</f>
        <v>Temperate</v>
      </c>
      <c r="M80" s="44"/>
      <c r="N80" s="18" t="s">
        <v>122</v>
      </c>
    </row>
    <row r="81" spans="1:14" x14ac:dyDescent="0.2">
      <c r="A81" s="122" t="s">
        <v>79</v>
      </c>
      <c r="B81" s="184" t="s">
        <v>79</v>
      </c>
      <c r="C81" s="21">
        <v>44358</v>
      </c>
      <c r="D81" s="1" t="s">
        <v>197</v>
      </c>
      <c r="E81" s="24" t="s">
        <v>114</v>
      </c>
      <c r="F81" s="12" t="str">
        <f t="shared" si="26"/>
        <v>benthopelagic</v>
      </c>
      <c r="G81" s="18"/>
      <c r="H81" s="19" t="s">
        <v>205</v>
      </c>
      <c r="I81" s="1" t="str">
        <f t="shared" si="27"/>
        <v>elongated</v>
      </c>
      <c r="K81" s="52" t="s">
        <v>198</v>
      </c>
      <c r="L81" s="38" t="s">
        <v>131</v>
      </c>
      <c r="M81" s="51" t="s">
        <v>223</v>
      </c>
      <c r="N81" s="18" t="s">
        <v>129</v>
      </c>
    </row>
    <row r="82" spans="1:14" x14ac:dyDescent="0.2">
      <c r="A82" s="122" t="s">
        <v>80</v>
      </c>
      <c r="B82" s="184" t="s">
        <v>80</v>
      </c>
      <c r="C82" s="21">
        <v>44358</v>
      </c>
      <c r="D82" s="1" t="s">
        <v>196</v>
      </c>
      <c r="E82" s="24" t="s">
        <v>114</v>
      </c>
      <c r="F82" s="12" t="str">
        <f t="shared" si="26"/>
        <v>benthopelagic</v>
      </c>
      <c r="G82" s="18"/>
      <c r="H82" s="19" t="s">
        <v>205</v>
      </c>
      <c r="I82" s="1" t="str">
        <f t="shared" si="27"/>
        <v>elongated</v>
      </c>
      <c r="K82" s="17" t="s">
        <v>115</v>
      </c>
      <c r="L82" s="1" t="str">
        <f t="shared" ref="L82:L85" si="28">K82</f>
        <v>Subtropical</v>
      </c>
      <c r="M82" s="44"/>
      <c r="N82" s="18" t="s">
        <v>122</v>
      </c>
    </row>
    <row r="83" spans="1:14" x14ac:dyDescent="0.2">
      <c r="A83" s="122" t="s">
        <v>81</v>
      </c>
      <c r="B83" s="184" t="s">
        <v>81</v>
      </c>
      <c r="C83" s="21">
        <v>44358</v>
      </c>
      <c r="D83" s="1" t="s">
        <v>200</v>
      </c>
      <c r="E83" s="24" t="s">
        <v>126</v>
      </c>
      <c r="F83" s="12" t="str">
        <f t="shared" si="26"/>
        <v>demersal</v>
      </c>
      <c r="G83" s="18"/>
      <c r="H83" s="19" t="s">
        <v>205</v>
      </c>
      <c r="I83" s="1" t="str">
        <f t="shared" si="27"/>
        <v>elongated</v>
      </c>
      <c r="K83" s="17" t="s">
        <v>121</v>
      </c>
      <c r="L83" s="1" t="str">
        <f t="shared" si="28"/>
        <v>Temperate</v>
      </c>
      <c r="M83" s="44"/>
      <c r="N83" s="18" t="s">
        <v>113</v>
      </c>
    </row>
    <row r="84" spans="1:14" x14ac:dyDescent="0.2">
      <c r="A84" s="122" t="s">
        <v>82</v>
      </c>
      <c r="B84" s="184" t="s">
        <v>82</v>
      </c>
      <c r="C84" s="21">
        <v>44358</v>
      </c>
      <c r="D84" s="1" t="s">
        <v>199</v>
      </c>
      <c r="E84" s="24" t="s">
        <v>118</v>
      </c>
      <c r="F84" s="12" t="str">
        <f t="shared" si="26"/>
        <v>reef-associated</v>
      </c>
      <c r="G84" s="18"/>
      <c r="H84" s="19" t="s">
        <v>204</v>
      </c>
      <c r="I84" s="1" t="str">
        <f t="shared" si="27"/>
        <v>fusiform</v>
      </c>
      <c r="K84" s="17" t="s">
        <v>121</v>
      </c>
      <c r="L84" s="1" t="str">
        <f t="shared" si="28"/>
        <v>Temperate</v>
      </c>
      <c r="M84" s="44"/>
      <c r="N84" s="18" t="s">
        <v>117</v>
      </c>
    </row>
    <row r="85" spans="1:14" x14ac:dyDescent="0.2">
      <c r="A85" s="122" t="s">
        <v>83</v>
      </c>
      <c r="B85" s="184" t="s">
        <v>83</v>
      </c>
      <c r="C85" s="21">
        <v>44358</v>
      </c>
      <c r="D85" s="1" t="s">
        <v>201</v>
      </c>
      <c r="E85" s="24" t="s">
        <v>118</v>
      </c>
      <c r="F85" s="12" t="str">
        <f t="shared" si="26"/>
        <v>reef-associated</v>
      </c>
      <c r="G85" s="18"/>
      <c r="H85" s="19" t="s">
        <v>204</v>
      </c>
      <c r="I85" s="1" t="str">
        <f t="shared" si="27"/>
        <v>fusiform</v>
      </c>
      <c r="K85" s="17" t="s">
        <v>115</v>
      </c>
      <c r="L85" s="1" t="str">
        <f t="shared" si="28"/>
        <v>Subtropical</v>
      </c>
      <c r="M85" s="44"/>
      <c r="N85" s="18" t="s">
        <v>117</v>
      </c>
    </row>
    <row r="86" spans="1:14" s="113" customFormat="1" x14ac:dyDescent="0.2">
      <c r="A86" s="126" t="s">
        <v>264</v>
      </c>
      <c r="B86" s="187"/>
      <c r="C86" s="21">
        <v>44373</v>
      </c>
      <c r="D86" s="113" t="s">
        <v>270</v>
      </c>
      <c r="E86" s="111" t="s">
        <v>165</v>
      </c>
      <c r="F86" s="114" t="s">
        <v>161</v>
      </c>
      <c r="G86" s="113" t="s">
        <v>269</v>
      </c>
      <c r="H86" s="111" t="s">
        <v>204</v>
      </c>
      <c r="I86" s="114" t="str">
        <f t="shared" si="27"/>
        <v>fusiform</v>
      </c>
      <c r="K86" s="111" t="s">
        <v>115</v>
      </c>
      <c r="L86" s="114" t="s">
        <v>115</v>
      </c>
      <c r="N86" s="113" t="s">
        <v>129</v>
      </c>
    </row>
    <row r="87" spans="1:14" x14ac:dyDescent="0.2">
      <c r="A87" s="122" t="s">
        <v>260</v>
      </c>
      <c r="C87" s="21">
        <v>44373</v>
      </c>
      <c r="D87" t="s">
        <v>265</v>
      </c>
      <c r="E87" s="24" t="s">
        <v>118</v>
      </c>
      <c r="F87" s="12" t="str">
        <f t="shared" si="26"/>
        <v>reef-associated</v>
      </c>
      <c r="H87" s="109" t="s">
        <v>261</v>
      </c>
      <c r="I87" s="38" t="s">
        <v>271</v>
      </c>
      <c r="J87" s="110" t="s">
        <v>268</v>
      </c>
      <c r="K87" s="17" t="s">
        <v>115</v>
      </c>
      <c r="L87" s="1" t="str">
        <f t="shared" ref="L87:L88" si="29">K87</f>
        <v>Subtropical</v>
      </c>
      <c r="N87" t="s">
        <v>129</v>
      </c>
    </row>
    <row r="88" spans="1:14" s="113" customFormat="1" x14ac:dyDescent="0.2">
      <c r="A88" s="126" t="s">
        <v>259</v>
      </c>
      <c r="B88" s="187"/>
      <c r="C88" s="21">
        <v>44373</v>
      </c>
      <c r="D88" s="113" t="s">
        <v>267</v>
      </c>
      <c r="E88" s="111" t="s">
        <v>189</v>
      </c>
      <c r="F88" s="114" t="s">
        <v>161</v>
      </c>
      <c r="G88" s="113" t="s">
        <v>266</v>
      </c>
      <c r="H88" s="114" t="s">
        <v>204</v>
      </c>
      <c r="I88" s="113" t="s">
        <v>204</v>
      </c>
      <c r="K88" s="114" t="s">
        <v>115</v>
      </c>
      <c r="L88" s="114" t="str">
        <f t="shared" si="29"/>
        <v>Subtropical</v>
      </c>
      <c r="N88" s="114" t="s">
        <v>117</v>
      </c>
    </row>
    <row r="89" spans="1:14" x14ac:dyDescent="0.2">
      <c r="A89" s="122" t="s">
        <v>84</v>
      </c>
      <c r="B89" s="184" t="s">
        <v>84</v>
      </c>
      <c r="C89" s="21">
        <v>44358</v>
      </c>
      <c r="D89" s="1" t="s">
        <v>202</v>
      </c>
      <c r="E89" s="24" t="s">
        <v>126</v>
      </c>
      <c r="F89" s="12" t="str">
        <f>E89</f>
        <v>demersal</v>
      </c>
      <c r="G89" s="18"/>
      <c r="H89" s="19" t="s">
        <v>204</v>
      </c>
      <c r="I89" s="1" t="str">
        <f>H89</f>
        <v>fusiform</v>
      </c>
      <c r="K89" s="17" t="s">
        <v>131</v>
      </c>
      <c r="L89" s="1" t="str">
        <f t="shared" ref="L89:L97" si="30">K89</f>
        <v>Polar</v>
      </c>
      <c r="M89" s="44"/>
      <c r="N89" s="18" t="s">
        <v>117</v>
      </c>
    </row>
    <row r="90" spans="1:14" x14ac:dyDescent="0.2">
      <c r="A90" s="122" t="s">
        <v>85</v>
      </c>
      <c r="B90" s="184" t="s">
        <v>85</v>
      </c>
      <c r="C90" s="21">
        <v>44358</v>
      </c>
      <c r="D90" s="1" t="s">
        <v>203</v>
      </c>
      <c r="E90" s="24" t="s">
        <v>126</v>
      </c>
      <c r="F90" s="12" t="str">
        <f>E90</f>
        <v>demersal</v>
      </c>
      <c r="G90" s="18"/>
      <c r="H90" s="19" t="s">
        <v>205</v>
      </c>
      <c r="I90" s="1" t="str">
        <f>H90</f>
        <v>elongated</v>
      </c>
      <c r="K90" s="17" t="s">
        <v>115</v>
      </c>
      <c r="L90" s="1" t="str">
        <f t="shared" si="30"/>
        <v>Subtropical</v>
      </c>
      <c r="M90" s="44"/>
      <c r="N90" s="18" t="s">
        <v>122</v>
      </c>
    </row>
    <row r="91" spans="1:14" x14ac:dyDescent="0.2">
      <c r="A91" s="122" t="s">
        <v>87</v>
      </c>
      <c r="B91" s="184" t="s">
        <v>87</v>
      </c>
      <c r="C91" s="21">
        <v>44358</v>
      </c>
      <c r="D91" s="1" t="s">
        <v>212</v>
      </c>
      <c r="E91" s="24" t="s">
        <v>114</v>
      </c>
      <c r="F91" s="12" t="str">
        <f>E91</f>
        <v>benthopelagic</v>
      </c>
      <c r="G91" s="18"/>
      <c r="H91" s="19" t="s">
        <v>204</v>
      </c>
      <c r="I91" s="1" t="str">
        <f>H91</f>
        <v>fusiform</v>
      </c>
      <c r="K91" s="17" t="s">
        <v>115</v>
      </c>
      <c r="L91" s="1" t="str">
        <f t="shared" si="30"/>
        <v>Subtropical</v>
      </c>
      <c r="M91" s="44"/>
      <c r="N91" s="18" t="s">
        <v>122</v>
      </c>
    </row>
    <row r="92" spans="1:14" x14ac:dyDescent="0.2">
      <c r="A92" s="110" t="s">
        <v>823</v>
      </c>
      <c r="C92" s="130">
        <v>44642</v>
      </c>
      <c r="D92" t="s">
        <v>980</v>
      </c>
      <c r="E92" s="110" t="s">
        <v>114</v>
      </c>
      <c r="F92" t="s">
        <v>114</v>
      </c>
      <c r="H92" s="19" t="s">
        <v>206</v>
      </c>
      <c r="I92" s="1" t="str">
        <f t="shared" ref="I92" si="31">H92</f>
        <v>short/deep</v>
      </c>
      <c r="K92" t="s">
        <v>115</v>
      </c>
      <c r="L92" s="1" t="str">
        <f t="shared" si="30"/>
        <v>Subtropical</v>
      </c>
      <c r="N92" s="12" t="s">
        <v>117</v>
      </c>
    </row>
    <row r="93" spans="1:14" x14ac:dyDescent="0.2">
      <c r="A93" s="110" t="s">
        <v>837</v>
      </c>
      <c r="C93" s="130">
        <v>44642</v>
      </c>
      <c r="D93" t="s">
        <v>981</v>
      </c>
      <c r="E93" s="110" t="s">
        <v>114</v>
      </c>
      <c r="F93" t="s">
        <v>114</v>
      </c>
      <c r="H93" s="110" t="s">
        <v>205</v>
      </c>
      <c r="I93" t="s">
        <v>205</v>
      </c>
      <c r="K93" s="12" t="s">
        <v>115</v>
      </c>
      <c r="L93" s="1" t="str">
        <f t="shared" si="30"/>
        <v>Subtropical</v>
      </c>
      <c r="N93" s="12" t="s">
        <v>129</v>
      </c>
    </row>
    <row r="94" spans="1:14" x14ac:dyDescent="0.2">
      <c r="A94" s="110" t="s">
        <v>962</v>
      </c>
      <c r="C94" s="130">
        <v>44642</v>
      </c>
      <c r="D94" t="s">
        <v>982</v>
      </c>
      <c r="E94" s="110" t="s">
        <v>114</v>
      </c>
      <c r="F94" t="s">
        <v>114</v>
      </c>
      <c r="H94" s="110" t="s">
        <v>250</v>
      </c>
      <c r="I94" s="110" t="s">
        <v>205</v>
      </c>
      <c r="J94" s="110" t="s">
        <v>983</v>
      </c>
      <c r="K94" s="12" t="s">
        <v>121</v>
      </c>
      <c r="L94" s="1" t="str">
        <f t="shared" si="30"/>
        <v>Temperate</v>
      </c>
      <c r="N94" s="12" t="s">
        <v>125</v>
      </c>
    </row>
    <row r="95" spans="1:14" x14ac:dyDescent="0.2">
      <c r="A95" s="110" t="s">
        <v>966</v>
      </c>
      <c r="C95" s="130">
        <v>44642</v>
      </c>
      <c r="D95" t="s">
        <v>984</v>
      </c>
      <c r="E95" s="110" t="s">
        <v>114</v>
      </c>
      <c r="F95" t="s">
        <v>114</v>
      </c>
      <c r="H95" s="110" t="s">
        <v>250</v>
      </c>
      <c r="I95" t="s">
        <v>204</v>
      </c>
      <c r="K95" s="12" t="s">
        <v>119</v>
      </c>
      <c r="L95" s="1" t="str">
        <f t="shared" si="30"/>
        <v>Tropical</v>
      </c>
      <c r="N95" s="12" t="s">
        <v>122</v>
      </c>
    </row>
    <row r="96" spans="1:14" x14ac:dyDescent="0.2">
      <c r="A96" s="110" t="s">
        <v>973</v>
      </c>
      <c r="C96" s="130">
        <v>44642</v>
      </c>
      <c r="D96" t="s">
        <v>985</v>
      </c>
      <c r="E96" s="110" t="s">
        <v>126</v>
      </c>
      <c r="F96" t="s">
        <v>126</v>
      </c>
      <c r="H96" s="110" t="s">
        <v>250</v>
      </c>
      <c r="I96" s="1" t="s">
        <v>204</v>
      </c>
      <c r="K96" s="12" t="s">
        <v>131</v>
      </c>
      <c r="L96" s="1" t="str">
        <f t="shared" si="30"/>
        <v>Polar</v>
      </c>
      <c r="N96" s="12" t="s">
        <v>129</v>
      </c>
    </row>
    <row r="97" spans="1:14" x14ac:dyDescent="0.2">
      <c r="A97" t="s">
        <v>830</v>
      </c>
      <c r="C97" s="130">
        <v>44642</v>
      </c>
      <c r="D97" t="s">
        <v>986</v>
      </c>
      <c r="E97" s="110" t="s">
        <v>189</v>
      </c>
      <c r="F97" t="s">
        <v>161</v>
      </c>
      <c r="H97" s="110" t="s">
        <v>205</v>
      </c>
      <c r="I97" t="s">
        <v>205</v>
      </c>
      <c r="K97" s="12" t="s">
        <v>115</v>
      </c>
      <c r="L97" s="1" t="str">
        <f t="shared" si="30"/>
        <v>Subtropical</v>
      </c>
      <c r="N97" s="12" t="s">
        <v>129</v>
      </c>
    </row>
  </sheetData>
  <mergeCells count="4">
    <mergeCell ref="L1:L2"/>
    <mergeCell ref="C1:C2"/>
    <mergeCell ref="D1:D2"/>
    <mergeCell ref="I1:J1"/>
  </mergeCells>
  <hyperlinks>
    <hyperlink ref="D70" r:id="rId1" xr:uid="{B5A9923D-E15B-BD49-A930-18B81886058A}"/>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0F78F-4EFC-E144-95F3-E3B365FED97D}">
  <dimension ref="B1:AC96"/>
  <sheetViews>
    <sheetView topLeftCell="A70" workbookViewId="0">
      <selection activeCell="X10" sqref="X10"/>
    </sheetView>
  </sheetViews>
  <sheetFormatPr baseColWidth="10" defaultRowHeight="16" x14ac:dyDescent="0.2"/>
  <cols>
    <col min="2" max="5" width="3.5" style="57" customWidth="1"/>
    <col min="6" max="6" width="24.33203125" style="57" customWidth="1"/>
    <col min="7" max="7" width="12.83203125" style="57" customWidth="1"/>
    <col min="8" max="8" width="14" style="57" customWidth="1"/>
    <col min="9" max="9" width="12.33203125" style="57" customWidth="1"/>
    <col min="10" max="10" width="12.1640625" style="57" customWidth="1"/>
    <col min="11" max="11" width="14.33203125" style="57" customWidth="1"/>
    <col min="12" max="12" width="29.83203125" style="57" customWidth="1"/>
    <col min="19" max="22" width="3.5" customWidth="1"/>
    <col min="23" max="23" width="16.6640625" customWidth="1"/>
    <col min="28" max="28" width="13" customWidth="1"/>
  </cols>
  <sheetData>
    <row r="1" spans="2:29" ht="34" x14ac:dyDescent="0.2">
      <c r="B1" s="163" t="s">
        <v>1004</v>
      </c>
      <c r="C1" s="164"/>
      <c r="D1" s="164" t="s">
        <v>1003</v>
      </c>
      <c r="E1" s="164"/>
      <c r="F1" s="165" t="s">
        <v>240</v>
      </c>
      <c r="G1" s="67" t="s">
        <v>239</v>
      </c>
      <c r="H1" s="67" t="s">
        <v>242</v>
      </c>
      <c r="I1" s="67" t="s">
        <v>238</v>
      </c>
      <c r="J1" s="144" t="s">
        <v>237</v>
      </c>
      <c r="K1" s="167" t="s">
        <v>992</v>
      </c>
      <c r="L1" s="169" t="s">
        <v>993</v>
      </c>
      <c r="S1" s="163" t="s">
        <v>1009</v>
      </c>
      <c r="T1" s="164"/>
      <c r="U1" s="164" t="s">
        <v>1003</v>
      </c>
      <c r="V1" s="164"/>
      <c r="W1" s="165" t="s">
        <v>240</v>
      </c>
      <c r="X1" s="67" t="s">
        <v>239</v>
      </c>
      <c r="Y1" s="67" t="s">
        <v>242</v>
      </c>
      <c r="Z1" s="67" t="s">
        <v>238</v>
      </c>
      <c r="AA1" s="144" t="s">
        <v>237</v>
      </c>
      <c r="AB1" s="167" t="s">
        <v>992</v>
      </c>
      <c r="AC1" s="169" t="s">
        <v>1008</v>
      </c>
    </row>
    <row r="2" spans="2:29" ht="68" x14ac:dyDescent="0.2">
      <c r="B2" s="145" t="s">
        <v>106</v>
      </c>
      <c r="C2" s="138" t="s">
        <v>107</v>
      </c>
      <c r="D2" s="138" t="s">
        <v>106</v>
      </c>
      <c r="E2" s="138" t="s">
        <v>107</v>
      </c>
      <c r="F2" s="166"/>
      <c r="G2" s="139" t="s">
        <v>235</v>
      </c>
      <c r="H2" s="139" t="s">
        <v>236</v>
      </c>
      <c r="I2" s="139" t="s">
        <v>235</v>
      </c>
      <c r="J2" s="139" t="s">
        <v>235</v>
      </c>
      <c r="K2" s="168"/>
      <c r="L2" s="170"/>
      <c r="S2" s="154" t="s">
        <v>106</v>
      </c>
      <c r="T2" s="155" t="s">
        <v>107</v>
      </c>
      <c r="U2" s="155" t="s">
        <v>106</v>
      </c>
      <c r="V2" s="155" t="s">
        <v>107</v>
      </c>
      <c r="W2" s="166"/>
      <c r="X2" s="139" t="s">
        <v>1006</v>
      </c>
      <c r="Y2" s="139" t="s">
        <v>1007</v>
      </c>
      <c r="Z2" s="139" t="s">
        <v>1006</v>
      </c>
      <c r="AA2" s="139" t="s">
        <v>1006</v>
      </c>
      <c r="AB2" s="168"/>
      <c r="AC2" s="170"/>
    </row>
    <row r="3" spans="2:29" ht="34" customHeight="1" x14ac:dyDescent="0.2">
      <c r="B3" s="146" t="s">
        <v>1002</v>
      </c>
      <c r="C3" s="140" t="s">
        <v>991</v>
      </c>
      <c r="D3" s="140" t="s">
        <v>1002</v>
      </c>
      <c r="E3" s="140" t="s">
        <v>1002</v>
      </c>
      <c r="F3" s="79" t="s">
        <v>88</v>
      </c>
      <c r="G3" s="80" t="s">
        <v>114</v>
      </c>
      <c r="H3" s="78" t="s">
        <v>204</v>
      </c>
      <c r="I3" s="78" t="s">
        <v>115</v>
      </c>
      <c r="J3" s="136" t="s">
        <v>113</v>
      </c>
      <c r="K3" s="141">
        <v>44358</v>
      </c>
      <c r="L3" s="101" t="s">
        <v>112</v>
      </c>
      <c r="S3" s="146" t="s">
        <v>1002</v>
      </c>
      <c r="T3" s="140" t="s">
        <v>991</v>
      </c>
      <c r="U3" s="140" t="s">
        <v>1002</v>
      </c>
      <c r="V3" s="140" t="s">
        <v>1002</v>
      </c>
      <c r="W3" s="79" t="s">
        <v>88</v>
      </c>
      <c r="X3" s="135" t="str">
        <f t="shared" ref="X3:X34" si="0">IF(G3="benthopelagic","BenPel", IF(G3="pelagic","Pel", IF(G3="reef-associated","ReefAs",IF(G3="demersal","Dem"))))</f>
        <v>BenPel</v>
      </c>
      <c r="Y3" s="135" t="str">
        <f t="shared" ref="Y3:Y34" si="1">IF(H3="fusiform","Fus", IF(H3="short/deep","ShDe", IF(H3="elongated","Elon",IF(H3="eel-like","Eel-l"))))</f>
        <v>Fus</v>
      </c>
      <c r="Z3" s="135" t="str">
        <f t="shared" ref="Z3:Z34" si="2">IF(I3="subtropical","Subtr", IF(I3="tropical","Trop", IF(I3="Polar","Pol",IF(I3="Temperate","Temp"))))</f>
        <v>Subtr</v>
      </c>
      <c r="AA3" s="135" t="str">
        <f t="shared" ref="AA3:AA34" si="3">IF(J3="Freshwater; brackish","F-B",IF(J3="Marine; freshwater; brackish","M-F-B",IF(J3="Freshwater; brackish","F-B",IF(J3="Marine","M",IF(J3="Freshwater","F",IF(J3="Marine; brackish","M-B"))))))</f>
        <v>F-B</v>
      </c>
      <c r="AB3" s="151">
        <v>44358</v>
      </c>
      <c r="AC3" s="101" t="s">
        <v>112</v>
      </c>
    </row>
    <row r="4" spans="2:29" ht="17" x14ac:dyDescent="0.2">
      <c r="B4" s="146" t="s">
        <v>991</v>
      </c>
      <c r="C4" s="140" t="s">
        <v>991</v>
      </c>
      <c r="D4" s="140" t="s">
        <v>991</v>
      </c>
      <c r="E4" s="140" t="s">
        <v>991</v>
      </c>
      <c r="F4" s="79" t="s">
        <v>8</v>
      </c>
      <c r="G4" s="80" t="s">
        <v>118</v>
      </c>
      <c r="H4" s="78" t="s">
        <v>206</v>
      </c>
      <c r="I4" s="78" t="s">
        <v>119</v>
      </c>
      <c r="J4" s="136" t="s">
        <v>117</v>
      </c>
      <c r="K4" s="141">
        <v>44358</v>
      </c>
      <c r="L4" s="101" t="s">
        <v>116</v>
      </c>
      <c r="S4" s="146" t="s">
        <v>991</v>
      </c>
      <c r="T4" s="140" t="s">
        <v>991</v>
      </c>
      <c r="U4" s="140" t="s">
        <v>991</v>
      </c>
      <c r="V4" s="140" t="s">
        <v>991</v>
      </c>
      <c r="W4" s="79" t="s">
        <v>8</v>
      </c>
      <c r="X4" s="135" t="str">
        <f t="shared" si="0"/>
        <v>ReefAs</v>
      </c>
      <c r="Y4" s="135" t="str">
        <f t="shared" si="1"/>
        <v>ShDe</v>
      </c>
      <c r="Z4" s="135" t="str">
        <f t="shared" si="2"/>
        <v>Trop</v>
      </c>
      <c r="AA4" s="135" t="str">
        <f t="shared" si="3"/>
        <v>M</v>
      </c>
      <c r="AB4" s="151">
        <v>44358</v>
      </c>
      <c r="AC4" s="101" t="s">
        <v>116</v>
      </c>
    </row>
    <row r="5" spans="2:29" ht="17" x14ac:dyDescent="0.2">
      <c r="B5" s="146" t="s">
        <v>991</v>
      </c>
      <c r="C5" s="140" t="s">
        <v>991</v>
      </c>
      <c r="D5" s="140" t="s">
        <v>1002</v>
      </c>
      <c r="E5" s="140" t="s">
        <v>1002</v>
      </c>
      <c r="F5" s="79" t="s">
        <v>10</v>
      </c>
      <c r="G5" s="80" t="s">
        <v>114</v>
      </c>
      <c r="H5" s="78" t="s">
        <v>205</v>
      </c>
      <c r="I5" s="78" t="s">
        <v>121</v>
      </c>
      <c r="J5" s="136" t="s">
        <v>122</v>
      </c>
      <c r="K5" s="141">
        <v>44358</v>
      </c>
      <c r="L5" s="101" t="s">
        <v>120</v>
      </c>
      <c r="S5" s="146" t="s">
        <v>991</v>
      </c>
      <c r="T5" s="140" t="s">
        <v>991</v>
      </c>
      <c r="U5" s="140" t="s">
        <v>1002</v>
      </c>
      <c r="V5" s="140" t="s">
        <v>1002</v>
      </c>
      <c r="W5" s="79" t="s">
        <v>10</v>
      </c>
      <c r="X5" s="135" t="str">
        <f t="shared" si="0"/>
        <v>BenPel</v>
      </c>
      <c r="Y5" s="135" t="str">
        <f t="shared" si="1"/>
        <v>Elon</v>
      </c>
      <c r="Z5" s="135" t="str">
        <f t="shared" si="2"/>
        <v>Temp</v>
      </c>
      <c r="AA5" s="135" t="str">
        <f t="shared" si="3"/>
        <v>F</v>
      </c>
      <c r="AB5" s="151">
        <v>44358</v>
      </c>
      <c r="AC5" s="101" t="s">
        <v>120</v>
      </c>
    </row>
    <row r="6" spans="2:29" x14ac:dyDescent="0.2">
      <c r="B6" s="146" t="s">
        <v>991</v>
      </c>
      <c r="C6" s="140" t="s">
        <v>1002</v>
      </c>
      <c r="D6" s="140" t="s">
        <v>991</v>
      </c>
      <c r="E6" s="140" t="s">
        <v>1002</v>
      </c>
      <c r="F6" s="142" t="s">
        <v>263</v>
      </c>
      <c r="G6" s="78" t="s">
        <v>114</v>
      </c>
      <c r="H6" s="78" t="s">
        <v>206</v>
      </c>
      <c r="I6" s="78" t="s">
        <v>119</v>
      </c>
      <c r="J6" s="78" t="s">
        <v>122</v>
      </c>
      <c r="K6" s="143">
        <v>44373</v>
      </c>
      <c r="L6" s="147" t="s">
        <v>273</v>
      </c>
      <c r="S6" s="146" t="s">
        <v>991</v>
      </c>
      <c r="T6" s="140" t="s">
        <v>1002</v>
      </c>
      <c r="U6" s="140" t="s">
        <v>991</v>
      </c>
      <c r="V6" s="140" t="s">
        <v>1002</v>
      </c>
      <c r="W6" s="142" t="s">
        <v>263</v>
      </c>
      <c r="X6" s="135" t="str">
        <f t="shared" si="0"/>
        <v>BenPel</v>
      </c>
      <c r="Y6" s="135" t="str">
        <f t="shared" si="1"/>
        <v>ShDe</v>
      </c>
      <c r="Z6" s="135" t="str">
        <f t="shared" si="2"/>
        <v>Trop</v>
      </c>
      <c r="AA6" s="135" t="str">
        <f t="shared" si="3"/>
        <v>F</v>
      </c>
      <c r="AB6" s="152">
        <v>44373</v>
      </c>
      <c r="AC6" s="147" t="s">
        <v>273</v>
      </c>
    </row>
    <row r="7" spans="2:29" x14ac:dyDescent="0.2">
      <c r="B7" s="146" t="s">
        <v>991</v>
      </c>
      <c r="C7" s="140" t="s">
        <v>1002</v>
      </c>
      <c r="D7" s="140" t="s">
        <v>1002</v>
      </c>
      <c r="E7" s="140" t="s">
        <v>1002</v>
      </c>
      <c r="F7" s="142" t="s">
        <v>262</v>
      </c>
      <c r="G7" s="78" t="s">
        <v>118</v>
      </c>
      <c r="H7" s="78" t="s">
        <v>206</v>
      </c>
      <c r="I7" s="78" t="s">
        <v>119</v>
      </c>
      <c r="J7" s="78" t="s">
        <v>117</v>
      </c>
      <c r="K7" s="143">
        <v>44373</v>
      </c>
      <c r="L7" s="147" t="s">
        <v>275</v>
      </c>
      <c r="S7" s="146" t="s">
        <v>991</v>
      </c>
      <c r="T7" s="140" t="s">
        <v>1002</v>
      </c>
      <c r="U7" s="140" t="s">
        <v>1002</v>
      </c>
      <c r="V7" s="140" t="s">
        <v>1002</v>
      </c>
      <c r="W7" s="142" t="s">
        <v>262</v>
      </c>
      <c r="X7" s="135" t="str">
        <f t="shared" si="0"/>
        <v>ReefAs</v>
      </c>
      <c r="Y7" s="135" t="str">
        <f t="shared" si="1"/>
        <v>ShDe</v>
      </c>
      <c r="Z7" s="135" t="str">
        <f t="shared" si="2"/>
        <v>Trop</v>
      </c>
      <c r="AA7" s="135" t="str">
        <f t="shared" si="3"/>
        <v>M</v>
      </c>
      <c r="AB7" s="152">
        <v>44373</v>
      </c>
      <c r="AC7" s="147" t="s">
        <v>275</v>
      </c>
    </row>
    <row r="8" spans="2:29" ht="17" x14ac:dyDescent="0.2">
      <c r="B8" s="146" t="s">
        <v>991</v>
      </c>
      <c r="C8" s="140" t="s">
        <v>1002</v>
      </c>
      <c r="D8" s="140" t="s">
        <v>1002</v>
      </c>
      <c r="E8" s="140" t="s">
        <v>1002</v>
      </c>
      <c r="F8" s="79" t="s">
        <v>11</v>
      </c>
      <c r="G8" s="80" t="s">
        <v>118</v>
      </c>
      <c r="H8" s="78" t="s">
        <v>206</v>
      </c>
      <c r="I8" s="78" t="s">
        <v>119</v>
      </c>
      <c r="J8" s="136" t="s">
        <v>117</v>
      </c>
      <c r="K8" s="141">
        <v>44358</v>
      </c>
      <c r="L8" s="101" t="s">
        <v>123</v>
      </c>
      <c r="S8" s="146" t="s">
        <v>991</v>
      </c>
      <c r="T8" s="140" t="s">
        <v>1002</v>
      </c>
      <c r="U8" s="140" t="s">
        <v>1002</v>
      </c>
      <c r="V8" s="140" t="s">
        <v>1002</v>
      </c>
      <c r="W8" s="79" t="s">
        <v>11</v>
      </c>
      <c r="X8" s="135" t="str">
        <f t="shared" si="0"/>
        <v>ReefAs</v>
      </c>
      <c r="Y8" s="135" t="str">
        <f t="shared" si="1"/>
        <v>ShDe</v>
      </c>
      <c r="Z8" s="135" t="str">
        <f t="shared" si="2"/>
        <v>Trop</v>
      </c>
      <c r="AA8" s="135" t="str">
        <f t="shared" si="3"/>
        <v>M</v>
      </c>
      <c r="AB8" s="151">
        <v>44358</v>
      </c>
      <c r="AC8" s="101" t="s">
        <v>123</v>
      </c>
    </row>
    <row r="9" spans="2:29" ht="17" x14ac:dyDescent="0.2">
      <c r="B9" s="146" t="s">
        <v>991</v>
      </c>
      <c r="C9" s="140" t="s">
        <v>1002</v>
      </c>
      <c r="D9" s="140" t="s">
        <v>1002</v>
      </c>
      <c r="E9" s="140" t="s">
        <v>1002</v>
      </c>
      <c r="F9" s="79" t="s">
        <v>12</v>
      </c>
      <c r="G9" s="80" t="s">
        <v>118</v>
      </c>
      <c r="H9" s="78" t="s">
        <v>204</v>
      </c>
      <c r="I9" s="78" t="s">
        <v>119</v>
      </c>
      <c r="J9" s="136" t="s">
        <v>117</v>
      </c>
      <c r="K9" s="141">
        <v>44358</v>
      </c>
      <c r="L9" s="101" t="s">
        <v>124</v>
      </c>
      <c r="S9" s="146" t="s">
        <v>991</v>
      </c>
      <c r="T9" s="140" t="s">
        <v>1002</v>
      </c>
      <c r="U9" s="140" t="s">
        <v>1002</v>
      </c>
      <c r="V9" s="140" t="s">
        <v>1002</v>
      </c>
      <c r="W9" s="79" t="s">
        <v>12</v>
      </c>
      <c r="X9" s="135" t="str">
        <f t="shared" si="0"/>
        <v>ReefAs</v>
      </c>
      <c r="Y9" s="135" t="str">
        <f t="shared" si="1"/>
        <v>Fus</v>
      </c>
      <c r="Z9" s="135" t="str">
        <f t="shared" si="2"/>
        <v>Trop</v>
      </c>
      <c r="AA9" s="135" t="str">
        <f t="shared" si="3"/>
        <v>M</v>
      </c>
      <c r="AB9" s="151">
        <v>44358</v>
      </c>
      <c r="AC9" s="101" t="s">
        <v>124</v>
      </c>
    </row>
    <row r="10" spans="2:29" ht="51" x14ac:dyDescent="0.2">
      <c r="B10" s="146" t="s">
        <v>991</v>
      </c>
      <c r="C10" s="140" t="s">
        <v>1002</v>
      </c>
      <c r="D10" s="140" t="s">
        <v>1002</v>
      </c>
      <c r="E10" s="140" t="s">
        <v>1002</v>
      </c>
      <c r="F10" s="79" t="s">
        <v>13</v>
      </c>
      <c r="G10" s="80" t="s">
        <v>126</v>
      </c>
      <c r="H10" s="78" t="s">
        <v>208</v>
      </c>
      <c r="I10" s="78" t="s">
        <v>121</v>
      </c>
      <c r="J10" s="136" t="s">
        <v>125</v>
      </c>
      <c r="K10" s="141">
        <v>44358</v>
      </c>
      <c r="L10" s="101" t="s">
        <v>128</v>
      </c>
      <c r="S10" s="146" t="s">
        <v>991</v>
      </c>
      <c r="T10" s="140" t="s">
        <v>1002</v>
      </c>
      <c r="U10" s="140" t="s">
        <v>1002</v>
      </c>
      <c r="V10" s="140" t="s">
        <v>1002</v>
      </c>
      <c r="W10" s="79" t="s">
        <v>13</v>
      </c>
      <c r="X10" s="135" t="str">
        <f t="shared" si="0"/>
        <v>Dem</v>
      </c>
      <c r="Y10" s="135" t="str">
        <f t="shared" si="1"/>
        <v>Eel-l</v>
      </c>
      <c r="Z10" s="135" t="str">
        <f t="shared" si="2"/>
        <v>Temp</v>
      </c>
      <c r="AA10" s="135" t="str">
        <f t="shared" si="3"/>
        <v>M-F-B</v>
      </c>
      <c r="AB10" s="151">
        <v>44358</v>
      </c>
      <c r="AC10" s="101" t="s">
        <v>128</v>
      </c>
    </row>
    <row r="11" spans="2:29" ht="17" x14ac:dyDescent="0.2">
      <c r="B11" s="146" t="s">
        <v>991</v>
      </c>
      <c r="C11" s="140" t="s">
        <v>1002</v>
      </c>
      <c r="D11" s="140" t="s">
        <v>1002</v>
      </c>
      <c r="E11" s="140" t="s">
        <v>1002</v>
      </c>
      <c r="F11" s="79" t="s">
        <v>14</v>
      </c>
      <c r="G11" s="80" t="s">
        <v>126</v>
      </c>
      <c r="H11" s="78" t="s">
        <v>204</v>
      </c>
      <c r="I11" s="78" t="s">
        <v>121</v>
      </c>
      <c r="J11" s="136" t="s">
        <v>117</v>
      </c>
      <c r="K11" s="141">
        <v>44358</v>
      </c>
      <c r="L11" s="101" t="s">
        <v>127</v>
      </c>
      <c r="S11" s="146" t="s">
        <v>991</v>
      </c>
      <c r="T11" s="140" t="s">
        <v>1002</v>
      </c>
      <c r="U11" s="140" t="s">
        <v>1002</v>
      </c>
      <c r="V11" s="140" t="s">
        <v>1002</v>
      </c>
      <c r="W11" s="79" t="s">
        <v>14</v>
      </c>
      <c r="X11" s="135" t="str">
        <f t="shared" si="0"/>
        <v>Dem</v>
      </c>
      <c r="Y11" s="135" t="str">
        <f t="shared" si="1"/>
        <v>Fus</v>
      </c>
      <c r="Z11" s="135" t="str">
        <f t="shared" si="2"/>
        <v>Temp</v>
      </c>
      <c r="AA11" s="135" t="str">
        <f t="shared" si="3"/>
        <v>M</v>
      </c>
      <c r="AB11" s="151">
        <v>44358</v>
      </c>
      <c r="AC11" s="101" t="s">
        <v>127</v>
      </c>
    </row>
    <row r="12" spans="2:29" ht="34" x14ac:dyDescent="0.2">
      <c r="B12" s="146" t="s">
        <v>991</v>
      </c>
      <c r="C12" s="140" t="s">
        <v>991</v>
      </c>
      <c r="D12" s="140" t="s">
        <v>991</v>
      </c>
      <c r="E12" s="140" t="s">
        <v>991</v>
      </c>
      <c r="F12" s="79" t="s">
        <v>15</v>
      </c>
      <c r="G12" s="80" t="s">
        <v>126</v>
      </c>
      <c r="H12" s="78" t="s">
        <v>205</v>
      </c>
      <c r="I12" s="78" t="s">
        <v>131</v>
      </c>
      <c r="J12" s="136" t="s">
        <v>129</v>
      </c>
      <c r="K12" s="141">
        <v>44358</v>
      </c>
      <c r="L12" s="101" t="s">
        <v>130</v>
      </c>
      <c r="S12" s="146" t="s">
        <v>991</v>
      </c>
      <c r="T12" s="140" t="s">
        <v>991</v>
      </c>
      <c r="U12" s="140" t="s">
        <v>991</v>
      </c>
      <c r="V12" s="140" t="s">
        <v>991</v>
      </c>
      <c r="W12" s="79" t="s">
        <v>15</v>
      </c>
      <c r="X12" s="135" t="str">
        <f t="shared" si="0"/>
        <v>Dem</v>
      </c>
      <c r="Y12" s="135" t="str">
        <f t="shared" si="1"/>
        <v>Elon</v>
      </c>
      <c r="Z12" s="135" t="str">
        <f t="shared" si="2"/>
        <v>Pol</v>
      </c>
      <c r="AA12" s="135" t="str">
        <f t="shared" si="3"/>
        <v>M-B</v>
      </c>
      <c r="AB12" s="151">
        <v>44358</v>
      </c>
      <c r="AC12" s="101" t="s">
        <v>130</v>
      </c>
    </row>
    <row r="13" spans="2:29" x14ac:dyDescent="0.2">
      <c r="B13" s="146" t="s">
        <v>991</v>
      </c>
      <c r="C13" s="140" t="s">
        <v>991</v>
      </c>
      <c r="D13" s="140" t="s">
        <v>1002</v>
      </c>
      <c r="E13" s="140" t="s">
        <v>1002</v>
      </c>
      <c r="F13" s="142" t="s">
        <v>254</v>
      </c>
      <c r="G13" s="78" t="s">
        <v>118</v>
      </c>
      <c r="H13" s="78" t="s">
        <v>204</v>
      </c>
      <c r="I13" s="78" t="s">
        <v>119</v>
      </c>
      <c r="J13" s="78" t="s">
        <v>117</v>
      </c>
      <c r="K13" s="143">
        <v>44373</v>
      </c>
      <c r="L13" s="147" t="s">
        <v>274</v>
      </c>
      <c r="S13" s="146" t="s">
        <v>991</v>
      </c>
      <c r="T13" s="140" t="s">
        <v>991</v>
      </c>
      <c r="U13" s="140" t="s">
        <v>1002</v>
      </c>
      <c r="V13" s="140" t="s">
        <v>1002</v>
      </c>
      <c r="W13" s="142" t="s">
        <v>254</v>
      </c>
      <c r="X13" s="135" t="str">
        <f t="shared" si="0"/>
        <v>ReefAs</v>
      </c>
      <c r="Y13" s="135" t="str">
        <f t="shared" si="1"/>
        <v>Fus</v>
      </c>
      <c r="Z13" s="135" t="str">
        <f t="shared" si="2"/>
        <v>Trop</v>
      </c>
      <c r="AA13" s="135" t="str">
        <f t="shared" si="3"/>
        <v>M</v>
      </c>
      <c r="AB13" s="152">
        <v>44373</v>
      </c>
      <c r="AC13" s="147" t="s">
        <v>274</v>
      </c>
    </row>
    <row r="14" spans="2:29" ht="34" x14ac:dyDescent="0.2">
      <c r="B14" s="146" t="s">
        <v>991</v>
      </c>
      <c r="C14" s="140" t="s">
        <v>991</v>
      </c>
      <c r="D14" s="140" t="s">
        <v>1002</v>
      </c>
      <c r="E14" s="140" t="s">
        <v>1002</v>
      </c>
      <c r="F14" s="79" t="s">
        <v>16</v>
      </c>
      <c r="G14" s="80" t="s">
        <v>114</v>
      </c>
      <c r="H14" s="78" t="s">
        <v>204</v>
      </c>
      <c r="I14" s="78" t="s">
        <v>115</v>
      </c>
      <c r="J14" s="136" t="s">
        <v>113</v>
      </c>
      <c r="K14" s="141">
        <v>44358</v>
      </c>
      <c r="L14" s="101" t="s">
        <v>132</v>
      </c>
      <c r="S14" s="146" t="s">
        <v>991</v>
      </c>
      <c r="T14" s="140" t="s">
        <v>991</v>
      </c>
      <c r="U14" s="140" t="s">
        <v>1002</v>
      </c>
      <c r="V14" s="140" t="s">
        <v>1002</v>
      </c>
      <c r="W14" s="79" t="s">
        <v>16</v>
      </c>
      <c r="X14" s="135" t="str">
        <f t="shared" si="0"/>
        <v>BenPel</v>
      </c>
      <c r="Y14" s="135" t="str">
        <f t="shared" si="1"/>
        <v>Fus</v>
      </c>
      <c r="Z14" s="135" t="str">
        <f t="shared" si="2"/>
        <v>Subtr</v>
      </c>
      <c r="AA14" s="135" t="str">
        <f t="shared" si="3"/>
        <v>F-B</v>
      </c>
      <c r="AB14" s="151">
        <v>44358</v>
      </c>
      <c r="AC14" s="101" t="s">
        <v>132</v>
      </c>
    </row>
    <row r="15" spans="2:29" x14ac:dyDescent="0.2">
      <c r="B15" s="146" t="s">
        <v>991</v>
      </c>
      <c r="C15" s="140" t="s">
        <v>991</v>
      </c>
      <c r="D15" s="140" t="s">
        <v>991</v>
      </c>
      <c r="E15" s="140" t="s">
        <v>991</v>
      </c>
      <c r="F15" s="142" t="s">
        <v>256</v>
      </c>
      <c r="G15" s="78" t="s">
        <v>118</v>
      </c>
      <c r="H15" s="78" t="s">
        <v>204</v>
      </c>
      <c r="I15" s="78" t="s">
        <v>121</v>
      </c>
      <c r="J15" s="78" t="s">
        <v>117</v>
      </c>
      <c r="K15" s="143">
        <v>44373</v>
      </c>
      <c r="L15" s="147" t="s">
        <v>276</v>
      </c>
      <c r="S15" s="146" t="s">
        <v>991</v>
      </c>
      <c r="T15" s="140" t="s">
        <v>991</v>
      </c>
      <c r="U15" s="140" t="s">
        <v>991</v>
      </c>
      <c r="V15" s="140" t="s">
        <v>991</v>
      </c>
      <c r="W15" s="142" t="s">
        <v>256</v>
      </c>
      <c r="X15" s="135" t="str">
        <f t="shared" si="0"/>
        <v>ReefAs</v>
      </c>
      <c r="Y15" s="135" t="str">
        <f t="shared" si="1"/>
        <v>Fus</v>
      </c>
      <c r="Z15" s="135" t="str">
        <f t="shared" si="2"/>
        <v>Temp</v>
      </c>
      <c r="AA15" s="135" t="str">
        <f t="shared" si="3"/>
        <v>M</v>
      </c>
      <c r="AB15" s="152">
        <v>44373</v>
      </c>
      <c r="AC15" s="147" t="s">
        <v>276</v>
      </c>
    </row>
    <row r="16" spans="2:29" ht="17" x14ac:dyDescent="0.2">
      <c r="B16" s="146" t="s">
        <v>991</v>
      </c>
      <c r="C16" s="140" t="s">
        <v>991</v>
      </c>
      <c r="D16" s="140" t="s">
        <v>1002</v>
      </c>
      <c r="E16" s="140" t="s">
        <v>1002</v>
      </c>
      <c r="F16" s="79" t="s">
        <v>18</v>
      </c>
      <c r="G16" s="80" t="s">
        <v>114</v>
      </c>
      <c r="H16" s="78" t="s">
        <v>205</v>
      </c>
      <c r="I16" s="78" t="s">
        <v>115</v>
      </c>
      <c r="J16" s="136" t="s">
        <v>122</v>
      </c>
      <c r="K16" s="141">
        <v>44358</v>
      </c>
      <c r="L16" s="101" t="s">
        <v>133</v>
      </c>
      <c r="S16" s="146" t="s">
        <v>991</v>
      </c>
      <c r="T16" s="140" t="s">
        <v>991</v>
      </c>
      <c r="U16" s="140" t="s">
        <v>1002</v>
      </c>
      <c r="V16" s="140" t="s">
        <v>1002</v>
      </c>
      <c r="W16" s="79" t="s">
        <v>18</v>
      </c>
      <c r="X16" s="135" t="str">
        <f t="shared" si="0"/>
        <v>BenPel</v>
      </c>
      <c r="Y16" s="135" t="str">
        <f t="shared" si="1"/>
        <v>Elon</v>
      </c>
      <c r="Z16" s="135" t="str">
        <f t="shared" si="2"/>
        <v>Subtr</v>
      </c>
      <c r="AA16" s="135" t="str">
        <f t="shared" si="3"/>
        <v>F</v>
      </c>
      <c r="AB16" s="151">
        <v>44358</v>
      </c>
      <c r="AC16" s="101" t="s">
        <v>133</v>
      </c>
    </row>
    <row r="17" spans="2:29" x14ac:dyDescent="0.2">
      <c r="B17" s="146" t="s">
        <v>1002</v>
      </c>
      <c r="C17" s="140" t="s">
        <v>1002</v>
      </c>
      <c r="D17" s="140" t="s">
        <v>991</v>
      </c>
      <c r="E17" s="140" t="s">
        <v>991</v>
      </c>
      <c r="F17" s="142" t="s">
        <v>252</v>
      </c>
      <c r="G17" s="78" t="s">
        <v>118</v>
      </c>
      <c r="H17" s="78" t="s">
        <v>206</v>
      </c>
      <c r="I17" s="78" t="s">
        <v>119</v>
      </c>
      <c r="J17" s="78" t="s">
        <v>117</v>
      </c>
      <c r="K17" s="143">
        <v>44373</v>
      </c>
      <c r="L17" s="147" t="s">
        <v>277</v>
      </c>
      <c r="S17" s="146" t="s">
        <v>1002</v>
      </c>
      <c r="T17" s="140" t="s">
        <v>1002</v>
      </c>
      <c r="U17" s="140" t="s">
        <v>991</v>
      </c>
      <c r="V17" s="140" t="s">
        <v>991</v>
      </c>
      <c r="W17" s="142" t="s">
        <v>252</v>
      </c>
      <c r="X17" s="135" t="str">
        <f t="shared" si="0"/>
        <v>ReefAs</v>
      </c>
      <c r="Y17" s="135" t="str">
        <f t="shared" si="1"/>
        <v>ShDe</v>
      </c>
      <c r="Z17" s="135" t="str">
        <f t="shared" si="2"/>
        <v>Trop</v>
      </c>
      <c r="AA17" s="135" t="str">
        <f t="shared" si="3"/>
        <v>M</v>
      </c>
      <c r="AB17" s="152">
        <v>44373</v>
      </c>
      <c r="AC17" s="147" t="s">
        <v>277</v>
      </c>
    </row>
    <row r="18" spans="2:29" ht="34" x14ac:dyDescent="0.2">
      <c r="B18" s="146" t="s">
        <v>991</v>
      </c>
      <c r="C18" s="140" t="s">
        <v>1002</v>
      </c>
      <c r="D18" s="140" t="s">
        <v>1002</v>
      </c>
      <c r="E18" s="140" t="s">
        <v>1002</v>
      </c>
      <c r="F18" s="79" t="s">
        <v>19</v>
      </c>
      <c r="G18" s="80" t="s">
        <v>114</v>
      </c>
      <c r="H18" s="78" t="s">
        <v>206</v>
      </c>
      <c r="I18" s="78" t="s">
        <v>115</v>
      </c>
      <c r="J18" s="136" t="s">
        <v>113</v>
      </c>
      <c r="K18" s="141">
        <v>44358</v>
      </c>
      <c r="L18" s="101" t="s">
        <v>134</v>
      </c>
      <c r="S18" s="146" t="s">
        <v>991</v>
      </c>
      <c r="T18" s="140" t="s">
        <v>1002</v>
      </c>
      <c r="U18" s="140" t="s">
        <v>1002</v>
      </c>
      <c r="V18" s="140" t="s">
        <v>1002</v>
      </c>
      <c r="W18" s="79" t="s">
        <v>19</v>
      </c>
      <c r="X18" s="135" t="str">
        <f t="shared" si="0"/>
        <v>BenPel</v>
      </c>
      <c r="Y18" s="135" t="str">
        <f t="shared" si="1"/>
        <v>ShDe</v>
      </c>
      <c r="Z18" s="135" t="str">
        <f t="shared" si="2"/>
        <v>Subtr</v>
      </c>
      <c r="AA18" s="135" t="str">
        <f t="shared" si="3"/>
        <v>F-B</v>
      </c>
      <c r="AB18" s="151">
        <v>44358</v>
      </c>
      <c r="AC18" s="101" t="s">
        <v>134</v>
      </c>
    </row>
    <row r="19" spans="2:29" ht="17" x14ac:dyDescent="0.2">
      <c r="B19" s="146" t="s">
        <v>991</v>
      </c>
      <c r="C19" s="140" t="s">
        <v>1002</v>
      </c>
      <c r="D19" s="140" t="s">
        <v>1002</v>
      </c>
      <c r="E19" s="140" t="s">
        <v>1002</v>
      </c>
      <c r="F19" s="79" t="s">
        <v>20</v>
      </c>
      <c r="G19" s="80" t="s">
        <v>114</v>
      </c>
      <c r="H19" s="78" t="s">
        <v>205</v>
      </c>
      <c r="I19" s="78" t="s">
        <v>115</v>
      </c>
      <c r="J19" s="136" t="s">
        <v>122</v>
      </c>
      <c r="K19" s="141">
        <v>44358</v>
      </c>
      <c r="L19" s="101" t="s">
        <v>135</v>
      </c>
      <c r="S19" s="146" t="s">
        <v>991</v>
      </c>
      <c r="T19" s="140" t="s">
        <v>1002</v>
      </c>
      <c r="U19" s="140" t="s">
        <v>1002</v>
      </c>
      <c r="V19" s="140" t="s">
        <v>1002</v>
      </c>
      <c r="W19" s="79" t="s">
        <v>20</v>
      </c>
      <c r="X19" s="135" t="str">
        <f t="shared" si="0"/>
        <v>BenPel</v>
      </c>
      <c r="Y19" s="135" t="str">
        <f t="shared" si="1"/>
        <v>Elon</v>
      </c>
      <c r="Z19" s="135" t="str">
        <f t="shared" si="2"/>
        <v>Subtr</v>
      </c>
      <c r="AA19" s="135" t="str">
        <f t="shared" si="3"/>
        <v>F</v>
      </c>
      <c r="AB19" s="151">
        <v>44358</v>
      </c>
      <c r="AC19" s="101" t="s">
        <v>135</v>
      </c>
    </row>
    <row r="20" spans="2:29" x14ac:dyDescent="0.2">
      <c r="B20" s="146" t="s">
        <v>1002</v>
      </c>
      <c r="C20" s="140" t="s">
        <v>991</v>
      </c>
      <c r="D20" s="140" t="s">
        <v>1002</v>
      </c>
      <c r="E20" s="140" t="s">
        <v>991</v>
      </c>
      <c r="F20" s="142" t="s">
        <v>830</v>
      </c>
      <c r="G20" s="78" t="s">
        <v>161</v>
      </c>
      <c r="H20" s="78" t="s">
        <v>205</v>
      </c>
      <c r="I20" s="78" t="s">
        <v>115</v>
      </c>
      <c r="J20" s="78" t="s">
        <v>129</v>
      </c>
      <c r="K20" s="141">
        <v>44642</v>
      </c>
      <c r="L20" s="147" t="s">
        <v>986</v>
      </c>
      <c r="S20" s="146" t="s">
        <v>1002</v>
      </c>
      <c r="T20" s="140" t="s">
        <v>991</v>
      </c>
      <c r="U20" s="140" t="s">
        <v>1002</v>
      </c>
      <c r="V20" s="140" t="s">
        <v>991</v>
      </c>
      <c r="W20" s="142" t="s">
        <v>830</v>
      </c>
      <c r="X20" s="135" t="str">
        <f t="shared" si="0"/>
        <v>Pel</v>
      </c>
      <c r="Y20" s="135" t="str">
        <f t="shared" si="1"/>
        <v>Elon</v>
      </c>
      <c r="Z20" s="135" t="str">
        <f t="shared" si="2"/>
        <v>Subtr</v>
      </c>
      <c r="AA20" s="135" t="str">
        <f t="shared" si="3"/>
        <v>M-B</v>
      </c>
      <c r="AB20" s="151">
        <v>44642</v>
      </c>
      <c r="AC20" s="147" t="s">
        <v>986</v>
      </c>
    </row>
    <row r="21" spans="2:29" ht="34" x14ac:dyDescent="0.2">
      <c r="B21" s="146" t="s">
        <v>991</v>
      </c>
      <c r="C21" s="140" t="s">
        <v>991</v>
      </c>
      <c r="D21" s="140" t="s">
        <v>1002</v>
      </c>
      <c r="E21" s="140" t="s">
        <v>1002</v>
      </c>
      <c r="F21" s="79" t="s">
        <v>21</v>
      </c>
      <c r="G21" s="80" t="s">
        <v>114</v>
      </c>
      <c r="H21" s="78" t="s">
        <v>204</v>
      </c>
      <c r="I21" s="78" t="s">
        <v>115</v>
      </c>
      <c r="J21" s="136" t="s">
        <v>113</v>
      </c>
      <c r="K21" s="141">
        <v>44358</v>
      </c>
      <c r="L21" s="101" t="s">
        <v>134</v>
      </c>
      <c r="S21" s="146" t="s">
        <v>991</v>
      </c>
      <c r="T21" s="140" t="s">
        <v>991</v>
      </c>
      <c r="U21" s="140" t="s">
        <v>1002</v>
      </c>
      <c r="V21" s="140" t="s">
        <v>1002</v>
      </c>
      <c r="W21" s="79" t="s">
        <v>21</v>
      </c>
      <c r="X21" s="135" t="str">
        <f t="shared" si="0"/>
        <v>BenPel</v>
      </c>
      <c r="Y21" s="135" t="str">
        <f t="shared" si="1"/>
        <v>Fus</v>
      </c>
      <c r="Z21" s="135" t="str">
        <f t="shared" si="2"/>
        <v>Subtr</v>
      </c>
      <c r="AA21" s="135" t="str">
        <f t="shared" si="3"/>
        <v>F-B</v>
      </c>
      <c r="AB21" s="151">
        <v>44358</v>
      </c>
      <c r="AC21" s="101" t="s">
        <v>134</v>
      </c>
    </row>
    <row r="22" spans="2:29" ht="34" x14ac:dyDescent="0.2">
      <c r="B22" s="146" t="s">
        <v>991</v>
      </c>
      <c r="C22" s="140" t="s">
        <v>991</v>
      </c>
      <c r="D22" s="140" t="s">
        <v>1002</v>
      </c>
      <c r="E22" s="140" t="s">
        <v>1002</v>
      </c>
      <c r="F22" s="79" t="s">
        <v>22</v>
      </c>
      <c r="G22" s="80" t="s">
        <v>114</v>
      </c>
      <c r="H22" s="78" t="s">
        <v>204</v>
      </c>
      <c r="I22" s="78" t="s">
        <v>115</v>
      </c>
      <c r="J22" s="136" t="s">
        <v>113</v>
      </c>
      <c r="K22" s="141">
        <v>44358</v>
      </c>
      <c r="L22" s="101" t="s">
        <v>136</v>
      </c>
      <c r="S22" s="146" t="s">
        <v>991</v>
      </c>
      <c r="T22" s="140" t="s">
        <v>991</v>
      </c>
      <c r="U22" s="140" t="s">
        <v>1002</v>
      </c>
      <c r="V22" s="140" t="s">
        <v>1002</v>
      </c>
      <c r="W22" s="79" t="s">
        <v>22</v>
      </c>
      <c r="X22" s="135" t="str">
        <f t="shared" si="0"/>
        <v>BenPel</v>
      </c>
      <c r="Y22" s="135" t="str">
        <f t="shared" si="1"/>
        <v>Fus</v>
      </c>
      <c r="Z22" s="135" t="str">
        <f t="shared" si="2"/>
        <v>Subtr</v>
      </c>
      <c r="AA22" s="135" t="str">
        <f t="shared" si="3"/>
        <v>F-B</v>
      </c>
      <c r="AB22" s="151">
        <v>44358</v>
      </c>
      <c r="AC22" s="101" t="s">
        <v>136</v>
      </c>
    </row>
    <row r="23" spans="2:29" x14ac:dyDescent="0.2">
      <c r="B23" s="146" t="s">
        <v>991</v>
      </c>
      <c r="C23" s="140" t="s">
        <v>1002</v>
      </c>
      <c r="D23" s="140" t="s">
        <v>1002</v>
      </c>
      <c r="E23" s="140" t="s">
        <v>1002</v>
      </c>
      <c r="F23" s="142" t="s">
        <v>966</v>
      </c>
      <c r="G23" s="78" t="s">
        <v>114</v>
      </c>
      <c r="H23" s="78" t="s">
        <v>204</v>
      </c>
      <c r="I23" s="78" t="s">
        <v>119</v>
      </c>
      <c r="J23" s="78" t="s">
        <v>122</v>
      </c>
      <c r="K23" s="141">
        <v>44642</v>
      </c>
      <c r="L23" s="147" t="s">
        <v>984</v>
      </c>
      <c r="S23" s="146" t="s">
        <v>991</v>
      </c>
      <c r="T23" s="140" t="s">
        <v>1002</v>
      </c>
      <c r="U23" s="140" t="s">
        <v>1002</v>
      </c>
      <c r="V23" s="140" t="s">
        <v>1002</v>
      </c>
      <c r="W23" s="142" t="s">
        <v>966</v>
      </c>
      <c r="X23" s="135" t="str">
        <f t="shared" si="0"/>
        <v>BenPel</v>
      </c>
      <c r="Y23" s="135" t="str">
        <f t="shared" si="1"/>
        <v>Fus</v>
      </c>
      <c r="Z23" s="135" t="str">
        <f t="shared" si="2"/>
        <v>Trop</v>
      </c>
      <c r="AA23" s="135" t="str">
        <f t="shared" si="3"/>
        <v>F</v>
      </c>
      <c r="AB23" s="151">
        <v>44642</v>
      </c>
      <c r="AC23" s="147" t="s">
        <v>984</v>
      </c>
    </row>
    <row r="24" spans="2:29" ht="76" customHeight="1" x14ac:dyDescent="0.2">
      <c r="B24" s="146" t="s">
        <v>991</v>
      </c>
      <c r="C24" s="140" t="s">
        <v>991</v>
      </c>
      <c r="D24" s="140" t="s">
        <v>1002</v>
      </c>
      <c r="E24" s="140" t="s">
        <v>991</v>
      </c>
      <c r="F24" s="79" t="s">
        <v>23</v>
      </c>
      <c r="G24" s="80" t="s">
        <v>126</v>
      </c>
      <c r="H24" s="78" t="s">
        <v>204</v>
      </c>
      <c r="I24" s="78" t="s">
        <v>115</v>
      </c>
      <c r="J24" s="136" t="s">
        <v>125</v>
      </c>
      <c r="K24" s="141">
        <v>44358</v>
      </c>
      <c r="L24" s="101" t="s">
        <v>137</v>
      </c>
      <c r="S24" s="146" t="s">
        <v>991</v>
      </c>
      <c r="T24" s="140" t="s">
        <v>991</v>
      </c>
      <c r="U24" s="140" t="s">
        <v>1002</v>
      </c>
      <c r="V24" s="140" t="s">
        <v>991</v>
      </c>
      <c r="W24" s="79" t="s">
        <v>23</v>
      </c>
      <c r="X24" s="135" t="str">
        <f t="shared" si="0"/>
        <v>Dem</v>
      </c>
      <c r="Y24" s="135" t="str">
        <f t="shared" si="1"/>
        <v>Fus</v>
      </c>
      <c r="Z24" s="135" t="str">
        <f t="shared" si="2"/>
        <v>Subtr</v>
      </c>
      <c r="AA24" s="135" t="str">
        <f t="shared" si="3"/>
        <v>M-F-B</v>
      </c>
      <c r="AB24" s="151">
        <v>44358</v>
      </c>
      <c r="AC24" s="101" t="s">
        <v>137</v>
      </c>
    </row>
    <row r="25" spans="2:29" ht="17" x14ac:dyDescent="0.2">
      <c r="B25" s="146" t="s">
        <v>991</v>
      </c>
      <c r="C25" s="140" t="s">
        <v>991</v>
      </c>
      <c r="D25" s="140" t="s">
        <v>1002</v>
      </c>
      <c r="E25" s="140" t="s">
        <v>1002</v>
      </c>
      <c r="F25" s="79" t="s">
        <v>24</v>
      </c>
      <c r="G25" s="80" t="s">
        <v>114</v>
      </c>
      <c r="H25" s="78" t="s">
        <v>205</v>
      </c>
      <c r="I25" s="78" t="s">
        <v>115</v>
      </c>
      <c r="J25" s="136" t="s">
        <v>122</v>
      </c>
      <c r="K25" s="141">
        <v>44358</v>
      </c>
      <c r="L25" s="101" t="s">
        <v>138</v>
      </c>
      <c r="S25" s="146" t="s">
        <v>991</v>
      </c>
      <c r="T25" s="140" t="s">
        <v>991</v>
      </c>
      <c r="U25" s="140" t="s">
        <v>1002</v>
      </c>
      <c r="V25" s="140" t="s">
        <v>1002</v>
      </c>
      <c r="W25" s="79" t="s">
        <v>24</v>
      </c>
      <c r="X25" s="135" t="str">
        <f t="shared" si="0"/>
        <v>BenPel</v>
      </c>
      <c r="Y25" s="135" t="str">
        <f t="shared" si="1"/>
        <v>Elon</v>
      </c>
      <c r="Z25" s="135" t="str">
        <f t="shared" si="2"/>
        <v>Subtr</v>
      </c>
      <c r="AA25" s="135" t="str">
        <f t="shared" si="3"/>
        <v>F</v>
      </c>
      <c r="AB25" s="151">
        <v>44358</v>
      </c>
      <c r="AC25" s="101" t="s">
        <v>138</v>
      </c>
    </row>
    <row r="26" spans="2:29" ht="17" x14ac:dyDescent="0.2">
      <c r="B26" s="146" t="s">
        <v>991</v>
      </c>
      <c r="C26" s="140" t="s">
        <v>991</v>
      </c>
      <c r="D26" s="140" t="s">
        <v>1002</v>
      </c>
      <c r="E26" s="140" t="s">
        <v>1002</v>
      </c>
      <c r="F26" s="79" t="s">
        <v>25</v>
      </c>
      <c r="G26" s="80" t="s">
        <v>114</v>
      </c>
      <c r="H26" s="78" t="s">
        <v>204</v>
      </c>
      <c r="I26" s="78" t="s">
        <v>119</v>
      </c>
      <c r="J26" s="136" t="s">
        <v>122</v>
      </c>
      <c r="K26" s="141">
        <v>44358</v>
      </c>
      <c r="L26" s="101" t="s">
        <v>139</v>
      </c>
      <c r="S26" s="146" t="s">
        <v>991</v>
      </c>
      <c r="T26" s="140" t="s">
        <v>991</v>
      </c>
      <c r="U26" s="140" t="s">
        <v>1002</v>
      </c>
      <c r="V26" s="140" t="s">
        <v>1002</v>
      </c>
      <c r="W26" s="79" t="s">
        <v>25</v>
      </c>
      <c r="X26" s="135" t="str">
        <f t="shared" si="0"/>
        <v>BenPel</v>
      </c>
      <c r="Y26" s="135" t="str">
        <f t="shared" si="1"/>
        <v>Fus</v>
      </c>
      <c r="Z26" s="135" t="str">
        <f t="shared" si="2"/>
        <v>Trop</v>
      </c>
      <c r="AA26" s="135" t="str">
        <f t="shared" si="3"/>
        <v>F</v>
      </c>
      <c r="AB26" s="151">
        <v>44358</v>
      </c>
      <c r="AC26" s="101" t="s">
        <v>139</v>
      </c>
    </row>
    <row r="27" spans="2:29" ht="17" x14ac:dyDescent="0.2">
      <c r="B27" s="146" t="s">
        <v>991</v>
      </c>
      <c r="C27" s="140" t="s">
        <v>1002</v>
      </c>
      <c r="D27" s="140" t="s">
        <v>991</v>
      </c>
      <c r="E27" s="140" t="s">
        <v>1002</v>
      </c>
      <c r="F27" s="79" t="s">
        <v>26</v>
      </c>
      <c r="G27" s="80" t="s">
        <v>114</v>
      </c>
      <c r="H27" s="78" t="s">
        <v>205</v>
      </c>
      <c r="I27" s="78" t="s">
        <v>121</v>
      </c>
      <c r="J27" s="136" t="s">
        <v>117</v>
      </c>
      <c r="K27" s="141">
        <v>44358</v>
      </c>
      <c r="L27" s="101" t="s">
        <v>140</v>
      </c>
      <c r="S27" s="146" t="s">
        <v>991</v>
      </c>
      <c r="T27" s="140" t="s">
        <v>1002</v>
      </c>
      <c r="U27" s="140" t="s">
        <v>991</v>
      </c>
      <c r="V27" s="140" t="s">
        <v>1002</v>
      </c>
      <c r="W27" s="79" t="s">
        <v>26</v>
      </c>
      <c r="X27" s="135" t="str">
        <f t="shared" si="0"/>
        <v>BenPel</v>
      </c>
      <c r="Y27" s="135" t="str">
        <f t="shared" si="1"/>
        <v>Elon</v>
      </c>
      <c r="Z27" s="135" t="str">
        <f t="shared" si="2"/>
        <v>Temp</v>
      </c>
      <c r="AA27" s="135" t="str">
        <f t="shared" si="3"/>
        <v>M</v>
      </c>
      <c r="AB27" s="151">
        <v>44358</v>
      </c>
      <c r="AC27" s="101" t="s">
        <v>140</v>
      </c>
    </row>
    <row r="28" spans="2:29" x14ac:dyDescent="0.2">
      <c r="B28" s="146" t="s">
        <v>991</v>
      </c>
      <c r="C28" s="140" t="s">
        <v>991</v>
      </c>
      <c r="D28" s="140" t="s">
        <v>991</v>
      </c>
      <c r="E28" s="140" t="s">
        <v>991</v>
      </c>
      <c r="F28" s="142" t="s">
        <v>255</v>
      </c>
      <c r="G28" s="78" t="s">
        <v>114</v>
      </c>
      <c r="H28" s="78" t="s">
        <v>205</v>
      </c>
      <c r="I28" s="78" t="s">
        <v>119</v>
      </c>
      <c r="J28" s="78" t="s">
        <v>113</v>
      </c>
      <c r="K28" s="143">
        <v>44373</v>
      </c>
      <c r="L28" s="147" t="s">
        <v>278</v>
      </c>
      <c r="S28" s="146" t="s">
        <v>991</v>
      </c>
      <c r="T28" s="140" t="s">
        <v>991</v>
      </c>
      <c r="U28" s="140" t="s">
        <v>991</v>
      </c>
      <c r="V28" s="140" t="s">
        <v>991</v>
      </c>
      <c r="W28" s="142" t="s">
        <v>255</v>
      </c>
      <c r="X28" s="135" t="str">
        <f t="shared" si="0"/>
        <v>BenPel</v>
      </c>
      <c r="Y28" s="135" t="str">
        <f t="shared" si="1"/>
        <v>Elon</v>
      </c>
      <c r="Z28" s="135" t="str">
        <f t="shared" si="2"/>
        <v>Trop</v>
      </c>
      <c r="AA28" s="135" t="str">
        <f t="shared" si="3"/>
        <v>F-B</v>
      </c>
      <c r="AB28" s="152">
        <v>44373</v>
      </c>
      <c r="AC28" s="147" t="s">
        <v>278</v>
      </c>
    </row>
    <row r="29" spans="2:29" x14ac:dyDescent="0.2">
      <c r="B29" s="146" t="s">
        <v>991</v>
      </c>
      <c r="C29" s="140" t="s">
        <v>1002</v>
      </c>
      <c r="D29" s="140" t="s">
        <v>1002</v>
      </c>
      <c r="E29" s="140" t="s">
        <v>1002</v>
      </c>
      <c r="F29" s="142" t="s">
        <v>1001</v>
      </c>
      <c r="G29" s="78" t="s">
        <v>114</v>
      </c>
      <c r="H29" s="78" t="s">
        <v>205</v>
      </c>
      <c r="I29" s="78" t="s">
        <v>121</v>
      </c>
      <c r="J29" s="78" t="s">
        <v>125</v>
      </c>
      <c r="K29" s="141">
        <v>44642</v>
      </c>
      <c r="L29" s="147" t="s">
        <v>982</v>
      </c>
      <c r="S29" s="146" t="s">
        <v>991</v>
      </c>
      <c r="T29" s="140" t="s">
        <v>1002</v>
      </c>
      <c r="U29" s="140" t="s">
        <v>1002</v>
      </c>
      <c r="V29" s="140" t="s">
        <v>1002</v>
      </c>
      <c r="W29" s="142" t="s">
        <v>1001</v>
      </c>
      <c r="X29" s="135" t="str">
        <f t="shared" si="0"/>
        <v>BenPel</v>
      </c>
      <c r="Y29" s="135" t="str">
        <f t="shared" si="1"/>
        <v>Elon</v>
      </c>
      <c r="Z29" s="135" t="str">
        <f t="shared" si="2"/>
        <v>Temp</v>
      </c>
      <c r="AA29" s="135" t="str">
        <f t="shared" si="3"/>
        <v>M-F-B</v>
      </c>
      <c r="AB29" s="151">
        <v>44642</v>
      </c>
      <c r="AC29" s="147" t="s">
        <v>982</v>
      </c>
    </row>
    <row r="30" spans="2:29" x14ac:dyDescent="0.2">
      <c r="B30" s="146" t="s">
        <v>991</v>
      </c>
      <c r="C30" s="140" t="s">
        <v>1002</v>
      </c>
      <c r="D30" s="140" t="s">
        <v>1002</v>
      </c>
      <c r="E30" s="140" t="s">
        <v>991</v>
      </c>
      <c r="F30" s="142" t="s">
        <v>837</v>
      </c>
      <c r="G30" s="78" t="s">
        <v>114</v>
      </c>
      <c r="H30" s="78" t="s">
        <v>205</v>
      </c>
      <c r="I30" s="78" t="s">
        <v>115</v>
      </c>
      <c r="J30" s="78" t="s">
        <v>129</v>
      </c>
      <c r="K30" s="141">
        <v>44642</v>
      </c>
      <c r="L30" s="147" t="s">
        <v>981</v>
      </c>
      <c r="S30" s="146" t="s">
        <v>991</v>
      </c>
      <c r="T30" s="140" t="s">
        <v>1002</v>
      </c>
      <c r="U30" s="140" t="s">
        <v>1002</v>
      </c>
      <c r="V30" s="140" t="s">
        <v>991</v>
      </c>
      <c r="W30" s="142" t="s">
        <v>837</v>
      </c>
      <c r="X30" s="135" t="str">
        <f t="shared" si="0"/>
        <v>BenPel</v>
      </c>
      <c r="Y30" s="135" t="str">
        <f t="shared" si="1"/>
        <v>Elon</v>
      </c>
      <c r="Z30" s="135" t="str">
        <f t="shared" si="2"/>
        <v>Subtr</v>
      </c>
      <c r="AA30" s="135" t="str">
        <f t="shared" si="3"/>
        <v>M-B</v>
      </c>
      <c r="AB30" s="151">
        <v>44642</v>
      </c>
      <c r="AC30" s="147" t="s">
        <v>981</v>
      </c>
    </row>
    <row r="31" spans="2:29" ht="34" x14ac:dyDescent="0.2">
      <c r="B31" s="146" t="s">
        <v>991</v>
      </c>
      <c r="C31" s="140" t="s">
        <v>1002</v>
      </c>
      <c r="D31" s="140" t="s">
        <v>991</v>
      </c>
      <c r="E31" s="140" t="s">
        <v>1002</v>
      </c>
      <c r="F31" s="79" t="s">
        <v>28</v>
      </c>
      <c r="G31" s="80" t="s">
        <v>114</v>
      </c>
      <c r="H31" s="78" t="s">
        <v>204</v>
      </c>
      <c r="I31" s="78" t="s">
        <v>121</v>
      </c>
      <c r="J31" s="136" t="s">
        <v>129</v>
      </c>
      <c r="K31" s="141">
        <v>44358</v>
      </c>
      <c r="L31" s="101" t="s">
        <v>141</v>
      </c>
      <c r="S31" s="146" t="s">
        <v>991</v>
      </c>
      <c r="T31" s="140" t="s">
        <v>1002</v>
      </c>
      <c r="U31" s="140" t="s">
        <v>991</v>
      </c>
      <c r="V31" s="140" t="s">
        <v>1002</v>
      </c>
      <c r="W31" s="79" t="s">
        <v>28</v>
      </c>
      <c r="X31" s="135" t="str">
        <f t="shared" si="0"/>
        <v>BenPel</v>
      </c>
      <c r="Y31" s="135" t="str">
        <f t="shared" si="1"/>
        <v>Fus</v>
      </c>
      <c r="Z31" s="135" t="str">
        <f t="shared" si="2"/>
        <v>Temp</v>
      </c>
      <c r="AA31" s="135" t="str">
        <f t="shared" si="3"/>
        <v>M-B</v>
      </c>
      <c r="AB31" s="151">
        <v>44358</v>
      </c>
      <c r="AC31" s="101" t="s">
        <v>141</v>
      </c>
    </row>
    <row r="32" spans="2:29" ht="34" x14ac:dyDescent="0.2">
      <c r="B32" s="146" t="s">
        <v>991</v>
      </c>
      <c r="C32" s="140" t="s">
        <v>991</v>
      </c>
      <c r="D32" s="140" t="s">
        <v>1002</v>
      </c>
      <c r="E32" s="140" t="s">
        <v>1002</v>
      </c>
      <c r="F32" s="79" t="s">
        <v>994</v>
      </c>
      <c r="G32" s="80" t="s">
        <v>114</v>
      </c>
      <c r="H32" s="78" t="s">
        <v>204</v>
      </c>
      <c r="I32" s="78" t="s">
        <v>115</v>
      </c>
      <c r="J32" s="136" t="s">
        <v>113</v>
      </c>
      <c r="K32" s="141">
        <v>44358</v>
      </c>
      <c r="L32" s="101" t="s">
        <v>142</v>
      </c>
      <c r="S32" s="146" t="s">
        <v>991</v>
      </c>
      <c r="T32" s="140" t="s">
        <v>991</v>
      </c>
      <c r="U32" s="140" t="s">
        <v>1002</v>
      </c>
      <c r="V32" s="140" t="s">
        <v>1002</v>
      </c>
      <c r="W32" s="79" t="s">
        <v>994</v>
      </c>
      <c r="X32" s="135" t="str">
        <f t="shared" si="0"/>
        <v>BenPel</v>
      </c>
      <c r="Y32" s="135" t="str">
        <f t="shared" si="1"/>
        <v>Fus</v>
      </c>
      <c r="Z32" s="135" t="str">
        <f t="shared" si="2"/>
        <v>Subtr</v>
      </c>
      <c r="AA32" s="135" t="str">
        <f t="shared" si="3"/>
        <v>F-B</v>
      </c>
      <c r="AB32" s="151">
        <v>44358</v>
      </c>
      <c r="AC32" s="101" t="s">
        <v>142</v>
      </c>
    </row>
    <row r="33" spans="2:29" ht="51" x14ac:dyDescent="0.2">
      <c r="B33" s="146" t="s">
        <v>991</v>
      </c>
      <c r="C33" s="140" t="s">
        <v>991</v>
      </c>
      <c r="D33" s="140" t="s">
        <v>991</v>
      </c>
      <c r="E33" s="140" t="s">
        <v>991</v>
      </c>
      <c r="F33" s="79" t="s">
        <v>30</v>
      </c>
      <c r="G33" s="80" t="s">
        <v>114</v>
      </c>
      <c r="H33" s="78" t="s">
        <v>204</v>
      </c>
      <c r="I33" s="78" t="s">
        <v>115</v>
      </c>
      <c r="J33" s="136" t="s">
        <v>125</v>
      </c>
      <c r="K33" s="141">
        <v>44358</v>
      </c>
      <c r="L33" s="101" t="s">
        <v>143</v>
      </c>
      <c r="S33" s="146" t="s">
        <v>991</v>
      </c>
      <c r="T33" s="140" t="s">
        <v>991</v>
      </c>
      <c r="U33" s="140" t="s">
        <v>991</v>
      </c>
      <c r="V33" s="140" t="s">
        <v>991</v>
      </c>
      <c r="W33" s="79" t="s">
        <v>30</v>
      </c>
      <c r="X33" s="135" t="str">
        <f t="shared" si="0"/>
        <v>BenPel</v>
      </c>
      <c r="Y33" s="135" t="str">
        <f t="shared" si="1"/>
        <v>Fus</v>
      </c>
      <c r="Z33" s="135" t="str">
        <f t="shared" si="2"/>
        <v>Subtr</v>
      </c>
      <c r="AA33" s="135" t="str">
        <f t="shared" si="3"/>
        <v>M-F-B</v>
      </c>
      <c r="AB33" s="151">
        <v>44358</v>
      </c>
      <c r="AC33" s="101" t="s">
        <v>143</v>
      </c>
    </row>
    <row r="34" spans="2:29" ht="63" customHeight="1" x14ac:dyDescent="0.2">
      <c r="B34" s="146" t="s">
        <v>991</v>
      </c>
      <c r="C34" s="140" t="s">
        <v>991</v>
      </c>
      <c r="D34" s="140" t="s">
        <v>1002</v>
      </c>
      <c r="E34" s="140" t="s">
        <v>1002</v>
      </c>
      <c r="F34" s="142" t="s">
        <v>823</v>
      </c>
      <c r="G34" s="78" t="s">
        <v>114</v>
      </c>
      <c r="H34" s="78" t="s">
        <v>206</v>
      </c>
      <c r="I34" s="78" t="s">
        <v>115</v>
      </c>
      <c r="J34" s="78" t="s">
        <v>117</v>
      </c>
      <c r="K34" s="141">
        <v>44642</v>
      </c>
      <c r="L34" s="147" t="s">
        <v>980</v>
      </c>
      <c r="S34" s="146" t="s">
        <v>991</v>
      </c>
      <c r="T34" s="140" t="s">
        <v>991</v>
      </c>
      <c r="U34" s="140" t="s">
        <v>1002</v>
      </c>
      <c r="V34" s="140" t="s">
        <v>1002</v>
      </c>
      <c r="W34" s="142" t="s">
        <v>823</v>
      </c>
      <c r="X34" s="135" t="str">
        <f t="shared" si="0"/>
        <v>BenPel</v>
      </c>
      <c r="Y34" s="135" t="str">
        <f t="shared" si="1"/>
        <v>ShDe</v>
      </c>
      <c r="Z34" s="135" t="str">
        <f t="shared" si="2"/>
        <v>Subtr</v>
      </c>
      <c r="AA34" s="135" t="str">
        <f t="shared" si="3"/>
        <v>M</v>
      </c>
      <c r="AB34" s="151">
        <v>44642</v>
      </c>
      <c r="AC34" s="147" t="s">
        <v>980</v>
      </c>
    </row>
    <row r="35" spans="2:29" ht="17" x14ac:dyDescent="0.2">
      <c r="B35" s="146" t="s">
        <v>991</v>
      </c>
      <c r="C35" s="140" t="s">
        <v>991</v>
      </c>
      <c r="D35" s="140" t="s">
        <v>1002</v>
      </c>
      <c r="E35" s="140" t="s">
        <v>1002</v>
      </c>
      <c r="F35" s="79" t="s">
        <v>32</v>
      </c>
      <c r="G35" s="80" t="s">
        <v>114</v>
      </c>
      <c r="H35" s="78" t="s">
        <v>204</v>
      </c>
      <c r="I35" s="78" t="s">
        <v>121</v>
      </c>
      <c r="J35" s="136" t="s">
        <v>122</v>
      </c>
      <c r="K35" s="141">
        <v>44358</v>
      </c>
      <c r="L35" s="101" t="s">
        <v>144</v>
      </c>
      <c r="S35" s="146" t="s">
        <v>991</v>
      </c>
      <c r="T35" s="140" t="s">
        <v>991</v>
      </c>
      <c r="U35" s="140" t="s">
        <v>1002</v>
      </c>
      <c r="V35" s="140" t="s">
        <v>1002</v>
      </c>
      <c r="W35" s="79" t="s">
        <v>32</v>
      </c>
      <c r="X35" s="135" t="str">
        <f t="shared" ref="X35:X66" si="4">IF(G35="benthopelagic","BenPel", IF(G35="pelagic","Pel", IF(G35="reef-associated","ReefAs",IF(G35="demersal","Dem"))))</f>
        <v>BenPel</v>
      </c>
      <c r="Y35" s="135" t="str">
        <f t="shared" ref="Y35:Y66" si="5">IF(H35="fusiform","Fus", IF(H35="short/deep","ShDe", IF(H35="elongated","Elon",IF(H35="eel-like","Eel-l"))))</f>
        <v>Fus</v>
      </c>
      <c r="Z35" s="135" t="str">
        <f t="shared" ref="Z35:Z66" si="6">IF(I35="subtropical","Subtr", IF(I35="tropical","Trop", IF(I35="Polar","Pol",IF(I35="Temperate","Temp"))))</f>
        <v>Temp</v>
      </c>
      <c r="AA35" s="135" t="str">
        <f t="shared" ref="AA35:AA66" si="7">IF(J35="Freshwater; brackish","F-B",IF(J35="Marine; freshwater; brackish","M-F-B",IF(J35="Freshwater; brackish","F-B",IF(J35="Marine","M",IF(J35="Freshwater","F",IF(J35="Marine; brackish","M-B"))))))</f>
        <v>F</v>
      </c>
      <c r="AB35" s="151">
        <v>44358</v>
      </c>
      <c r="AC35" s="101" t="s">
        <v>144</v>
      </c>
    </row>
    <row r="36" spans="2:29" ht="17" x14ac:dyDescent="0.2">
      <c r="B36" s="146" t="s">
        <v>991</v>
      </c>
      <c r="C36" s="140" t="s">
        <v>991</v>
      </c>
      <c r="D36" s="140" t="s">
        <v>991</v>
      </c>
      <c r="E36" s="140" t="s">
        <v>991</v>
      </c>
      <c r="F36" s="79" t="s">
        <v>33</v>
      </c>
      <c r="G36" s="80" t="s">
        <v>118</v>
      </c>
      <c r="H36" s="78" t="s">
        <v>204</v>
      </c>
      <c r="I36" s="78" t="s">
        <v>119</v>
      </c>
      <c r="J36" s="136" t="s">
        <v>117</v>
      </c>
      <c r="K36" s="141">
        <v>44358</v>
      </c>
      <c r="L36" s="101" t="s">
        <v>145</v>
      </c>
      <c r="S36" s="146" t="s">
        <v>991</v>
      </c>
      <c r="T36" s="140" t="s">
        <v>991</v>
      </c>
      <c r="U36" s="140" t="s">
        <v>991</v>
      </c>
      <c r="V36" s="140" t="s">
        <v>991</v>
      </c>
      <c r="W36" s="79" t="s">
        <v>33</v>
      </c>
      <c r="X36" s="135" t="str">
        <f t="shared" si="4"/>
        <v>ReefAs</v>
      </c>
      <c r="Y36" s="135" t="str">
        <f t="shared" si="5"/>
        <v>Fus</v>
      </c>
      <c r="Z36" s="135" t="str">
        <f t="shared" si="6"/>
        <v>Trop</v>
      </c>
      <c r="AA36" s="135" t="str">
        <f t="shared" si="7"/>
        <v>M</v>
      </c>
      <c r="AB36" s="151">
        <v>44358</v>
      </c>
      <c r="AC36" s="101" t="s">
        <v>145</v>
      </c>
    </row>
    <row r="37" spans="2:29" ht="17" x14ac:dyDescent="0.2">
      <c r="B37" s="146" t="s">
        <v>991</v>
      </c>
      <c r="C37" s="140" t="s">
        <v>991</v>
      </c>
      <c r="D37" s="140" t="s">
        <v>991</v>
      </c>
      <c r="E37" s="140" t="s">
        <v>991</v>
      </c>
      <c r="F37" s="79" t="s">
        <v>34</v>
      </c>
      <c r="G37" s="80" t="s">
        <v>118</v>
      </c>
      <c r="H37" s="78" t="s">
        <v>204</v>
      </c>
      <c r="I37" s="78" t="s">
        <v>119</v>
      </c>
      <c r="J37" s="136" t="s">
        <v>117</v>
      </c>
      <c r="K37" s="141">
        <v>44358</v>
      </c>
      <c r="L37" s="101" t="s">
        <v>146</v>
      </c>
      <c r="S37" s="146" t="s">
        <v>991</v>
      </c>
      <c r="T37" s="140" t="s">
        <v>991</v>
      </c>
      <c r="U37" s="140" t="s">
        <v>991</v>
      </c>
      <c r="V37" s="140" t="s">
        <v>991</v>
      </c>
      <c r="W37" s="79" t="s">
        <v>34</v>
      </c>
      <c r="X37" s="135" t="str">
        <f t="shared" si="4"/>
        <v>ReefAs</v>
      </c>
      <c r="Y37" s="135" t="str">
        <f t="shared" si="5"/>
        <v>Fus</v>
      </c>
      <c r="Z37" s="135" t="str">
        <f t="shared" si="6"/>
        <v>Trop</v>
      </c>
      <c r="AA37" s="135" t="str">
        <f t="shared" si="7"/>
        <v>M</v>
      </c>
      <c r="AB37" s="151">
        <v>44358</v>
      </c>
      <c r="AC37" s="101" t="s">
        <v>146</v>
      </c>
    </row>
    <row r="38" spans="2:29" ht="17" x14ac:dyDescent="0.2">
      <c r="B38" s="146" t="s">
        <v>991</v>
      </c>
      <c r="C38" s="140" t="s">
        <v>991</v>
      </c>
      <c r="D38" s="140" t="s">
        <v>1002</v>
      </c>
      <c r="E38" s="140" t="s">
        <v>1002</v>
      </c>
      <c r="F38" s="79" t="s">
        <v>35</v>
      </c>
      <c r="G38" s="80" t="s">
        <v>126</v>
      </c>
      <c r="H38" s="78" t="s">
        <v>205</v>
      </c>
      <c r="I38" s="78" t="s">
        <v>121</v>
      </c>
      <c r="J38" s="136" t="s">
        <v>122</v>
      </c>
      <c r="K38" s="141">
        <v>44358</v>
      </c>
      <c r="L38" s="101" t="s">
        <v>147</v>
      </c>
      <c r="S38" s="146" t="s">
        <v>991</v>
      </c>
      <c r="T38" s="140" t="s">
        <v>991</v>
      </c>
      <c r="U38" s="140" t="s">
        <v>1002</v>
      </c>
      <c r="V38" s="140" t="s">
        <v>1002</v>
      </c>
      <c r="W38" s="79" t="s">
        <v>35</v>
      </c>
      <c r="X38" s="135" t="str">
        <f t="shared" si="4"/>
        <v>Dem</v>
      </c>
      <c r="Y38" s="135" t="str">
        <f t="shared" si="5"/>
        <v>Elon</v>
      </c>
      <c r="Z38" s="135" t="str">
        <f t="shared" si="6"/>
        <v>Temp</v>
      </c>
      <c r="AA38" s="135" t="str">
        <f t="shared" si="7"/>
        <v>F</v>
      </c>
      <c r="AB38" s="151">
        <v>44358</v>
      </c>
      <c r="AC38" s="101" t="s">
        <v>147</v>
      </c>
    </row>
    <row r="39" spans="2:29" ht="17" x14ac:dyDescent="0.2">
      <c r="B39" s="146" t="s">
        <v>991</v>
      </c>
      <c r="C39" s="140" t="s">
        <v>991</v>
      </c>
      <c r="D39" s="140" t="s">
        <v>1002</v>
      </c>
      <c r="E39" s="140" t="s">
        <v>1002</v>
      </c>
      <c r="F39" s="79" t="s">
        <v>36</v>
      </c>
      <c r="G39" s="80" t="s">
        <v>114</v>
      </c>
      <c r="H39" s="78" t="s">
        <v>204</v>
      </c>
      <c r="I39" s="78" t="s">
        <v>121</v>
      </c>
      <c r="J39" s="136" t="s">
        <v>122</v>
      </c>
      <c r="K39" s="141">
        <v>44358</v>
      </c>
      <c r="L39" s="101" t="s">
        <v>148</v>
      </c>
      <c r="S39" s="146" t="s">
        <v>991</v>
      </c>
      <c r="T39" s="140" t="s">
        <v>991</v>
      </c>
      <c r="U39" s="140" t="s">
        <v>1002</v>
      </c>
      <c r="V39" s="140" t="s">
        <v>1002</v>
      </c>
      <c r="W39" s="79" t="s">
        <v>36</v>
      </c>
      <c r="X39" s="135" t="str">
        <f t="shared" si="4"/>
        <v>BenPel</v>
      </c>
      <c r="Y39" s="135" t="str">
        <f t="shared" si="5"/>
        <v>Fus</v>
      </c>
      <c r="Z39" s="135" t="str">
        <f t="shared" si="6"/>
        <v>Temp</v>
      </c>
      <c r="AA39" s="135" t="str">
        <f t="shared" si="7"/>
        <v>F</v>
      </c>
      <c r="AB39" s="151">
        <v>44358</v>
      </c>
      <c r="AC39" s="101" t="s">
        <v>148</v>
      </c>
    </row>
    <row r="40" spans="2:29" ht="34" x14ac:dyDescent="0.2">
      <c r="B40" s="146" t="s">
        <v>1002</v>
      </c>
      <c r="C40" s="140" t="s">
        <v>991</v>
      </c>
      <c r="D40" s="140" t="s">
        <v>1002</v>
      </c>
      <c r="E40" s="140" t="s">
        <v>1002</v>
      </c>
      <c r="F40" s="79" t="s">
        <v>92</v>
      </c>
      <c r="G40" s="80" t="s">
        <v>114</v>
      </c>
      <c r="H40" s="78" t="s">
        <v>204</v>
      </c>
      <c r="I40" s="78" t="s">
        <v>119</v>
      </c>
      <c r="J40" s="136" t="s">
        <v>113</v>
      </c>
      <c r="K40" s="141">
        <v>44358</v>
      </c>
      <c r="L40" s="101" t="s">
        <v>149</v>
      </c>
      <c r="S40" s="146" t="s">
        <v>1002</v>
      </c>
      <c r="T40" s="140" t="s">
        <v>991</v>
      </c>
      <c r="U40" s="140" t="s">
        <v>1002</v>
      </c>
      <c r="V40" s="140" t="s">
        <v>1002</v>
      </c>
      <c r="W40" s="79" t="s">
        <v>92</v>
      </c>
      <c r="X40" s="135" t="str">
        <f t="shared" si="4"/>
        <v>BenPel</v>
      </c>
      <c r="Y40" s="135" t="str">
        <f t="shared" si="5"/>
        <v>Fus</v>
      </c>
      <c r="Z40" s="135" t="str">
        <f t="shared" si="6"/>
        <v>Trop</v>
      </c>
      <c r="AA40" s="135" t="str">
        <f t="shared" si="7"/>
        <v>F-B</v>
      </c>
      <c r="AB40" s="151">
        <v>44358</v>
      </c>
      <c r="AC40" s="101" t="s">
        <v>149</v>
      </c>
    </row>
    <row r="41" spans="2:29" x14ac:dyDescent="0.2">
      <c r="B41" s="146" t="s">
        <v>991</v>
      </c>
      <c r="C41" s="140" t="s">
        <v>991</v>
      </c>
      <c r="D41" s="140" t="s">
        <v>991</v>
      </c>
      <c r="E41" s="140" t="s">
        <v>991</v>
      </c>
      <c r="F41" s="142" t="s">
        <v>257</v>
      </c>
      <c r="G41" s="78" t="s">
        <v>118</v>
      </c>
      <c r="H41" s="78" t="s">
        <v>205</v>
      </c>
      <c r="I41" s="78" t="s">
        <v>119</v>
      </c>
      <c r="J41" s="78" t="s">
        <v>117</v>
      </c>
      <c r="K41" s="143">
        <v>44373</v>
      </c>
      <c r="L41" s="147" t="s">
        <v>279</v>
      </c>
      <c r="S41" s="146" t="s">
        <v>991</v>
      </c>
      <c r="T41" s="140" t="s">
        <v>991</v>
      </c>
      <c r="U41" s="140" t="s">
        <v>991</v>
      </c>
      <c r="V41" s="140" t="s">
        <v>991</v>
      </c>
      <c r="W41" s="142" t="s">
        <v>257</v>
      </c>
      <c r="X41" s="135" t="str">
        <f t="shared" si="4"/>
        <v>ReefAs</v>
      </c>
      <c r="Y41" s="135" t="str">
        <f t="shared" si="5"/>
        <v>Elon</v>
      </c>
      <c r="Z41" s="135" t="str">
        <f t="shared" si="6"/>
        <v>Trop</v>
      </c>
      <c r="AA41" s="135" t="str">
        <f t="shared" si="7"/>
        <v>M</v>
      </c>
      <c r="AB41" s="152">
        <v>44373</v>
      </c>
      <c r="AC41" s="147" t="s">
        <v>279</v>
      </c>
    </row>
    <row r="42" spans="2:29" ht="34" x14ac:dyDescent="0.2">
      <c r="B42" s="146" t="s">
        <v>991</v>
      </c>
      <c r="C42" s="140" t="s">
        <v>991</v>
      </c>
      <c r="D42" s="140" t="s">
        <v>1002</v>
      </c>
      <c r="E42" s="140" t="s">
        <v>1002</v>
      </c>
      <c r="F42" s="79" t="s">
        <v>37</v>
      </c>
      <c r="G42" s="80" t="s">
        <v>114</v>
      </c>
      <c r="H42" s="78" t="s">
        <v>204</v>
      </c>
      <c r="I42" s="78" t="s">
        <v>115</v>
      </c>
      <c r="J42" s="136" t="s">
        <v>113</v>
      </c>
      <c r="K42" s="141">
        <v>44358</v>
      </c>
      <c r="L42" s="101" t="s">
        <v>150</v>
      </c>
      <c r="S42" s="146" t="s">
        <v>991</v>
      </c>
      <c r="T42" s="140" t="s">
        <v>991</v>
      </c>
      <c r="U42" s="140" t="s">
        <v>1002</v>
      </c>
      <c r="V42" s="140" t="s">
        <v>1002</v>
      </c>
      <c r="W42" s="79" t="s">
        <v>37</v>
      </c>
      <c r="X42" s="135" t="str">
        <f t="shared" si="4"/>
        <v>BenPel</v>
      </c>
      <c r="Y42" s="135" t="str">
        <f t="shared" si="5"/>
        <v>Fus</v>
      </c>
      <c r="Z42" s="135" t="str">
        <f t="shared" si="6"/>
        <v>Subtr</v>
      </c>
      <c r="AA42" s="135" t="str">
        <f t="shared" si="7"/>
        <v>F-B</v>
      </c>
      <c r="AB42" s="151">
        <v>44358</v>
      </c>
      <c r="AC42" s="101" t="s">
        <v>150</v>
      </c>
    </row>
    <row r="43" spans="2:29" ht="34" x14ac:dyDescent="0.2">
      <c r="B43" s="146" t="s">
        <v>991</v>
      </c>
      <c r="C43" s="140" t="s">
        <v>991</v>
      </c>
      <c r="D43" s="140" t="s">
        <v>1002</v>
      </c>
      <c r="E43" s="140" t="s">
        <v>1002</v>
      </c>
      <c r="F43" s="79" t="s">
        <v>38</v>
      </c>
      <c r="G43" s="80" t="s">
        <v>114</v>
      </c>
      <c r="H43" s="78" t="s">
        <v>204</v>
      </c>
      <c r="I43" s="78" t="s">
        <v>121</v>
      </c>
      <c r="J43" s="136" t="s">
        <v>113</v>
      </c>
      <c r="K43" s="141">
        <v>44358</v>
      </c>
      <c r="L43" s="101" t="s">
        <v>151</v>
      </c>
      <c r="S43" s="146" t="s">
        <v>991</v>
      </c>
      <c r="T43" s="140" t="s">
        <v>991</v>
      </c>
      <c r="U43" s="140" t="s">
        <v>1002</v>
      </c>
      <c r="V43" s="140" t="s">
        <v>1002</v>
      </c>
      <c r="W43" s="79" t="s">
        <v>38</v>
      </c>
      <c r="X43" s="135" t="str">
        <f t="shared" si="4"/>
        <v>BenPel</v>
      </c>
      <c r="Y43" s="135" t="str">
        <f t="shared" si="5"/>
        <v>Fus</v>
      </c>
      <c r="Z43" s="135" t="str">
        <f t="shared" si="6"/>
        <v>Temp</v>
      </c>
      <c r="AA43" s="135" t="str">
        <f t="shared" si="7"/>
        <v>F-B</v>
      </c>
      <c r="AB43" s="151">
        <v>44358</v>
      </c>
      <c r="AC43" s="101" t="s">
        <v>151</v>
      </c>
    </row>
    <row r="44" spans="2:29" ht="51" x14ac:dyDescent="0.2">
      <c r="B44" s="146" t="s">
        <v>991</v>
      </c>
      <c r="C44" s="140" t="s">
        <v>991</v>
      </c>
      <c r="D44" s="140" t="s">
        <v>991</v>
      </c>
      <c r="E44" s="140" t="s">
        <v>991</v>
      </c>
      <c r="F44" s="79" t="s">
        <v>995</v>
      </c>
      <c r="G44" s="80" t="s">
        <v>126</v>
      </c>
      <c r="H44" s="78" t="s">
        <v>204</v>
      </c>
      <c r="I44" s="78" t="s">
        <v>119</v>
      </c>
      <c r="J44" s="136" t="s">
        <v>125</v>
      </c>
      <c r="K44" s="141">
        <v>44358</v>
      </c>
      <c r="L44" s="101" t="s">
        <v>152</v>
      </c>
      <c r="S44" s="146" t="s">
        <v>991</v>
      </c>
      <c r="T44" s="140" t="s">
        <v>991</v>
      </c>
      <c r="U44" s="140" t="s">
        <v>991</v>
      </c>
      <c r="V44" s="140" t="s">
        <v>991</v>
      </c>
      <c r="W44" s="79" t="s">
        <v>995</v>
      </c>
      <c r="X44" s="135" t="str">
        <f t="shared" si="4"/>
        <v>Dem</v>
      </c>
      <c r="Y44" s="135" t="str">
        <f t="shared" si="5"/>
        <v>Fus</v>
      </c>
      <c r="Z44" s="135" t="str">
        <f t="shared" si="6"/>
        <v>Trop</v>
      </c>
      <c r="AA44" s="135" t="str">
        <f t="shared" si="7"/>
        <v>M-F-B</v>
      </c>
      <c r="AB44" s="151">
        <v>44358</v>
      </c>
      <c r="AC44" s="101" t="s">
        <v>152</v>
      </c>
    </row>
    <row r="45" spans="2:29" ht="17" x14ac:dyDescent="0.2">
      <c r="B45" s="146" t="s">
        <v>991</v>
      </c>
      <c r="C45" s="140" t="s">
        <v>991</v>
      </c>
      <c r="D45" s="140" t="s">
        <v>991</v>
      </c>
      <c r="E45" s="140" t="s">
        <v>991</v>
      </c>
      <c r="F45" s="79" t="s">
        <v>41</v>
      </c>
      <c r="G45" s="80" t="s">
        <v>126</v>
      </c>
      <c r="H45" s="78" t="s">
        <v>204</v>
      </c>
      <c r="I45" s="78" t="s">
        <v>119</v>
      </c>
      <c r="J45" s="136" t="s">
        <v>122</v>
      </c>
      <c r="K45" s="141">
        <v>44358</v>
      </c>
      <c r="L45" s="101" t="s">
        <v>153</v>
      </c>
      <c r="S45" s="146" t="s">
        <v>991</v>
      </c>
      <c r="T45" s="140" t="s">
        <v>991</v>
      </c>
      <c r="U45" s="140" t="s">
        <v>991</v>
      </c>
      <c r="V45" s="140" t="s">
        <v>991</v>
      </c>
      <c r="W45" s="79" t="s">
        <v>41</v>
      </c>
      <c r="X45" s="135" t="str">
        <f t="shared" si="4"/>
        <v>Dem</v>
      </c>
      <c r="Y45" s="135" t="str">
        <f t="shared" si="5"/>
        <v>Fus</v>
      </c>
      <c r="Z45" s="135" t="str">
        <f t="shared" si="6"/>
        <v>Trop</v>
      </c>
      <c r="AA45" s="135" t="str">
        <f t="shared" si="7"/>
        <v>F</v>
      </c>
      <c r="AB45" s="151">
        <v>44358</v>
      </c>
      <c r="AC45" s="101" t="s">
        <v>153</v>
      </c>
    </row>
    <row r="46" spans="2:29" ht="17" x14ac:dyDescent="0.2">
      <c r="B46" s="146" t="s">
        <v>991</v>
      </c>
      <c r="C46" s="140" t="s">
        <v>991</v>
      </c>
      <c r="D46" s="140" t="s">
        <v>1002</v>
      </c>
      <c r="E46" s="140" t="s">
        <v>1002</v>
      </c>
      <c r="F46" s="79" t="s">
        <v>43</v>
      </c>
      <c r="G46" s="80" t="s">
        <v>114</v>
      </c>
      <c r="H46" s="82" t="s">
        <v>206</v>
      </c>
      <c r="I46" s="78" t="s">
        <v>115</v>
      </c>
      <c r="J46" s="136" t="s">
        <v>122</v>
      </c>
      <c r="K46" s="141">
        <v>44358</v>
      </c>
      <c r="L46" s="101" t="s">
        <v>154</v>
      </c>
      <c r="S46" s="146" t="s">
        <v>991</v>
      </c>
      <c r="T46" s="140" t="s">
        <v>991</v>
      </c>
      <c r="U46" s="140" t="s">
        <v>1002</v>
      </c>
      <c r="V46" s="140" t="s">
        <v>1002</v>
      </c>
      <c r="W46" s="79" t="s">
        <v>43</v>
      </c>
      <c r="X46" s="135" t="str">
        <f t="shared" si="4"/>
        <v>BenPel</v>
      </c>
      <c r="Y46" s="135" t="str">
        <f t="shared" si="5"/>
        <v>ShDe</v>
      </c>
      <c r="Z46" s="135" t="str">
        <f t="shared" si="6"/>
        <v>Subtr</v>
      </c>
      <c r="AA46" s="135" t="str">
        <f t="shared" si="7"/>
        <v>F</v>
      </c>
      <c r="AB46" s="151">
        <v>44358</v>
      </c>
      <c r="AC46" s="101" t="s">
        <v>154</v>
      </c>
    </row>
    <row r="47" spans="2:29" ht="17" x14ac:dyDescent="0.2">
      <c r="B47" s="146" t="s">
        <v>991</v>
      </c>
      <c r="C47" s="140" t="s">
        <v>991</v>
      </c>
      <c r="D47" s="140" t="s">
        <v>1002</v>
      </c>
      <c r="E47" s="140" t="s">
        <v>1002</v>
      </c>
      <c r="F47" s="79" t="s">
        <v>44</v>
      </c>
      <c r="G47" s="80" t="s">
        <v>126</v>
      </c>
      <c r="H47" s="78" t="s">
        <v>205</v>
      </c>
      <c r="I47" s="78" t="s">
        <v>121</v>
      </c>
      <c r="J47" s="136" t="s">
        <v>122</v>
      </c>
      <c r="K47" s="141">
        <v>44358</v>
      </c>
      <c r="L47" s="101" t="s">
        <v>155</v>
      </c>
      <c r="S47" s="146" t="s">
        <v>991</v>
      </c>
      <c r="T47" s="140" t="s">
        <v>991</v>
      </c>
      <c r="U47" s="140" t="s">
        <v>1002</v>
      </c>
      <c r="V47" s="140" t="s">
        <v>1002</v>
      </c>
      <c r="W47" s="79" t="s">
        <v>44</v>
      </c>
      <c r="X47" s="135" t="str">
        <f t="shared" si="4"/>
        <v>Dem</v>
      </c>
      <c r="Y47" s="135" t="str">
        <f t="shared" si="5"/>
        <v>Elon</v>
      </c>
      <c r="Z47" s="135" t="str">
        <f t="shared" si="6"/>
        <v>Temp</v>
      </c>
      <c r="AA47" s="135" t="str">
        <f t="shared" si="7"/>
        <v>F</v>
      </c>
      <c r="AB47" s="151">
        <v>44358</v>
      </c>
      <c r="AC47" s="101" t="s">
        <v>155</v>
      </c>
    </row>
    <row r="48" spans="2:29" ht="34" x14ac:dyDescent="0.2">
      <c r="B48" s="146" t="s">
        <v>991</v>
      </c>
      <c r="C48" s="140" t="s">
        <v>991</v>
      </c>
      <c r="D48" s="140" t="s">
        <v>1002</v>
      </c>
      <c r="E48" s="140" t="s">
        <v>1002</v>
      </c>
      <c r="F48" s="79" t="s">
        <v>45</v>
      </c>
      <c r="G48" s="80" t="s">
        <v>126</v>
      </c>
      <c r="H48" s="78" t="s">
        <v>205</v>
      </c>
      <c r="I48" s="78" t="s">
        <v>115</v>
      </c>
      <c r="J48" s="136" t="s">
        <v>113</v>
      </c>
      <c r="K48" s="141">
        <v>44358</v>
      </c>
      <c r="L48" s="101" t="s">
        <v>156</v>
      </c>
      <c r="S48" s="146" t="s">
        <v>991</v>
      </c>
      <c r="T48" s="140" t="s">
        <v>991</v>
      </c>
      <c r="U48" s="140" t="s">
        <v>1002</v>
      </c>
      <c r="V48" s="140" t="s">
        <v>1002</v>
      </c>
      <c r="W48" s="79" t="s">
        <v>45</v>
      </c>
      <c r="X48" s="135" t="str">
        <f t="shared" si="4"/>
        <v>Dem</v>
      </c>
      <c r="Y48" s="135" t="str">
        <f t="shared" si="5"/>
        <v>Elon</v>
      </c>
      <c r="Z48" s="135" t="str">
        <f t="shared" si="6"/>
        <v>Subtr</v>
      </c>
      <c r="AA48" s="135" t="str">
        <f t="shared" si="7"/>
        <v>F-B</v>
      </c>
      <c r="AB48" s="151">
        <v>44358</v>
      </c>
      <c r="AC48" s="101" t="s">
        <v>156</v>
      </c>
    </row>
    <row r="49" spans="2:29" ht="34" x14ac:dyDescent="0.2">
      <c r="B49" s="146" t="s">
        <v>991</v>
      </c>
      <c r="C49" s="140" t="s">
        <v>991</v>
      </c>
      <c r="D49" s="140" t="s">
        <v>1002</v>
      </c>
      <c r="E49" s="140" t="s">
        <v>1002</v>
      </c>
      <c r="F49" s="79" t="s">
        <v>46</v>
      </c>
      <c r="G49" s="80" t="s">
        <v>126</v>
      </c>
      <c r="H49" s="78" t="s">
        <v>204</v>
      </c>
      <c r="I49" s="78" t="s">
        <v>115</v>
      </c>
      <c r="J49" s="136" t="s">
        <v>113</v>
      </c>
      <c r="K49" s="141">
        <v>44358</v>
      </c>
      <c r="L49" s="101" t="s">
        <v>157</v>
      </c>
      <c r="S49" s="146" t="s">
        <v>991</v>
      </c>
      <c r="T49" s="140" t="s">
        <v>991</v>
      </c>
      <c r="U49" s="140" t="s">
        <v>1002</v>
      </c>
      <c r="V49" s="140" t="s">
        <v>1002</v>
      </c>
      <c r="W49" s="79" t="s">
        <v>46</v>
      </c>
      <c r="X49" s="135" t="str">
        <f t="shared" si="4"/>
        <v>Dem</v>
      </c>
      <c r="Y49" s="135" t="str">
        <f t="shared" si="5"/>
        <v>Fus</v>
      </c>
      <c r="Z49" s="135" t="str">
        <f t="shared" si="6"/>
        <v>Subtr</v>
      </c>
      <c r="AA49" s="135" t="str">
        <f t="shared" si="7"/>
        <v>F-B</v>
      </c>
      <c r="AB49" s="151">
        <v>44358</v>
      </c>
      <c r="AC49" s="101" t="s">
        <v>157</v>
      </c>
    </row>
    <row r="50" spans="2:29" x14ac:dyDescent="0.2">
      <c r="B50" s="146" t="s">
        <v>991</v>
      </c>
      <c r="C50" s="140" t="s">
        <v>1002</v>
      </c>
      <c r="D50" s="140" t="s">
        <v>1002</v>
      </c>
      <c r="E50" s="140" t="s">
        <v>1002</v>
      </c>
      <c r="F50" s="142" t="s">
        <v>973</v>
      </c>
      <c r="G50" s="78" t="s">
        <v>126</v>
      </c>
      <c r="H50" s="78" t="s">
        <v>204</v>
      </c>
      <c r="I50" s="78" t="s">
        <v>131</v>
      </c>
      <c r="J50" s="78" t="s">
        <v>129</v>
      </c>
      <c r="K50" s="141">
        <v>44642</v>
      </c>
      <c r="L50" s="147" t="s">
        <v>985</v>
      </c>
      <c r="S50" s="146" t="s">
        <v>991</v>
      </c>
      <c r="T50" s="140" t="s">
        <v>1002</v>
      </c>
      <c r="U50" s="140" t="s">
        <v>1002</v>
      </c>
      <c r="V50" s="140" t="s">
        <v>1002</v>
      </c>
      <c r="W50" s="142" t="s">
        <v>973</v>
      </c>
      <c r="X50" s="135" t="str">
        <f t="shared" si="4"/>
        <v>Dem</v>
      </c>
      <c r="Y50" s="135" t="str">
        <f t="shared" si="5"/>
        <v>Fus</v>
      </c>
      <c r="Z50" s="135" t="str">
        <f t="shared" si="6"/>
        <v>Pol</v>
      </c>
      <c r="AA50" s="135" t="str">
        <f t="shared" si="7"/>
        <v>M-B</v>
      </c>
      <c r="AB50" s="151">
        <v>44642</v>
      </c>
      <c r="AC50" s="147" t="s">
        <v>985</v>
      </c>
    </row>
    <row r="51" spans="2:29" ht="17" x14ac:dyDescent="0.2">
      <c r="B51" s="146" t="s">
        <v>991</v>
      </c>
      <c r="C51" s="140" t="s">
        <v>991</v>
      </c>
      <c r="D51" s="140" t="s">
        <v>1002</v>
      </c>
      <c r="E51" s="140" t="s">
        <v>1002</v>
      </c>
      <c r="F51" s="79" t="s">
        <v>48</v>
      </c>
      <c r="G51" s="80" t="s">
        <v>126</v>
      </c>
      <c r="H51" s="78" t="s">
        <v>204</v>
      </c>
      <c r="I51" s="78" t="s">
        <v>115</v>
      </c>
      <c r="J51" s="136" t="s">
        <v>122</v>
      </c>
      <c r="K51" s="141">
        <v>44358</v>
      </c>
      <c r="L51" s="101" t="s">
        <v>158</v>
      </c>
      <c r="S51" s="146" t="s">
        <v>991</v>
      </c>
      <c r="T51" s="140" t="s">
        <v>991</v>
      </c>
      <c r="U51" s="140" t="s">
        <v>1002</v>
      </c>
      <c r="V51" s="140" t="s">
        <v>1002</v>
      </c>
      <c r="W51" s="79" t="s">
        <v>48</v>
      </c>
      <c r="X51" s="135" t="str">
        <f t="shared" si="4"/>
        <v>Dem</v>
      </c>
      <c r="Y51" s="135" t="str">
        <f t="shared" si="5"/>
        <v>Fus</v>
      </c>
      <c r="Z51" s="135" t="str">
        <f t="shared" si="6"/>
        <v>Subtr</v>
      </c>
      <c r="AA51" s="135" t="str">
        <f t="shared" si="7"/>
        <v>F</v>
      </c>
      <c r="AB51" s="151">
        <v>44358</v>
      </c>
      <c r="AC51" s="101" t="s">
        <v>158</v>
      </c>
    </row>
    <row r="52" spans="2:29" ht="51" x14ac:dyDescent="0.2">
      <c r="B52" s="146" t="s">
        <v>991</v>
      </c>
      <c r="C52" s="140" t="s">
        <v>991</v>
      </c>
      <c r="D52" s="140" t="s">
        <v>991</v>
      </c>
      <c r="E52" s="140" t="s">
        <v>991</v>
      </c>
      <c r="F52" s="79" t="s">
        <v>49</v>
      </c>
      <c r="G52" s="80" t="s">
        <v>126</v>
      </c>
      <c r="H52" s="78" t="s">
        <v>204</v>
      </c>
      <c r="I52" s="78" t="s">
        <v>121</v>
      </c>
      <c r="J52" s="136" t="s">
        <v>125</v>
      </c>
      <c r="K52" s="141">
        <v>44358</v>
      </c>
      <c r="L52" s="101" t="s">
        <v>159</v>
      </c>
      <c r="S52" s="146" t="s">
        <v>991</v>
      </c>
      <c r="T52" s="140" t="s">
        <v>991</v>
      </c>
      <c r="U52" s="140" t="s">
        <v>991</v>
      </c>
      <c r="V52" s="140" t="s">
        <v>991</v>
      </c>
      <c r="W52" s="79" t="s">
        <v>49</v>
      </c>
      <c r="X52" s="135" t="str">
        <f t="shared" si="4"/>
        <v>Dem</v>
      </c>
      <c r="Y52" s="135" t="str">
        <f t="shared" si="5"/>
        <v>Fus</v>
      </c>
      <c r="Z52" s="135" t="str">
        <f t="shared" si="6"/>
        <v>Temp</v>
      </c>
      <c r="AA52" s="135" t="str">
        <f t="shared" si="7"/>
        <v>M-F-B</v>
      </c>
      <c r="AB52" s="151">
        <v>44358</v>
      </c>
      <c r="AC52" s="101" t="s">
        <v>159</v>
      </c>
    </row>
    <row r="53" spans="2:29" ht="17" x14ac:dyDescent="0.2">
      <c r="B53" s="146" t="s">
        <v>991</v>
      </c>
      <c r="C53" s="140" t="s">
        <v>1002</v>
      </c>
      <c r="D53" s="140" t="s">
        <v>991</v>
      </c>
      <c r="E53" s="140" t="s">
        <v>1002</v>
      </c>
      <c r="F53" s="79" t="s">
        <v>50</v>
      </c>
      <c r="G53" s="80" t="s">
        <v>126</v>
      </c>
      <c r="H53" s="78" t="s">
        <v>204</v>
      </c>
      <c r="I53" s="78" t="s">
        <v>131</v>
      </c>
      <c r="J53" s="136" t="s">
        <v>117</v>
      </c>
      <c r="K53" s="141">
        <v>44358</v>
      </c>
      <c r="L53" s="101" t="s">
        <v>160</v>
      </c>
      <c r="S53" s="146" t="s">
        <v>991</v>
      </c>
      <c r="T53" s="140" t="s">
        <v>1002</v>
      </c>
      <c r="U53" s="140" t="s">
        <v>991</v>
      </c>
      <c r="V53" s="140" t="s">
        <v>1002</v>
      </c>
      <c r="W53" s="79" t="s">
        <v>50</v>
      </c>
      <c r="X53" s="135" t="str">
        <f t="shared" si="4"/>
        <v>Dem</v>
      </c>
      <c r="Y53" s="135" t="str">
        <f t="shared" si="5"/>
        <v>Fus</v>
      </c>
      <c r="Z53" s="135" t="str">
        <f t="shared" si="6"/>
        <v>Pol</v>
      </c>
      <c r="AA53" s="135" t="str">
        <f t="shared" si="7"/>
        <v>M</v>
      </c>
      <c r="AB53" s="151">
        <v>44358</v>
      </c>
      <c r="AC53" s="101" t="s">
        <v>160</v>
      </c>
    </row>
    <row r="54" spans="2:29" ht="51" x14ac:dyDescent="0.2">
      <c r="B54" s="146" t="s">
        <v>991</v>
      </c>
      <c r="C54" s="140" t="s">
        <v>991</v>
      </c>
      <c r="D54" s="140" t="s">
        <v>991</v>
      </c>
      <c r="E54" s="140" t="s">
        <v>991</v>
      </c>
      <c r="F54" s="79" t="s">
        <v>996</v>
      </c>
      <c r="G54" s="80" t="s">
        <v>161</v>
      </c>
      <c r="H54" s="78" t="s">
        <v>204</v>
      </c>
      <c r="I54" s="78" t="s">
        <v>115</v>
      </c>
      <c r="J54" s="136" t="s">
        <v>125</v>
      </c>
      <c r="K54" s="141">
        <v>44358</v>
      </c>
      <c r="L54" s="101" t="s">
        <v>162</v>
      </c>
      <c r="S54" s="146" t="s">
        <v>991</v>
      </c>
      <c r="T54" s="140" t="s">
        <v>991</v>
      </c>
      <c r="U54" s="140" t="s">
        <v>991</v>
      </c>
      <c r="V54" s="140" t="s">
        <v>991</v>
      </c>
      <c r="W54" s="79" t="s">
        <v>996</v>
      </c>
      <c r="X54" s="135" t="str">
        <f t="shared" si="4"/>
        <v>Pel</v>
      </c>
      <c r="Y54" s="135" t="str">
        <f t="shared" si="5"/>
        <v>Fus</v>
      </c>
      <c r="Z54" s="135" t="str">
        <f t="shared" si="6"/>
        <v>Subtr</v>
      </c>
      <c r="AA54" s="135" t="str">
        <f t="shared" si="7"/>
        <v>M-F-B</v>
      </c>
      <c r="AB54" s="151">
        <v>44358</v>
      </c>
      <c r="AC54" s="101" t="s">
        <v>162</v>
      </c>
    </row>
    <row r="55" spans="2:29" ht="51" x14ac:dyDescent="0.2">
      <c r="B55" s="146" t="s">
        <v>991</v>
      </c>
      <c r="C55" s="140" t="s">
        <v>991</v>
      </c>
      <c r="D55" s="140" t="s">
        <v>991</v>
      </c>
      <c r="E55" s="140" t="s">
        <v>991</v>
      </c>
      <c r="F55" s="79" t="s">
        <v>52</v>
      </c>
      <c r="G55" s="80" t="s">
        <v>114</v>
      </c>
      <c r="H55" s="78" t="s">
        <v>204</v>
      </c>
      <c r="I55" s="78" t="s">
        <v>115</v>
      </c>
      <c r="J55" s="136" t="s">
        <v>125</v>
      </c>
      <c r="K55" s="141">
        <v>44358</v>
      </c>
      <c r="L55" s="101" t="s">
        <v>163</v>
      </c>
      <c r="S55" s="146" t="s">
        <v>991</v>
      </c>
      <c r="T55" s="140" t="s">
        <v>991</v>
      </c>
      <c r="U55" s="140" t="s">
        <v>991</v>
      </c>
      <c r="V55" s="140" t="s">
        <v>991</v>
      </c>
      <c r="W55" s="79" t="s">
        <v>52</v>
      </c>
      <c r="X55" s="135" t="str">
        <f t="shared" si="4"/>
        <v>BenPel</v>
      </c>
      <c r="Y55" s="135" t="str">
        <f t="shared" si="5"/>
        <v>Fus</v>
      </c>
      <c r="Z55" s="135" t="str">
        <f t="shared" si="6"/>
        <v>Subtr</v>
      </c>
      <c r="AA55" s="135" t="str">
        <f t="shared" si="7"/>
        <v>M-F-B</v>
      </c>
      <c r="AB55" s="151">
        <v>44358</v>
      </c>
      <c r="AC55" s="101" t="s">
        <v>163</v>
      </c>
    </row>
    <row r="56" spans="2:29" ht="51" x14ac:dyDescent="0.2">
      <c r="B56" s="146" t="s">
        <v>991</v>
      </c>
      <c r="C56" s="140" t="s">
        <v>991</v>
      </c>
      <c r="D56" s="140" t="s">
        <v>991</v>
      </c>
      <c r="E56" s="140" t="s">
        <v>991</v>
      </c>
      <c r="F56" s="79" t="s">
        <v>54</v>
      </c>
      <c r="G56" s="82" t="s">
        <v>161</v>
      </c>
      <c r="H56" s="78" t="s">
        <v>204</v>
      </c>
      <c r="I56" s="78" t="s">
        <v>121</v>
      </c>
      <c r="J56" s="136" t="s">
        <v>125</v>
      </c>
      <c r="K56" s="141">
        <v>44358</v>
      </c>
      <c r="L56" s="101" t="s">
        <v>164</v>
      </c>
      <c r="S56" s="146" t="s">
        <v>991</v>
      </c>
      <c r="T56" s="140" t="s">
        <v>991</v>
      </c>
      <c r="U56" s="140" t="s">
        <v>991</v>
      </c>
      <c r="V56" s="140" t="s">
        <v>991</v>
      </c>
      <c r="W56" s="79" t="s">
        <v>54</v>
      </c>
      <c r="X56" s="135" t="str">
        <f t="shared" si="4"/>
        <v>Pel</v>
      </c>
      <c r="Y56" s="135" t="str">
        <f t="shared" si="5"/>
        <v>Fus</v>
      </c>
      <c r="Z56" s="135" t="str">
        <f t="shared" si="6"/>
        <v>Temp</v>
      </c>
      <c r="AA56" s="135" t="str">
        <f t="shared" si="7"/>
        <v>M-F-B</v>
      </c>
      <c r="AB56" s="151">
        <v>44358</v>
      </c>
      <c r="AC56" s="101" t="s">
        <v>164</v>
      </c>
    </row>
    <row r="57" spans="2:29" ht="51" x14ac:dyDescent="0.2">
      <c r="B57" s="146" t="s">
        <v>991</v>
      </c>
      <c r="C57" s="140" t="s">
        <v>991</v>
      </c>
      <c r="D57" s="140" t="s">
        <v>991</v>
      </c>
      <c r="E57" s="140" t="s">
        <v>991</v>
      </c>
      <c r="F57" s="79" t="s">
        <v>55</v>
      </c>
      <c r="G57" s="80" t="s">
        <v>114</v>
      </c>
      <c r="H57" s="78" t="s">
        <v>204</v>
      </c>
      <c r="I57" s="78" t="s">
        <v>115</v>
      </c>
      <c r="J57" s="136" t="s">
        <v>125</v>
      </c>
      <c r="K57" s="141">
        <v>44358</v>
      </c>
      <c r="L57" s="101" t="s">
        <v>166</v>
      </c>
      <c r="S57" s="146" t="s">
        <v>991</v>
      </c>
      <c r="T57" s="140" t="s">
        <v>991</v>
      </c>
      <c r="U57" s="140" t="s">
        <v>991</v>
      </c>
      <c r="V57" s="140" t="s">
        <v>991</v>
      </c>
      <c r="W57" s="79" t="s">
        <v>55</v>
      </c>
      <c r="X57" s="135" t="str">
        <f t="shared" si="4"/>
        <v>BenPel</v>
      </c>
      <c r="Y57" s="135" t="str">
        <f t="shared" si="5"/>
        <v>Fus</v>
      </c>
      <c r="Z57" s="135" t="str">
        <f t="shared" si="6"/>
        <v>Subtr</v>
      </c>
      <c r="AA57" s="135" t="str">
        <f t="shared" si="7"/>
        <v>M-F-B</v>
      </c>
      <c r="AB57" s="151">
        <v>44358</v>
      </c>
      <c r="AC57" s="101" t="s">
        <v>166</v>
      </c>
    </row>
    <row r="58" spans="2:29" ht="17" x14ac:dyDescent="0.2">
      <c r="B58" s="146" t="s">
        <v>1002</v>
      </c>
      <c r="C58" s="140" t="s">
        <v>991</v>
      </c>
      <c r="D58" s="140" t="s">
        <v>1002</v>
      </c>
      <c r="E58" s="140" t="s">
        <v>1002</v>
      </c>
      <c r="F58" s="79" t="s">
        <v>95</v>
      </c>
      <c r="G58" s="80" t="s">
        <v>114</v>
      </c>
      <c r="H58" s="78" t="s">
        <v>205</v>
      </c>
      <c r="I58" s="78" t="s">
        <v>115</v>
      </c>
      <c r="J58" s="136" t="s">
        <v>122</v>
      </c>
      <c r="K58" s="141">
        <v>44358</v>
      </c>
      <c r="L58" s="101" t="s">
        <v>168</v>
      </c>
      <c r="S58" s="146" t="s">
        <v>1002</v>
      </c>
      <c r="T58" s="140" t="s">
        <v>991</v>
      </c>
      <c r="U58" s="140" t="s">
        <v>1002</v>
      </c>
      <c r="V58" s="140" t="s">
        <v>1002</v>
      </c>
      <c r="W58" s="79" t="s">
        <v>95</v>
      </c>
      <c r="X58" s="135" t="str">
        <f t="shared" si="4"/>
        <v>BenPel</v>
      </c>
      <c r="Y58" s="135" t="str">
        <f t="shared" si="5"/>
        <v>Elon</v>
      </c>
      <c r="Z58" s="135" t="str">
        <f t="shared" si="6"/>
        <v>Subtr</v>
      </c>
      <c r="AA58" s="135" t="str">
        <f t="shared" si="7"/>
        <v>F</v>
      </c>
      <c r="AB58" s="151">
        <v>44358</v>
      </c>
      <c r="AC58" s="101" t="s">
        <v>168</v>
      </c>
    </row>
    <row r="59" spans="2:29" ht="17" x14ac:dyDescent="0.2">
      <c r="B59" s="146" t="s">
        <v>1002</v>
      </c>
      <c r="C59" s="140" t="s">
        <v>991</v>
      </c>
      <c r="D59" s="140" t="s">
        <v>1002</v>
      </c>
      <c r="E59" s="140" t="s">
        <v>1002</v>
      </c>
      <c r="F59" s="79" t="s">
        <v>96</v>
      </c>
      <c r="G59" s="80" t="s">
        <v>114</v>
      </c>
      <c r="H59" s="78" t="s">
        <v>204</v>
      </c>
      <c r="I59" s="78" t="s">
        <v>121</v>
      </c>
      <c r="J59" s="136" t="s">
        <v>122</v>
      </c>
      <c r="K59" s="141">
        <v>44358</v>
      </c>
      <c r="L59" s="101" t="s">
        <v>169</v>
      </c>
      <c r="S59" s="146" t="s">
        <v>1002</v>
      </c>
      <c r="T59" s="140" t="s">
        <v>991</v>
      </c>
      <c r="U59" s="140" t="s">
        <v>1002</v>
      </c>
      <c r="V59" s="140" t="s">
        <v>1002</v>
      </c>
      <c r="W59" s="79" t="s">
        <v>96</v>
      </c>
      <c r="X59" s="135" t="str">
        <f t="shared" si="4"/>
        <v>BenPel</v>
      </c>
      <c r="Y59" s="135" t="str">
        <f t="shared" si="5"/>
        <v>Fus</v>
      </c>
      <c r="Z59" s="135" t="str">
        <f t="shared" si="6"/>
        <v>Temp</v>
      </c>
      <c r="AA59" s="135" t="str">
        <f t="shared" si="7"/>
        <v>F</v>
      </c>
      <c r="AB59" s="151">
        <v>44358</v>
      </c>
      <c r="AC59" s="101" t="s">
        <v>169</v>
      </c>
    </row>
    <row r="60" spans="2:29" ht="34" x14ac:dyDescent="0.2">
      <c r="B60" s="146" t="s">
        <v>991</v>
      </c>
      <c r="C60" s="140" t="s">
        <v>991</v>
      </c>
      <c r="D60" s="140" t="s">
        <v>1002</v>
      </c>
      <c r="E60" s="140" t="s">
        <v>991</v>
      </c>
      <c r="F60" s="79" t="s">
        <v>97</v>
      </c>
      <c r="G60" s="80" t="s">
        <v>114</v>
      </c>
      <c r="H60" s="78" t="s">
        <v>204</v>
      </c>
      <c r="I60" s="78" t="s">
        <v>171</v>
      </c>
      <c r="J60" s="136" t="s">
        <v>113</v>
      </c>
      <c r="K60" s="141">
        <v>44358</v>
      </c>
      <c r="L60" s="101" t="s">
        <v>170</v>
      </c>
      <c r="S60" s="146" t="s">
        <v>991</v>
      </c>
      <c r="T60" s="140" t="s">
        <v>991</v>
      </c>
      <c r="U60" s="140" t="s">
        <v>1002</v>
      </c>
      <c r="V60" s="140" t="s">
        <v>991</v>
      </c>
      <c r="W60" s="79" t="s">
        <v>97</v>
      </c>
      <c r="X60" s="135" t="str">
        <f t="shared" si="4"/>
        <v>BenPel</v>
      </c>
      <c r="Y60" s="135" t="str">
        <f t="shared" si="5"/>
        <v>Fus</v>
      </c>
      <c r="Z60" s="135" t="str">
        <f t="shared" si="6"/>
        <v>Trop</v>
      </c>
      <c r="AA60" s="135" t="str">
        <f t="shared" si="7"/>
        <v>F-B</v>
      </c>
      <c r="AB60" s="151">
        <v>44358</v>
      </c>
      <c r="AC60" s="101" t="s">
        <v>170</v>
      </c>
    </row>
    <row r="61" spans="2:29" ht="34" x14ac:dyDescent="0.2">
      <c r="B61" s="146" t="s">
        <v>1002</v>
      </c>
      <c r="C61" s="140" t="s">
        <v>991</v>
      </c>
      <c r="D61" s="140" t="s">
        <v>1002</v>
      </c>
      <c r="E61" s="140" t="s">
        <v>1002</v>
      </c>
      <c r="F61" s="79" t="s">
        <v>98</v>
      </c>
      <c r="G61" s="80" t="s">
        <v>114</v>
      </c>
      <c r="H61" s="78" t="s">
        <v>206</v>
      </c>
      <c r="I61" s="78" t="s">
        <v>121</v>
      </c>
      <c r="J61" s="136" t="s">
        <v>113</v>
      </c>
      <c r="K61" s="141">
        <v>44358</v>
      </c>
      <c r="L61" s="101" t="s">
        <v>173</v>
      </c>
      <c r="S61" s="146" t="s">
        <v>1002</v>
      </c>
      <c r="T61" s="140" t="s">
        <v>991</v>
      </c>
      <c r="U61" s="140" t="s">
        <v>1002</v>
      </c>
      <c r="V61" s="140" t="s">
        <v>1002</v>
      </c>
      <c r="W61" s="79" t="s">
        <v>98</v>
      </c>
      <c r="X61" s="135" t="str">
        <f t="shared" si="4"/>
        <v>BenPel</v>
      </c>
      <c r="Y61" s="135" t="str">
        <f t="shared" si="5"/>
        <v>ShDe</v>
      </c>
      <c r="Z61" s="135" t="str">
        <f t="shared" si="6"/>
        <v>Temp</v>
      </c>
      <c r="AA61" s="135" t="str">
        <f t="shared" si="7"/>
        <v>F-B</v>
      </c>
      <c r="AB61" s="151">
        <v>44358</v>
      </c>
      <c r="AC61" s="101" t="s">
        <v>173</v>
      </c>
    </row>
    <row r="62" spans="2:29" ht="17" x14ac:dyDescent="0.2">
      <c r="B62" s="146" t="s">
        <v>991</v>
      </c>
      <c r="C62" s="140" t="s">
        <v>991</v>
      </c>
      <c r="D62" s="140" t="s">
        <v>1002</v>
      </c>
      <c r="E62" s="140" t="s">
        <v>1002</v>
      </c>
      <c r="F62" s="79" t="s">
        <v>56</v>
      </c>
      <c r="G62" s="80" t="s">
        <v>126</v>
      </c>
      <c r="H62" s="78" t="s">
        <v>204</v>
      </c>
      <c r="I62" s="78" t="s">
        <v>115</v>
      </c>
      <c r="J62" s="136" t="s">
        <v>117</v>
      </c>
      <c r="K62" s="141">
        <v>44358</v>
      </c>
      <c r="L62" s="101" t="s">
        <v>172</v>
      </c>
      <c r="S62" s="146" t="s">
        <v>991</v>
      </c>
      <c r="T62" s="140" t="s">
        <v>991</v>
      </c>
      <c r="U62" s="140" t="s">
        <v>1002</v>
      </c>
      <c r="V62" s="140" t="s">
        <v>1002</v>
      </c>
      <c r="W62" s="79" t="s">
        <v>56</v>
      </c>
      <c r="X62" s="135" t="str">
        <f t="shared" si="4"/>
        <v>Dem</v>
      </c>
      <c r="Y62" s="135" t="str">
        <f t="shared" si="5"/>
        <v>Fus</v>
      </c>
      <c r="Z62" s="135" t="str">
        <f t="shared" si="6"/>
        <v>Subtr</v>
      </c>
      <c r="AA62" s="135" t="str">
        <f t="shared" si="7"/>
        <v>M</v>
      </c>
      <c r="AB62" s="151">
        <v>44358</v>
      </c>
      <c r="AC62" s="101" t="s">
        <v>172</v>
      </c>
    </row>
    <row r="63" spans="2:29" ht="34" x14ac:dyDescent="0.2">
      <c r="B63" s="146" t="s">
        <v>991</v>
      </c>
      <c r="C63" s="140" t="s">
        <v>991</v>
      </c>
      <c r="D63" s="140" t="s">
        <v>991</v>
      </c>
      <c r="E63" s="140" t="s">
        <v>991</v>
      </c>
      <c r="F63" s="79" t="s">
        <v>57</v>
      </c>
      <c r="G63" s="80" t="s">
        <v>126</v>
      </c>
      <c r="H63" s="78" t="s">
        <v>204</v>
      </c>
      <c r="I63" s="78" t="s">
        <v>121</v>
      </c>
      <c r="J63" s="136" t="s">
        <v>113</v>
      </c>
      <c r="K63" s="141">
        <v>44358</v>
      </c>
      <c r="L63" s="101" t="s">
        <v>175</v>
      </c>
      <c r="S63" s="146" t="s">
        <v>991</v>
      </c>
      <c r="T63" s="140" t="s">
        <v>991</v>
      </c>
      <c r="U63" s="140" t="s">
        <v>991</v>
      </c>
      <c r="V63" s="140" t="s">
        <v>991</v>
      </c>
      <c r="W63" s="79" t="s">
        <v>57</v>
      </c>
      <c r="X63" s="135" t="str">
        <f t="shared" si="4"/>
        <v>Dem</v>
      </c>
      <c r="Y63" s="135" t="str">
        <f t="shared" si="5"/>
        <v>Fus</v>
      </c>
      <c r="Z63" s="135" t="str">
        <f t="shared" si="6"/>
        <v>Temp</v>
      </c>
      <c r="AA63" s="135" t="str">
        <f t="shared" si="7"/>
        <v>F-B</v>
      </c>
      <c r="AB63" s="151">
        <v>44358</v>
      </c>
      <c r="AC63" s="101" t="s">
        <v>175</v>
      </c>
    </row>
    <row r="64" spans="2:29" ht="52" customHeight="1" x14ac:dyDescent="0.2">
      <c r="B64" s="146" t="s">
        <v>991</v>
      </c>
      <c r="C64" s="140" t="s">
        <v>991</v>
      </c>
      <c r="D64" s="140" t="s">
        <v>1002</v>
      </c>
      <c r="E64" s="140" t="s">
        <v>1002</v>
      </c>
      <c r="F64" s="79" t="s">
        <v>59</v>
      </c>
      <c r="G64" s="80" t="s">
        <v>114</v>
      </c>
      <c r="H64" s="78" t="s">
        <v>205</v>
      </c>
      <c r="I64" s="78" t="s">
        <v>115</v>
      </c>
      <c r="J64" s="136" t="s">
        <v>122</v>
      </c>
      <c r="K64" s="141">
        <v>44358</v>
      </c>
      <c r="L64" s="101" t="s">
        <v>174</v>
      </c>
      <c r="S64" s="146" t="s">
        <v>991</v>
      </c>
      <c r="T64" s="140" t="s">
        <v>991</v>
      </c>
      <c r="U64" s="140" t="s">
        <v>1002</v>
      </c>
      <c r="V64" s="140" t="s">
        <v>1002</v>
      </c>
      <c r="W64" s="79" t="s">
        <v>59</v>
      </c>
      <c r="X64" s="135" t="str">
        <f t="shared" si="4"/>
        <v>BenPel</v>
      </c>
      <c r="Y64" s="135" t="str">
        <f t="shared" si="5"/>
        <v>Elon</v>
      </c>
      <c r="Z64" s="135" t="str">
        <f t="shared" si="6"/>
        <v>Subtr</v>
      </c>
      <c r="AA64" s="135" t="str">
        <f t="shared" si="7"/>
        <v>F</v>
      </c>
      <c r="AB64" s="151">
        <v>44358</v>
      </c>
      <c r="AC64" s="101" t="s">
        <v>174</v>
      </c>
    </row>
    <row r="65" spans="2:29" ht="34" x14ac:dyDescent="0.2">
      <c r="B65" s="146" t="s">
        <v>991</v>
      </c>
      <c r="C65" s="140" t="s">
        <v>991</v>
      </c>
      <c r="D65" s="140" t="s">
        <v>1002</v>
      </c>
      <c r="E65" s="140" t="s">
        <v>1002</v>
      </c>
      <c r="F65" s="79" t="s">
        <v>60</v>
      </c>
      <c r="G65" s="80" t="s">
        <v>126</v>
      </c>
      <c r="H65" s="78" t="s">
        <v>204</v>
      </c>
      <c r="I65" s="78" t="s">
        <v>121</v>
      </c>
      <c r="J65" s="136" t="s">
        <v>113</v>
      </c>
      <c r="K65" s="141">
        <v>44358</v>
      </c>
      <c r="L65" s="101" t="s">
        <v>176</v>
      </c>
      <c r="S65" s="146" t="s">
        <v>991</v>
      </c>
      <c r="T65" s="140" t="s">
        <v>991</v>
      </c>
      <c r="U65" s="140" t="s">
        <v>1002</v>
      </c>
      <c r="V65" s="140" t="s">
        <v>1002</v>
      </c>
      <c r="W65" s="79" t="s">
        <v>60</v>
      </c>
      <c r="X65" s="135" t="str">
        <f t="shared" si="4"/>
        <v>Dem</v>
      </c>
      <c r="Y65" s="135" t="str">
        <f t="shared" si="5"/>
        <v>Fus</v>
      </c>
      <c r="Z65" s="135" t="str">
        <f t="shared" si="6"/>
        <v>Temp</v>
      </c>
      <c r="AA65" s="135" t="str">
        <f t="shared" si="7"/>
        <v>F-B</v>
      </c>
      <c r="AB65" s="151">
        <v>44358</v>
      </c>
      <c r="AC65" s="101" t="s">
        <v>176</v>
      </c>
    </row>
    <row r="66" spans="2:29" ht="17" x14ac:dyDescent="0.2">
      <c r="B66" s="146" t="s">
        <v>1002</v>
      </c>
      <c r="C66" s="140" t="s">
        <v>991</v>
      </c>
      <c r="D66" s="140" t="s">
        <v>1002</v>
      </c>
      <c r="E66" s="140" t="s">
        <v>991</v>
      </c>
      <c r="F66" s="79" t="s">
        <v>101</v>
      </c>
      <c r="G66" s="80" t="s">
        <v>126</v>
      </c>
      <c r="H66" s="78" t="s">
        <v>206</v>
      </c>
      <c r="I66" s="78" t="s">
        <v>115</v>
      </c>
      <c r="J66" s="136" t="s">
        <v>122</v>
      </c>
      <c r="K66" s="141">
        <v>44358</v>
      </c>
      <c r="L66" s="101" t="s">
        <v>177</v>
      </c>
      <c r="S66" s="146" t="s">
        <v>1002</v>
      </c>
      <c r="T66" s="140" t="s">
        <v>991</v>
      </c>
      <c r="U66" s="140" t="s">
        <v>1002</v>
      </c>
      <c r="V66" s="140" t="s">
        <v>991</v>
      </c>
      <c r="W66" s="79" t="s">
        <v>101</v>
      </c>
      <c r="X66" s="135" t="str">
        <f t="shared" si="4"/>
        <v>Dem</v>
      </c>
      <c r="Y66" s="135" t="str">
        <f t="shared" si="5"/>
        <v>ShDe</v>
      </c>
      <c r="Z66" s="135" t="str">
        <f t="shared" si="6"/>
        <v>Subtr</v>
      </c>
      <c r="AA66" s="135" t="str">
        <f t="shared" si="7"/>
        <v>F</v>
      </c>
      <c r="AB66" s="151">
        <v>44358</v>
      </c>
      <c r="AC66" s="101" t="s">
        <v>177</v>
      </c>
    </row>
    <row r="67" spans="2:29" x14ac:dyDescent="0.2">
      <c r="B67" s="146" t="s">
        <v>991</v>
      </c>
      <c r="C67" s="140" t="s">
        <v>1002</v>
      </c>
      <c r="D67" s="140" t="s">
        <v>1002</v>
      </c>
      <c r="E67" s="140" t="s">
        <v>1002</v>
      </c>
      <c r="F67" s="142" t="s">
        <v>258</v>
      </c>
      <c r="G67" s="78" t="s">
        <v>126</v>
      </c>
      <c r="H67" s="78" t="s">
        <v>206</v>
      </c>
      <c r="I67" s="78" t="s">
        <v>121</v>
      </c>
      <c r="J67" s="78" t="s">
        <v>125</v>
      </c>
      <c r="K67" s="143">
        <v>44373</v>
      </c>
      <c r="L67" s="147" t="s">
        <v>272</v>
      </c>
      <c r="S67" s="146" t="s">
        <v>991</v>
      </c>
      <c r="T67" s="140" t="s">
        <v>1002</v>
      </c>
      <c r="U67" s="140" t="s">
        <v>1002</v>
      </c>
      <c r="V67" s="140" t="s">
        <v>1002</v>
      </c>
      <c r="W67" s="142" t="s">
        <v>258</v>
      </c>
      <c r="X67" s="135" t="str">
        <f t="shared" ref="X67:X96" si="8">IF(G67="benthopelagic","BenPel", IF(G67="pelagic","Pel", IF(G67="reef-associated","ReefAs",IF(G67="demersal","Dem"))))</f>
        <v>Dem</v>
      </c>
      <c r="Y67" s="135" t="str">
        <f t="shared" ref="Y67:Y91" si="9">IF(H67="fusiform","Fus", IF(H67="short/deep","ShDe", IF(H67="elongated","Elon",IF(H67="eel-like","Eel-l"))))</f>
        <v>ShDe</v>
      </c>
      <c r="Z67" s="135" t="str">
        <f t="shared" ref="Z67:Z96" si="10">IF(I67="subtropical","Subtr", IF(I67="tropical","Trop", IF(I67="Polar","Pol",IF(I67="Temperate","Temp"))))</f>
        <v>Temp</v>
      </c>
      <c r="AA67" s="135" t="str">
        <f t="shared" ref="AA67:AA96" si="11">IF(J67="Freshwater; brackish","F-B",IF(J67="Marine; freshwater; brackish","M-F-B",IF(J67="Freshwater; brackish","F-B",IF(J67="Marine","M",IF(J67="Freshwater","F",IF(J67="Marine; brackish","M-B"))))))</f>
        <v>M-F-B</v>
      </c>
      <c r="AB67" s="152">
        <v>44373</v>
      </c>
      <c r="AC67" s="147" t="s">
        <v>272</v>
      </c>
    </row>
    <row r="68" spans="2:29" ht="34" x14ac:dyDescent="0.2">
      <c r="B68" s="146" t="s">
        <v>1002</v>
      </c>
      <c r="C68" s="140" t="s">
        <v>991</v>
      </c>
      <c r="D68" s="140" t="s">
        <v>1002</v>
      </c>
      <c r="E68" s="140" t="s">
        <v>1002</v>
      </c>
      <c r="F68" s="79" t="s">
        <v>102</v>
      </c>
      <c r="G68" s="80" t="s">
        <v>114</v>
      </c>
      <c r="H68" s="78" t="s">
        <v>204</v>
      </c>
      <c r="I68" s="78" t="s">
        <v>119</v>
      </c>
      <c r="J68" s="136" t="s">
        <v>113</v>
      </c>
      <c r="K68" s="141">
        <v>44358</v>
      </c>
      <c r="L68" s="101" t="s">
        <v>180</v>
      </c>
      <c r="S68" s="146" t="s">
        <v>1002</v>
      </c>
      <c r="T68" s="140" t="s">
        <v>991</v>
      </c>
      <c r="U68" s="140" t="s">
        <v>1002</v>
      </c>
      <c r="V68" s="140" t="s">
        <v>1002</v>
      </c>
      <c r="W68" s="79" t="s">
        <v>102</v>
      </c>
      <c r="X68" s="135" t="str">
        <f t="shared" si="8"/>
        <v>BenPel</v>
      </c>
      <c r="Y68" s="135" t="str">
        <f t="shared" si="9"/>
        <v>Fus</v>
      </c>
      <c r="Z68" s="135" t="str">
        <f t="shared" si="10"/>
        <v>Trop</v>
      </c>
      <c r="AA68" s="135" t="str">
        <f t="shared" si="11"/>
        <v>F-B</v>
      </c>
      <c r="AB68" s="151">
        <v>44358</v>
      </c>
      <c r="AC68" s="101" t="s">
        <v>180</v>
      </c>
    </row>
    <row r="69" spans="2:29" ht="17" x14ac:dyDescent="0.2">
      <c r="B69" s="146" t="s">
        <v>991</v>
      </c>
      <c r="C69" s="140" t="s">
        <v>1002</v>
      </c>
      <c r="D69" s="140" t="s">
        <v>1002</v>
      </c>
      <c r="E69" s="140" t="s">
        <v>1002</v>
      </c>
      <c r="F69" s="79" t="s">
        <v>62</v>
      </c>
      <c r="G69" s="80" t="s">
        <v>126</v>
      </c>
      <c r="H69" s="78" t="s">
        <v>204</v>
      </c>
      <c r="I69" s="78" t="s">
        <v>115</v>
      </c>
      <c r="J69" s="136" t="s">
        <v>117</v>
      </c>
      <c r="K69" s="141">
        <v>44358</v>
      </c>
      <c r="L69" s="101" t="s">
        <v>178</v>
      </c>
      <c r="S69" s="146" t="s">
        <v>991</v>
      </c>
      <c r="T69" s="140" t="s">
        <v>1002</v>
      </c>
      <c r="U69" s="140" t="s">
        <v>1002</v>
      </c>
      <c r="V69" s="140" t="s">
        <v>1002</v>
      </c>
      <c r="W69" s="79" t="s">
        <v>62</v>
      </c>
      <c r="X69" s="135" t="str">
        <f t="shared" si="8"/>
        <v>Dem</v>
      </c>
      <c r="Y69" s="135" t="str">
        <f t="shared" si="9"/>
        <v>Fus</v>
      </c>
      <c r="Z69" s="135" t="str">
        <f t="shared" si="10"/>
        <v>Subtr</v>
      </c>
      <c r="AA69" s="135" t="str">
        <f t="shared" si="11"/>
        <v>M</v>
      </c>
      <c r="AB69" s="151">
        <v>44358</v>
      </c>
      <c r="AC69" s="101" t="s">
        <v>178</v>
      </c>
    </row>
    <row r="70" spans="2:29" ht="17" x14ac:dyDescent="0.2">
      <c r="B70" s="146" t="s">
        <v>991</v>
      </c>
      <c r="C70" s="140" t="s">
        <v>991</v>
      </c>
      <c r="D70" s="140" t="s">
        <v>1002</v>
      </c>
      <c r="E70" s="140" t="s">
        <v>1002</v>
      </c>
      <c r="F70" s="79" t="s">
        <v>64</v>
      </c>
      <c r="G70" s="80" t="s">
        <v>118</v>
      </c>
      <c r="H70" s="78" t="s">
        <v>206</v>
      </c>
      <c r="I70" s="78" t="s">
        <v>119</v>
      </c>
      <c r="J70" s="136" t="s">
        <v>117</v>
      </c>
      <c r="K70" s="141">
        <v>44358</v>
      </c>
      <c r="L70" s="101" t="s">
        <v>179</v>
      </c>
      <c r="S70" s="146" t="s">
        <v>991</v>
      </c>
      <c r="T70" s="140" t="s">
        <v>991</v>
      </c>
      <c r="U70" s="140" t="s">
        <v>1002</v>
      </c>
      <c r="V70" s="140" t="s">
        <v>1002</v>
      </c>
      <c r="W70" s="79" t="s">
        <v>64</v>
      </c>
      <c r="X70" s="135" t="str">
        <f t="shared" si="8"/>
        <v>ReefAs</v>
      </c>
      <c r="Y70" s="135" t="str">
        <f t="shared" si="9"/>
        <v>ShDe</v>
      </c>
      <c r="Z70" s="135" t="str">
        <f t="shared" si="10"/>
        <v>Trop</v>
      </c>
      <c r="AA70" s="135" t="str">
        <f t="shared" si="11"/>
        <v>M</v>
      </c>
      <c r="AB70" s="151">
        <v>44358</v>
      </c>
      <c r="AC70" s="101" t="s">
        <v>179</v>
      </c>
    </row>
    <row r="71" spans="2:29" ht="17" x14ac:dyDescent="0.2">
      <c r="B71" s="146" t="s">
        <v>991</v>
      </c>
      <c r="C71" s="140" t="s">
        <v>991</v>
      </c>
      <c r="D71" s="140" t="s">
        <v>1002</v>
      </c>
      <c r="E71" s="140" t="s">
        <v>1002</v>
      </c>
      <c r="F71" s="79" t="s">
        <v>65</v>
      </c>
      <c r="G71" s="80" t="s">
        <v>114</v>
      </c>
      <c r="H71" s="78" t="s">
        <v>205</v>
      </c>
      <c r="I71" s="78" t="s">
        <v>115</v>
      </c>
      <c r="J71" s="136" t="s">
        <v>122</v>
      </c>
      <c r="K71" s="141">
        <v>44358</v>
      </c>
      <c r="L71" s="101" t="s">
        <v>184</v>
      </c>
      <c r="S71" s="146" t="s">
        <v>991</v>
      </c>
      <c r="T71" s="140" t="s">
        <v>991</v>
      </c>
      <c r="U71" s="140" t="s">
        <v>1002</v>
      </c>
      <c r="V71" s="140" t="s">
        <v>1002</v>
      </c>
      <c r="W71" s="79" t="s">
        <v>65</v>
      </c>
      <c r="X71" s="135" t="str">
        <f t="shared" si="8"/>
        <v>BenPel</v>
      </c>
      <c r="Y71" s="135" t="str">
        <f t="shared" si="9"/>
        <v>Elon</v>
      </c>
      <c r="Z71" s="135" t="str">
        <f t="shared" si="10"/>
        <v>Subtr</v>
      </c>
      <c r="AA71" s="135" t="str">
        <f t="shared" si="11"/>
        <v>F</v>
      </c>
      <c r="AB71" s="151">
        <v>44358</v>
      </c>
      <c r="AC71" s="101" t="s">
        <v>184</v>
      </c>
    </row>
    <row r="72" spans="2:29" ht="17" x14ac:dyDescent="0.2">
      <c r="B72" s="146" t="s">
        <v>991</v>
      </c>
      <c r="C72" s="140" t="s">
        <v>991</v>
      </c>
      <c r="D72" s="140" t="s">
        <v>1002</v>
      </c>
      <c r="E72" s="140" t="s">
        <v>1002</v>
      </c>
      <c r="F72" s="79" t="s">
        <v>66</v>
      </c>
      <c r="G72" s="80" t="s">
        <v>126</v>
      </c>
      <c r="H72" s="78" t="s">
        <v>205</v>
      </c>
      <c r="I72" s="78" t="s">
        <v>115</v>
      </c>
      <c r="J72" s="136" t="s">
        <v>122</v>
      </c>
      <c r="K72" s="141">
        <v>44358</v>
      </c>
      <c r="L72" s="101" t="s">
        <v>181</v>
      </c>
      <c r="S72" s="146" t="s">
        <v>991</v>
      </c>
      <c r="T72" s="140" t="s">
        <v>991</v>
      </c>
      <c r="U72" s="140" t="s">
        <v>1002</v>
      </c>
      <c r="V72" s="140" t="s">
        <v>1002</v>
      </c>
      <c r="W72" s="79" t="s">
        <v>66</v>
      </c>
      <c r="X72" s="135" t="str">
        <f t="shared" si="8"/>
        <v>Dem</v>
      </c>
      <c r="Y72" s="135" t="str">
        <f t="shared" si="9"/>
        <v>Elon</v>
      </c>
      <c r="Z72" s="135" t="str">
        <f t="shared" si="10"/>
        <v>Subtr</v>
      </c>
      <c r="AA72" s="135" t="str">
        <f t="shared" si="11"/>
        <v>F</v>
      </c>
      <c r="AB72" s="151">
        <v>44358</v>
      </c>
      <c r="AC72" s="101" t="s">
        <v>181</v>
      </c>
    </row>
    <row r="73" spans="2:29" ht="34" x14ac:dyDescent="0.2">
      <c r="B73" s="146" t="s">
        <v>991</v>
      </c>
      <c r="C73" s="140" t="s">
        <v>991</v>
      </c>
      <c r="D73" s="140" t="s">
        <v>1002</v>
      </c>
      <c r="E73" s="140" t="s">
        <v>1002</v>
      </c>
      <c r="F73" s="79" t="s">
        <v>67</v>
      </c>
      <c r="G73" s="80" t="s">
        <v>114</v>
      </c>
      <c r="H73" s="78" t="s">
        <v>204</v>
      </c>
      <c r="I73" s="78" t="s">
        <v>121</v>
      </c>
      <c r="J73" s="136" t="s">
        <v>113</v>
      </c>
      <c r="K73" s="141">
        <v>44358</v>
      </c>
      <c r="L73" s="101" t="s">
        <v>182</v>
      </c>
      <c r="S73" s="146" t="s">
        <v>991</v>
      </c>
      <c r="T73" s="140" t="s">
        <v>991</v>
      </c>
      <c r="U73" s="140" t="s">
        <v>1002</v>
      </c>
      <c r="V73" s="140" t="s">
        <v>1002</v>
      </c>
      <c r="W73" s="79" t="s">
        <v>67</v>
      </c>
      <c r="X73" s="135" t="str">
        <f t="shared" si="8"/>
        <v>BenPel</v>
      </c>
      <c r="Y73" s="135" t="str">
        <f t="shared" si="9"/>
        <v>Fus</v>
      </c>
      <c r="Z73" s="135" t="str">
        <f t="shared" si="10"/>
        <v>Temp</v>
      </c>
      <c r="AA73" s="135" t="str">
        <f t="shared" si="11"/>
        <v>F-B</v>
      </c>
      <c r="AB73" s="151">
        <v>44358</v>
      </c>
      <c r="AC73" s="101" t="s">
        <v>182</v>
      </c>
    </row>
    <row r="74" spans="2:29" ht="51" x14ac:dyDescent="0.2">
      <c r="B74" s="146" t="s">
        <v>991</v>
      </c>
      <c r="C74" s="140" t="s">
        <v>991</v>
      </c>
      <c r="D74" s="140" t="s">
        <v>1002</v>
      </c>
      <c r="E74" s="140" t="s">
        <v>1002</v>
      </c>
      <c r="F74" s="79" t="s">
        <v>68</v>
      </c>
      <c r="G74" s="80" t="s">
        <v>126</v>
      </c>
      <c r="H74" s="78" t="s">
        <v>204</v>
      </c>
      <c r="I74" s="78" t="s">
        <v>115</v>
      </c>
      <c r="J74" s="136" t="s">
        <v>125</v>
      </c>
      <c r="K74" s="141">
        <v>44358</v>
      </c>
      <c r="L74" s="101" t="s">
        <v>183</v>
      </c>
      <c r="S74" s="146" t="s">
        <v>991</v>
      </c>
      <c r="T74" s="140" t="s">
        <v>991</v>
      </c>
      <c r="U74" s="140" t="s">
        <v>1002</v>
      </c>
      <c r="V74" s="140" t="s">
        <v>1002</v>
      </c>
      <c r="W74" s="79" t="s">
        <v>68</v>
      </c>
      <c r="X74" s="135" t="str">
        <f t="shared" si="8"/>
        <v>Dem</v>
      </c>
      <c r="Y74" s="135" t="str">
        <f t="shared" si="9"/>
        <v>Fus</v>
      </c>
      <c r="Z74" s="135" t="str">
        <f t="shared" si="10"/>
        <v>Subtr</v>
      </c>
      <c r="AA74" s="135" t="str">
        <f t="shared" si="11"/>
        <v>M-F-B</v>
      </c>
      <c r="AB74" s="151">
        <v>44358</v>
      </c>
      <c r="AC74" s="101" t="s">
        <v>183</v>
      </c>
    </row>
    <row r="75" spans="2:29" ht="34" x14ac:dyDescent="0.2">
      <c r="B75" s="146" t="s">
        <v>991</v>
      </c>
      <c r="C75" s="140" t="s">
        <v>991</v>
      </c>
      <c r="D75" s="140" t="s">
        <v>1002</v>
      </c>
      <c r="E75" s="140" t="s">
        <v>1002</v>
      </c>
      <c r="F75" s="79" t="s">
        <v>69</v>
      </c>
      <c r="G75" s="80" t="s">
        <v>114</v>
      </c>
      <c r="H75" s="78" t="s">
        <v>204</v>
      </c>
      <c r="I75" s="78" t="s">
        <v>115</v>
      </c>
      <c r="J75" s="136" t="s">
        <v>113</v>
      </c>
      <c r="K75" s="141">
        <v>44358</v>
      </c>
      <c r="L75" s="102" t="s">
        <v>185</v>
      </c>
      <c r="S75" s="146" t="s">
        <v>991</v>
      </c>
      <c r="T75" s="140" t="s">
        <v>991</v>
      </c>
      <c r="U75" s="140" t="s">
        <v>1002</v>
      </c>
      <c r="V75" s="140" t="s">
        <v>1002</v>
      </c>
      <c r="W75" s="79" t="s">
        <v>69</v>
      </c>
      <c r="X75" s="135" t="str">
        <f t="shared" si="8"/>
        <v>BenPel</v>
      </c>
      <c r="Y75" s="135" t="str">
        <f t="shared" si="9"/>
        <v>Fus</v>
      </c>
      <c r="Z75" s="135" t="str">
        <f t="shared" si="10"/>
        <v>Subtr</v>
      </c>
      <c r="AA75" s="135" t="str">
        <f t="shared" si="11"/>
        <v>F-B</v>
      </c>
      <c r="AB75" s="151">
        <v>44358</v>
      </c>
      <c r="AC75" s="102" t="s">
        <v>185</v>
      </c>
    </row>
    <row r="76" spans="2:29" ht="34" x14ac:dyDescent="0.2">
      <c r="B76" s="146" t="s">
        <v>1002</v>
      </c>
      <c r="C76" s="140" t="s">
        <v>991</v>
      </c>
      <c r="D76" s="140" t="s">
        <v>1002</v>
      </c>
      <c r="E76" s="140" t="s">
        <v>1002</v>
      </c>
      <c r="F76" s="79" t="s">
        <v>997</v>
      </c>
      <c r="G76" s="80" t="s">
        <v>114</v>
      </c>
      <c r="H76" s="78" t="s">
        <v>204</v>
      </c>
      <c r="I76" s="78" t="s">
        <v>115</v>
      </c>
      <c r="J76" s="136" t="s">
        <v>113</v>
      </c>
      <c r="K76" s="141">
        <v>44358</v>
      </c>
      <c r="L76" s="101" t="s">
        <v>187</v>
      </c>
      <c r="S76" s="146" t="s">
        <v>1002</v>
      </c>
      <c r="T76" s="140" t="s">
        <v>991</v>
      </c>
      <c r="U76" s="140" t="s">
        <v>1002</v>
      </c>
      <c r="V76" s="140" t="s">
        <v>1002</v>
      </c>
      <c r="W76" s="79" t="s">
        <v>997</v>
      </c>
      <c r="X76" s="135" t="str">
        <f t="shared" si="8"/>
        <v>BenPel</v>
      </c>
      <c r="Y76" s="135" t="str">
        <f t="shared" si="9"/>
        <v>Fus</v>
      </c>
      <c r="Z76" s="135" t="str">
        <f t="shared" si="10"/>
        <v>Subtr</v>
      </c>
      <c r="AA76" s="135" t="str">
        <f t="shared" si="11"/>
        <v>F-B</v>
      </c>
      <c r="AB76" s="151">
        <v>44358</v>
      </c>
      <c r="AC76" s="101" t="s">
        <v>187</v>
      </c>
    </row>
    <row r="77" spans="2:29" ht="51" x14ac:dyDescent="0.2">
      <c r="B77" s="146" t="s">
        <v>991</v>
      </c>
      <c r="C77" s="140" t="s">
        <v>1002</v>
      </c>
      <c r="D77" s="140" t="s">
        <v>1002</v>
      </c>
      <c r="E77" s="140" t="s">
        <v>1002</v>
      </c>
      <c r="F77" s="79" t="s">
        <v>70</v>
      </c>
      <c r="G77" s="80" t="s">
        <v>114</v>
      </c>
      <c r="H77" s="78" t="s">
        <v>204</v>
      </c>
      <c r="I77" s="78" t="s">
        <v>121</v>
      </c>
      <c r="J77" s="136" t="s">
        <v>125</v>
      </c>
      <c r="K77" s="141">
        <v>44358</v>
      </c>
      <c r="L77" s="101" t="s">
        <v>186</v>
      </c>
      <c r="S77" s="146" t="s">
        <v>991</v>
      </c>
      <c r="T77" s="140" t="s">
        <v>1002</v>
      </c>
      <c r="U77" s="140" t="s">
        <v>1002</v>
      </c>
      <c r="V77" s="140" t="s">
        <v>1002</v>
      </c>
      <c r="W77" s="79" t="s">
        <v>70</v>
      </c>
      <c r="X77" s="135" t="str">
        <f t="shared" si="8"/>
        <v>BenPel</v>
      </c>
      <c r="Y77" s="135" t="str">
        <f t="shared" si="9"/>
        <v>Fus</v>
      </c>
      <c r="Z77" s="135" t="str">
        <f t="shared" si="10"/>
        <v>Temp</v>
      </c>
      <c r="AA77" s="135" t="str">
        <f t="shared" si="11"/>
        <v>M-F-B</v>
      </c>
      <c r="AB77" s="151">
        <v>44358</v>
      </c>
      <c r="AC77" s="101" t="s">
        <v>186</v>
      </c>
    </row>
    <row r="78" spans="2:29" ht="51" x14ac:dyDescent="0.2">
      <c r="B78" s="146" t="s">
        <v>991</v>
      </c>
      <c r="C78" s="140" t="s">
        <v>991</v>
      </c>
      <c r="D78" s="140" t="s">
        <v>1002</v>
      </c>
      <c r="E78" s="140" t="s">
        <v>1002</v>
      </c>
      <c r="F78" s="79" t="s">
        <v>72</v>
      </c>
      <c r="G78" s="82" t="s">
        <v>161</v>
      </c>
      <c r="H78" s="78" t="s">
        <v>204</v>
      </c>
      <c r="I78" s="78" t="s">
        <v>115</v>
      </c>
      <c r="J78" s="136" t="s">
        <v>125</v>
      </c>
      <c r="K78" s="141">
        <v>44358</v>
      </c>
      <c r="L78" s="101" t="s">
        <v>188</v>
      </c>
      <c r="S78" s="146" t="s">
        <v>991</v>
      </c>
      <c r="T78" s="140" t="s">
        <v>991</v>
      </c>
      <c r="U78" s="140" t="s">
        <v>1002</v>
      </c>
      <c r="V78" s="140" t="s">
        <v>1002</v>
      </c>
      <c r="W78" s="79" t="s">
        <v>72</v>
      </c>
      <c r="X78" s="135" t="str">
        <f t="shared" si="8"/>
        <v>Pel</v>
      </c>
      <c r="Y78" s="135" t="str">
        <f t="shared" si="9"/>
        <v>Fus</v>
      </c>
      <c r="Z78" s="135" t="str">
        <f t="shared" si="10"/>
        <v>Subtr</v>
      </c>
      <c r="AA78" s="135" t="str">
        <f t="shared" si="11"/>
        <v>M-F-B</v>
      </c>
      <c r="AB78" s="151">
        <v>44358</v>
      </c>
      <c r="AC78" s="101" t="s">
        <v>188</v>
      </c>
    </row>
    <row r="79" spans="2:29" ht="51" x14ac:dyDescent="0.2">
      <c r="B79" s="146" t="s">
        <v>991</v>
      </c>
      <c r="C79" s="140" t="s">
        <v>991</v>
      </c>
      <c r="D79" s="140" t="s">
        <v>1002</v>
      </c>
      <c r="E79" s="140" t="s">
        <v>991</v>
      </c>
      <c r="F79" s="79" t="s">
        <v>74</v>
      </c>
      <c r="G79" s="80" t="s">
        <v>114</v>
      </c>
      <c r="H79" s="78" t="s">
        <v>204</v>
      </c>
      <c r="I79" s="78" t="s">
        <v>121</v>
      </c>
      <c r="J79" s="136" t="s">
        <v>125</v>
      </c>
      <c r="K79" s="141">
        <v>44358</v>
      </c>
      <c r="L79" s="101" t="s">
        <v>190</v>
      </c>
      <c r="S79" s="146" t="s">
        <v>991</v>
      </c>
      <c r="T79" s="140" t="s">
        <v>991</v>
      </c>
      <c r="U79" s="140" t="s">
        <v>1002</v>
      </c>
      <c r="V79" s="140" t="s">
        <v>991</v>
      </c>
      <c r="W79" s="79" t="s">
        <v>74</v>
      </c>
      <c r="X79" s="135" t="str">
        <f t="shared" si="8"/>
        <v>BenPel</v>
      </c>
      <c r="Y79" s="135" t="str">
        <f t="shared" si="9"/>
        <v>Fus</v>
      </c>
      <c r="Z79" s="135" t="str">
        <f t="shared" si="10"/>
        <v>Temp</v>
      </c>
      <c r="AA79" s="135" t="str">
        <f t="shared" si="11"/>
        <v>M-F-B</v>
      </c>
      <c r="AB79" s="151">
        <v>44358</v>
      </c>
      <c r="AC79" s="101" t="s">
        <v>190</v>
      </c>
    </row>
    <row r="80" spans="2:29" ht="17" x14ac:dyDescent="0.2">
      <c r="B80" s="146" t="s">
        <v>1002</v>
      </c>
      <c r="C80" s="140" t="s">
        <v>991</v>
      </c>
      <c r="D80" s="140" t="s">
        <v>1002</v>
      </c>
      <c r="E80" s="140" t="s">
        <v>1002</v>
      </c>
      <c r="F80" s="79" t="s">
        <v>105</v>
      </c>
      <c r="G80" s="80" t="s">
        <v>114</v>
      </c>
      <c r="H80" s="78" t="s">
        <v>204</v>
      </c>
      <c r="I80" s="78" t="s">
        <v>115</v>
      </c>
      <c r="J80" s="136" t="s">
        <v>122</v>
      </c>
      <c r="K80" s="141">
        <v>44358</v>
      </c>
      <c r="L80" s="101" t="s">
        <v>191</v>
      </c>
      <c r="S80" s="146" t="s">
        <v>1002</v>
      </c>
      <c r="T80" s="140" t="s">
        <v>991</v>
      </c>
      <c r="U80" s="140" t="s">
        <v>1002</v>
      </c>
      <c r="V80" s="140" t="s">
        <v>1002</v>
      </c>
      <c r="W80" s="79" t="s">
        <v>105</v>
      </c>
      <c r="X80" s="135" t="str">
        <f t="shared" si="8"/>
        <v>BenPel</v>
      </c>
      <c r="Y80" s="135" t="str">
        <f t="shared" si="9"/>
        <v>Fus</v>
      </c>
      <c r="Z80" s="135" t="str">
        <f t="shared" si="10"/>
        <v>Subtr</v>
      </c>
      <c r="AA80" s="135" t="str">
        <f t="shared" si="11"/>
        <v>F</v>
      </c>
      <c r="AB80" s="151">
        <v>44358</v>
      </c>
      <c r="AC80" s="101" t="s">
        <v>191</v>
      </c>
    </row>
    <row r="81" spans="2:29" ht="17" x14ac:dyDescent="0.2">
      <c r="B81" s="146" t="s">
        <v>991</v>
      </c>
      <c r="C81" s="140" t="s">
        <v>991</v>
      </c>
      <c r="D81" s="140" t="s">
        <v>1002</v>
      </c>
      <c r="E81" s="140" t="s">
        <v>1002</v>
      </c>
      <c r="F81" s="79" t="s">
        <v>998</v>
      </c>
      <c r="G81" s="80" t="s">
        <v>114</v>
      </c>
      <c r="H81" s="78" t="s">
        <v>205</v>
      </c>
      <c r="I81" s="78" t="s">
        <v>115</v>
      </c>
      <c r="J81" s="136" t="s">
        <v>122</v>
      </c>
      <c r="K81" s="141">
        <v>44358</v>
      </c>
      <c r="L81" s="101" t="s">
        <v>194</v>
      </c>
      <c r="S81" s="146" t="s">
        <v>991</v>
      </c>
      <c r="T81" s="140" t="s">
        <v>991</v>
      </c>
      <c r="U81" s="140" t="s">
        <v>1002</v>
      </c>
      <c r="V81" s="140" t="s">
        <v>1002</v>
      </c>
      <c r="W81" s="79" t="s">
        <v>998</v>
      </c>
      <c r="X81" s="135" t="str">
        <f t="shared" si="8"/>
        <v>BenPel</v>
      </c>
      <c r="Y81" s="135" t="str">
        <f t="shared" si="9"/>
        <v>Elon</v>
      </c>
      <c r="Z81" s="135" t="str">
        <f t="shared" si="10"/>
        <v>Subtr</v>
      </c>
      <c r="AA81" s="135" t="str">
        <f t="shared" si="11"/>
        <v>F</v>
      </c>
      <c r="AB81" s="151">
        <v>44358</v>
      </c>
      <c r="AC81" s="101" t="s">
        <v>194</v>
      </c>
    </row>
    <row r="82" spans="2:29" x14ac:dyDescent="0.2">
      <c r="B82" s="146" t="s">
        <v>1002</v>
      </c>
      <c r="C82" s="140" t="s">
        <v>991</v>
      </c>
      <c r="D82" s="140" t="s">
        <v>1002</v>
      </c>
      <c r="E82" s="140" t="s">
        <v>1002</v>
      </c>
      <c r="F82" s="142" t="s">
        <v>253</v>
      </c>
      <c r="G82" s="78" t="s">
        <v>126</v>
      </c>
      <c r="H82" s="78" t="s">
        <v>204</v>
      </c>
      <c r="I82" s="78" t="s">
        <v>115</v>
      </c>
      <c r="J82" s="78" t="s">
        <v>129</v>
      </c>
      <c r="K82" s="143">
        <v>44649</v>
      </c>
      <c r="L82" s="147" t="s">
        <v>285</v>
      </c>
      <c r="S82" s="146" t="s">
        <v>1002</v>
      </c>
      <c r="T82" s="140" t="s">
        <v>991</v>
      </c>
      <c r="U82" s="140" t="s">
        <v>1002</v>
      </c>
      <c r="V82" s="140" t="s">
        <v>1002</v>
      </c>
      <c r="W82" s="142" t="s">
        <v>253</v>
      </c>
      <c r="X82" s="135" t="str">
        <f t="shared" si="8"/>
        <v>Dem</v>
      </c>
      <c r="Y82" s="135" t="str">
        <f t="shared" si="9"/>
        <v>Fus</v>
      </c>
      <c r="Z82" s="135" t="str">
        <f t="shared" si="10"/>
        <v>Subtr</v>
      </c>
      <c r="AA82" s="135" t="str">
        <f t="shared" si="11"/>
        <v>M-B</v>
      </c>
      <c r="AB82" s="152">
        <v>44649</v>
      </c>
      <c r="AC82" s="147" t="s">
        <v>285</v>
      </c>
    </row>
    <row r="83" spans="2:29" ht="17" x14ac:dyDescent="0.2">
      <c r="B83" s="146" t="s">
        <v>991</v>
      </c>
      <c r="C83" s="140" t="s">
        <v>991</v>
      </c>
      <c r="D83" s="140" t="s">
        <v>1002</v>
      </c>
      <c r="E83" s="140" t="s">
        <v>1002</v>
      </c>
      <c r="F83" s="79" t="s">
        <v>76</v>
      </c>
      <c r="G83" s="80" t="s">
        <v>126</v>
      </c>
      <c r="H83" s="78" t="s">
        <v>205</v>
      </c>
      <c r="I83" s="78" t="s">
        <v>115</v>
      </c>
      <c r="J83" s="136" t="s">
        <v>122</v>
      </c>
      <c r="K83" s="141">
        <v>44358</v>
      </c>
      <c r="L83" s="101" t="s">
        <v>192</v>
      </c>
      <c r="S83" s="146" t="s">
        <v>991</v>
      </c>
      <c r="T83" s="140" t="s">
        <v>991</v>
      </c>
      <c r="U83" s="140" t="s">
        <v>1002</v>
      </c>
      <c r="V83" s="140" t="s">
        <v>1002</v>
      </c>
      <c r="W83" s="79" t="s">
        <v>76</v>
      </c>
      <c r="X83" s="135" t="str">
        <f t="shared" si="8"/>
        <v>Dem</v>
      </c>
      <c r="Y83" s="135" t="str">
        <f t="shared" si="9"/>
        <v>Elon</v>
      </c>
      <c r="Z83" s="135" t="str">
        <f t="shared" si="10"/>
        <v>Subtr</v>
      </c>
      <c r="AA83" s="135" t="str">
        <f t="shared" si="11"/>
        <v>F</v>
      </c>
      <c r="AB83" s="151">
        <v>44358</v>
      </c>
      <c r="AC83" s="101" t="s">
        <v>192</v>
      </c>
    </row>
    <row r="84" spans="2:29" ht="17" x14ac:dyDescent="0.2">
      <c r="B84" s="146" t="s">
        <v>991</v>
      </c>
      <c r="C84" s="140" t="s">
        <v>991</v>
      </c>
      <c r="D84" s="140" t="s">
        <v>1002</v>
      </c>
      <c r="E84" s="140" t="s">
        <v>1002</v>
      </c>
      <c r="F84" s="79" t="s">
        <v>999</v>
      </c>
      <c r="G84" s="80" t="s">
        <v>114</v>
      </c>
      <c r="H84" s="81" t="s">
        <v>204</v>
      </c>
      <c r="I84" s="78" t="s">
        <v>121</v>
      </c>
      <c r="J84" s="136" t="s">
        <v>122</v>
      </c>
      <c r="K84" s="141">
        <v>44358</v>
      </c>
      <c r="L84" s="101" t="s">
        <v>193</v>
      </c>
      <c r="S84" s="146" t="s">
        <v>991</v>
      </c>
      <c r="T84" s="140" t="s">
        <v>991</v>
      </c>
      <c r="U84" s="140" t="s">
        <v>1002</v>
      </c>
      <c r="V84" s="140" t="s">
        <v>1002</v>
      </c>
      <c r="W84" s="79" t="s">
        <v>999</v>
      </c>
      <c r="X84" s="135" t="str">
        <f t="shared" si="8"/>
        <v>BenPel</v>
      </c>
      <c r="Y84" s="135" t="str">
        <f t="shared" si="9"/>
        <v>Fus</v>
      </c>
      <c r="Z84" s="135" t="str">
        <f t="shared" si="10"/>
        <v>Temp</v>
      </c>
      <c r="AA84" s="135" t="str">
        <f t="shared" si="11"/>
        <v>F</v>
      </c>
      <c r="AB84" s="151">
        <v>44358</v>
      </c>
      <c r="AC84" s="101" t="s">
        <v>193</v>
      </c>
    </row>
    <row r="85" spans="2:29" ht="17" x14ac:dyDescent="0.2">
      <c r="B85" s="146" t="s">
        <v>991</v>
      </c>
      <c r="C85" s="140" t="s">
        <v>991</v>
      </c>
      <c r="D85" s="140" t="s">
        <v>1002</v>
      </c>
      <c r="E85" s="140" t="s">
        <v>1002</v>
      </c>
      <c r="F85" s="79" t="s">
        <v>78</v>
      </c>
      <c r="G85" s="80" t="s">
        <v>114</v>
      </c>
      <c r="H85" s="78" t="s">
        <v>206</v>
      </c>
      <c r="I85" s="78" t="s">
        <v>121</v>
      </c>
      <c r="J85" s="136" t="s">
        <v>122</v>
      </c>
      <c r="K85" s="141">
        <v>44358</v>
      </c>
      <c r="L85" s="101" t="s">
        <v>195</v>
      </c>
      <c r="S85" s="146" t="s">
        <v>991</v>
      </c>
      <c r="T85" s="140" t="s">
        <v>991</v>
      </c>
      <c r="U85" s="140" t="s">
        <v>1002</v>
      </c>
      <c r="V85" s="140" t="s">
        <v>1002</v>
      </c>
      <c r="W85" s="79" t="s">
        <v>78</v>
      </c>
      <c r="X85" s="135" t="str">
        <f t="shared" si="8"/>
        <v>BenPel</v>
      </c>
      <c r="Y85" s="135" t="str">
        <f t="shared" si="9"/>
        <v>ShDe</v>
      </c>
      <c r="Z85" s="135" t="str">
        <f t="shared" si="10"/>
        <v>Temp</v>
      </c>
      <c r="AA85" s="135" t="str">
        <f t="shared" si="11"/>
        <v>F</v>
      </c>
      <c r="AB85" s="151">
        <v>44358</v>
      </c>
      <c r="AC85" s="101" t="s">
        <v>195</v>
      </c>
    </row>
    <row r="86" spans="2:29" ht="34" x14ac:dyDescent="0.2">
      <c r="B86" s="146" t="s">
        <v>991</v>
      </c>
      <c r="C86" s="140" t="s">
        <v>991</v>
      </c>
      <c r="D86" s="140" t="s">
        <v>1002</v>
      </c>
      <c r="E86" s="140" t="s">
        <v>1002</v>
      </c>
      <c r="F86" s="79" t="s">
        <v>79</v>
      </c>
      <c r="G86" s="80" t="s">
        <v>114</v>
      </c>
      <c r="H86" s="78" t="s">
        <v>205</v>
      </c>
      <c r="I86" s="82" t="s">
        <v>131</v>
      </c>
      <c r="J86" s="136" t="s">
        <v>129</v>
      </c>
      <c r="K86" s="141">
        <v>44358</v>
      </c>
      <c r="L86" s="101" t="s">
        <v>197</v>
      </c>
      <c r="S86" s="146" t="s">
        <v>991</v>
      </c>
      <c r="T86" s="140" t="s">
        <v>991</v>
      </c>
      <c r="U86" s="140" t="s">
        <v>1002</v>
      </c>
      <c r="V86" s="140" t="s">
        <v>1002</v>
      </c>
      <c r="W86" s="79" t="s">
        <v>79</v>
      </c>
      <c r="X86" s="135" t="str">
        <f t="shared" si="8"/>
        <v>BenPel</v>
      </c>
      <c r="Y86" s="135" t="str">
        <f t="shared" si="9"/>
        <v>Elon</v>
      </c>
      <c r="Z86" s="135" t="str">
        <f t="shared" si="10"/>
        <v>Pol</v>
      </c>
      <c r="AA86" s="135" t="str">
        <f t="shared" si="11"/>
        <v>M-B</v>
      </c>
      <c r="AB86" s="151">
        <v>44358</v>
      </c>
      <c r="AC86" s="101" t="s">
        <v>197</v>
      </c>
    </row>
    <row r="87" spans="2:29" ht="17" x14ac:dyDescent="0.2">
      <c r="B87" s="146" t="s">
        <v>991</v>
      </c>
      <c r="C87" s="140" t="s">
        <v>991</v>
      </c>
      <c r="D87" s="140" t="s">
        <v>1002</v>
      </c>
      <c r="E87" s="140" t="s">
        <v>1002</v>
      </c>
      <c r="F87" s="79" t="s">
        <v>80</v>
      </c>
      <c r="G87" s="80" t="s">
        <v>114</v>
      </c>
      <c r="H87" s="78" t="s">
        <v>205</v>
      </c>
      <c r="I87" s="78" t="s">
        <v>115</v>
      </c>
      <c r="J87" s="136" t="s">
        <v>122</v>
      </c>
      <c r="K87" s="141">
        <v>44358</v>
      </c>
      <c r="L87" s="101" t="s">
        <v>196</v>
      </c>
      <c r="S87" s="146" t="s">
        <v>991</v>
      </c>
      <c r="T87" s="140" t="s">
        <v>991</v>
      </c>
      <c r="U87" s="140" t="s">
        <v>1002</v>
      </c>
      <c r="V87" s="140" t="s">
        <v>1002</v>
      </c>
      <c r="W87" s="79" t="s">
        <v>80</v>
      </c>
      <c r="X87" s="135" t="str">
        <f t="shared" si="8"/>
        <v>BenPel</v>
      </c>
      <c r="Y87" s="135" t="str">
        <f t="shared" si="9"/>
        <v>Elon</v>
      </c>
      <c r="Z87" s="135" t="str">
        <f t="shared" si="10"/>
        <v>Subtr</v>
      </c>
      <c r="AA87" s="135" t="str">
        <f t="shared" si="11"/>
        <v>F</v>
      </c>
      <c r="AB87" s="151">
        <v>44358</v>
      </c>
      <c r="AC87" s="101" t="s">
        <v>196</v>
      </c>
    </row>
    <row r="88" spans="2:29" ht="34" x14ac:dyDescent="0.2">
      <c r="B88" s="146" t="s">
        <v>991</v>
      </c>
      <c r="C88" s="140" t="s">
        <v>991</v>
      </c>
      <c r="D88" s="140" t="s">
        <v>1002</v>
      </c>
      <c r="E88" s="140" t="s">
        <v>1002</v>
      </c>
      <c r="F88" s="79" t="s">
        <v>81</v>
      </c>
      <c r="G88" s="80" t="s">
        <v>126</v>
      </c>
      <c r="H88" s="78" t="s">
        <v>205</v>
      </c>
      <c r="I88" s="78" t="s">
        <v>121</v>
      </c>
      <c r="J88" s="136" t="s">
        <v>113</v>
      </c>
      <c r="K88" s="141">
        <v>44358</v>
      </c>
      <c r="L88" s="101" t="s">
        <v>200</v>
      </c>
      <c r="S88" s="146" t="s">
        <v>991</v>
      </c>
      <c r="T88" s="140" t="s">
        <v>991</v>
      </c>
      <c r="U88" s="140" t="s">
        <v>1002</v>
      </c>
      <c r="V88" s="140" t="s">
        <v>1002</v>
      </c>
      <c r="W88" s="79" t="s">
        <v>81</v>
      </c>
      <c r="X88" s="135" t="str">
        <f t="shared" si="8"/>
        <v>Dem</v>
      </c>
      <c r="Y88" s="135" t="str">
        <f t="shared" si="9"/>
        <v>Elon</v>
      </c>
      <c r="Z88" s="135" t="str">
        <f t="shared" si="10"/>
        <v>Temp</v>
      </c>
      <c r="AA88" s="135" t="str">
        <f t="shared" si="11"/>
        <v>F-B</v>
      </c>
      <c r="AB88" s="151">
        <v>44358</v>
      </c>
      <c r="AC88" s="101" t="s">
        <v>200</v>
      </c>
    </row>
    <row r="89" spans="2:29" ht="17" x14ac:dyDescent="0.2">
      <c r="B89" s="146" t="s">
        <v>991</v>
      </c>
      <c r="C89" s="140" t="s">
        <v>991</v>
      </c>
      <c r="D89" s="140" t="s">
        <v>1002</v>
      </c>
      <c r="E89" s="140" t="s">
        <v>1002</v>
      </c>
      <c r="F89" s="79" t="s">
        <v>82</v>
      </c>
      <c r="G89" s="80" t="s">
        <v>118</v>
      </c>
      <c r="H89" s="78" t="s">
        <v>204</v>
      </c>
      <c r="I89" s="78" t="s">
        <v>121</v>
      </c>
      <c r="J89" s="136" t="s">
        <v>117</v>
      </c>
      <c r="K89" s="141">
        <v>44358</v>
      </c>
      <c r="L89" s="101" t="s">
        <v>199</v>
      </c>
      <c r="S89" s="146" t="s">
        <v>991</v>
      </c>
      <c r="T89" s="140" t="s">
        <v>991</v>
      </c>
      <c r="U89" s="140" t="s">
        <v>1002</v>
      </c>
      <c r="V89" s="140" t="s">
        <v>1002</v>
      </c>
      <c r="W89" s="79" t="s">
        <v>82</v>
      </c>
      <c r="X89" s="135" t="str">
        <f t="shared" si="8"/>
        <v>ReefAs</v>
      </c>
      <c r="Y89" s="135" t="str">
        <f t="shared" si="9"/>
        <v>Fus</v>
      </c>
      <c r="Z89" s="135" t="str">
        <f t="shared" si="10"/>
        <v>Temp</v>
      </c>
      <c r="AA89" s="135" t="str">
        <f t="shared" si="11"/>
        <v>M</v>
      </c>
      <c r="AB89" s="151">
        <v>44358</v>
      </c>
      <c r="AC89" s="101" t="s">
        <v>199</v>
      </c>
    </row>
    <row r="90" spans="2:29" ht="17" x14ac:dyDescent="0.2">
      <c r="B90" s="146" t="s">
        <v>991</v>
      </c>
      <c r="C90" s="140" t="s">
        <v>991</v>
      </c>
      <c r="D90" s="140" t="s">
        <v>991</v>
      </c>
      <c r="E90" s="140" t="s">
        <v>991</v>
      </c>
      <c r="F90" s="79" t="s">
        <v>83</v>
      </c>
      <c r="G90" s="80" t="s">
        <v>118</v>
      </c>
      <c r="H90" s="78" t="s">
        <v>204</v>
      </c>
      <c r="I90" s="78" t="s">
        <v>115</v>
      </c>
      <c r="J90" s="136" t="s">
        <v>117</v>
      </c>
      <c r="K90" s="141">
        <v>44358</v>
      </c>
      <c r="L90" s="101" t="s">
        <v>201</v>
      </c>
      <c r="S90" s="146" t="s">
        <v>991</v>
      </c>
      <c r="T90" s="140" t="s">
        <v>991</v>
      </c>
      <c r="U90" s="140" t="s">
        <v>991</v>
      </c>
      <c r="V90" s="140" t="s">
        <v>991</v>
      </c>
      <c r="W90" s="79" t="s">
        <v>83</v>
      </c>
      <c r="X90" s="135" t="str">
        <f t="shared" si="8"/>
        <v>ReefAs</v>
      </c>
      <c r="Y90" s="135" t="str">
        <f t="shared" si="9"/>
        <v>Fus</v>
      </c>
      <c r="Z90" s="135" t="str">
        <f t="shared" si="10"/>
        <v>Subtr</v>
      </c>
      <c r="AA90" s="135" t="str">
        <f t="shared" si="11"/>
        <v>M</v>
      </c>
      <c r="AB90" s="151">
        <v>44358</v>
      </c>
      <c r="AC90" s="101" t="s">
        <v>201</v>
      </c>
    </row>
    <row r="91" spans="2:29" x14ac:dyDescent="0.2">
      <c r="B91" s="146" t="s">
        <v>991</v>
      </c>
      <c r="C91" s="140" t="s">
        <v>1002</v>
      </c>
      <c r="D91" s="140" t="s">
        <v>1002</v>
      </c>
      <c r="E91" s="140" t="s">
        <v>1002</v>
      </c>
      <c r="F91" s="142" t="s">
        <v>264</v>
      </c>
      <c r="G91" s="78" t="s">
        <v>161</v>
      </c>
      <c r="H91" s="78" t="s">
        <v>204</v>
      </c>
      <c r="I91" s="78" t="s">
        <v>115</v>
      </c>
      <c r="J91" s="78" t="s">
        <v>129</v>
      </c>
      <c r="K91" s="143">
        <v>44373</v>
      </c>
      <c r="L91" s="147" t="s">
        <v>270</v>
      </c>
      <c r="S91" s="146" t="s">
        <v>991</v>
      </c>
      <c r="T91" s="140" t="s">
        <v>1002</v>
      </c>
      <c r="U91" s="140" t="s">
        <v>1002</v>
      </c>
      <c r="V91" s="140" t="s">
        <v>1002</v>
      </c>
      <c r="W91" s="142" t="s">
        <v>264</v>
      </c>
      <c r="X91" s="135" t="str">
        <f t="shared" si="8"/>
        <v>Pel</v>
      </c>
      <c r="Y91" s="135" t="str">
        <f t="shared" si="9"/>
        <v>Fus</v>
      </c>
      <c r="Z91" s="135" t="str">
        <f t="shared" si="10"/>
        <v>Subtr</v>
      </c>
      <c r="AA91" s="135" t="str">
        <f t="shared" si="11"/>
        <v>M-B</v>
      </c>
      <c r="AB91" s="152">
        <v>44373</v>
      </c>
      <c r="AC91" s="147" t="s">
        <v>270</v>
      </c>
    </row>
    <row r="92" spans="2:29" x14ac:dyDescent="0.2">
      <c r="B92" s="146" t="s">
        <v>991</v>
      </c>
      <c r="C92" s="140" t="s">
        <v>1002</v>
      </c>
      <c r="D92" s="140" t="s">
        <v>1002</v>
      </c>
      <c r="E92" s="140" t="s">
        <v>1002</v>
      </c>
      <c r="F92" s="142" t="s">
        <v>1000</v>
      </c>
      <c r="G92" s="78" t="s">
        <v>118</v>
      </c>
      <c r="H92" s="78" t="s">
        <v>271</v>
      </c>
      <c r="I92" s="78" t="s">
        <v>115</v>
      </c>
      <c r="J92" s="78" t="s">
        <v>129</v>
      </c>
      <c r="K92" s="143">
        <v>44373</v>
      </c>
      <c r="L92" s="147" t="s">
        <v>265</v>
      </c>
      <c r="S92" s="146" t="s">
        <v>991</v>
      </c>
      <c r="T92" s="140" t="s">
        <v>1002</v>
      </c>
      <c r="U92" s="140" t="s">
        <v>1002</v>
      </c>
      <c r="V92" s="140" t="s">
        <v>1002</v>
      </c>
      <c r="W92" s="142" t="s">
        <v>1000</v>
      </c>
      <c r="X92" s="135" t="str">
        <f t="shared" si="8"/>
        <v>ReefAs</v>
      </c>
      <c r="Y92" s="135" t="s">
        <v>1005</v>
      </c>
      <c r="Z92" s="135" t="str">
        <f t="shared" si="10"/>
        <v>Subtr</v>
      </c>
      <c r="AA92" s="135" t="str">
        <f t="shared" si="11"/>
        <v>M-B</v>
      </c>
      <c r="AB92" s="152">
        <v>44373</v>
      </c>
      <c r="AC92" s="147" t="s">
        <v>265</v>
      </c>
    </row>
    <row r="93" spans="2:29" x14ac:dyDescent="0.2">
      <c r="B93" s="146" t="s">
        <v>991</v>
      </c>
      <c r="C93" s="140" t="s">
        <v>1002</v>
      </c>
      <c r="D93" s="140" t="s">
        <v>1002</v>
      </c>
      <c r="E93" s="140" t="s">
        <v>1002</v>
      </c>
      <c r="F93" s="142" t="s">
        <v>259</v>
      </c>
      <c r="G93" s="78" t="s">
        <v>161</v>
      </c>
      <c r="H93" s="78" t="s">
        <v>204</v>
      </c>
      <c r="I93" s="78" t="s">
        <v>115</v>
      </c>
      <c r="J93" s="78" t="s">
        <v>117</v>
      </c>
      <c r="K93" s="143">
        <v>44373</v>
      </c>
      <c r="L93" s="147" t="s">
        <v>267</v>
      </c>
      <c r="S93" s="146" t="s">
        <v>991</v>
      </c>
      <c r="T93" s="140" t="s">
        <v>1002</v>
      </c>
      <c r="U93" s="140" t="s">
        <v>1002</v>
      </c>
      <c r="V93" s="140" t="s">
        <v>1002</v>
      </c>
      <c r="W93" s="142" t="s">
        <v>259</v>
      </c>
      <c r="X93" s="135" t="str">
        <f t="shared" si="8"/>
        <v>Pel</v>
      </c>
      <c r="Y93" s="135" t="str">
        <f>IF(H93="fusiform","Fus", IF(H93="short/deep","ShDe", IF(H93="elongated","Elon",IF(H93="eel-like","Eel-l"))))</f>
        <v>Fus</v>
      </c>
      <c r="Z93" s="135" t="str">
        <f t="shared" si="10"/>
        <v>Subtr</v>
      </c>
      <c r="AA93" s="135" t="str">
        <f t="shared" si="11"/>
        <v>M</v>
      </c>
      <c r="AB93" s="152">
        <v>44373</v>
      </c>
      <c r="AC93" s="147" t="s">
        <v>267</v>
      </c>
    </row>
    <row r="94" spans="2:29" ht="17" x14ac:dyDescent="0.2">
      <c r="B94" s="146" t="s">
        <v>991</v>
      </c>
      <c r="C94" s="140" t="s">
        <v>1002</v>
      </c>
      <c r="D94" s="140" t="s">
        <v>991</v>
      </c>
      <c r="E94" s="140" t="s">
        <v>1002</v>
      </c>
      <c r="F94" s="79" t="s">
        <v>84</v>
      </c>
      <c r="G94" s="80" t="s">
        <v>126</v>
      </c>
      <c r="H94" s="78" t="s">
        <v>204</v>
      </c>
      <c r="I94" s="78" t="s">
        <v>131</v>
      </c>
      <c r="J94" s="136" t="s">
        <v>117</v>
      </c>
      <c r="K94" s="141">
        <v>44358</v>
      </c>
      <c r="L94" s="101" t="s">
        <v>202</v>
      </c>
      <c r="S94" s="146" t="s">
        <v>991</v>
      </c>
      <c r="T94" s="140" t="s">
        <v>1002</v>
      </c>
      <c r="U94" s="140" t="s">
        <v>991</v>
      </c>
      <c r="V94" s="140" t="s">
        <v>1002</v>
      </c>
      <c r="W94" s="79" t="s">
        <v>84</v>
      </c>
      <c r="X94" s="135" t="str">
        <f t="shared" si="8"/>
        <v>Dem</v>
      </c>
      <c r="Y94" s="135" t="str">
        <f>IF(H94="fusiform","Fus", IF(H94="short/deep","ShDe", IF(H94="elongated","Elon",IF(H94="eel-like","Eel-l"))))</f>
        <v>Fus</v>
      </c>
      <c r="Z94" s="135" t="str">
        <f t="shared" si="10"/>
        <v>Pol</v>
      </c>
      <c r="AA94" s="135" t="str">
        <f t="shared" si="11"/>
        <v>M</v>
      </c>
      <c r="AB94" s="151">
        <v>44358</v>
      </c>
      <c r="AC94" s="101" t="s">
        <v>202</v>
      </c>
    </row>
    <row r="95" spans="2:29" ht="17" x14ac:dyDescent="0.2">
      <c r="B95" s="146" t="s">
        <v>991</v>
      </c>
      <c r="C95" s="140" t="s">
        <v>991</v>
      </c>
      <c r="D95" s="140" t="s">
        <v>1002</v>
      </c>
      <c r="E95" s="140" t="s">
        <v>1002</v>
      </c>
      <c r="F95" s="79" t="s">
        <v>85</v>
      </c>
      <c r="G95" s="80" t="s">
        <v>126</v>
      </c>
      <c r="H95" s="78" t="s">
        <v>205</v>
      </c>
      <c r="I95" s="78" t="s">
        <v>115</v>
      </c>
      <c r="J95" s="136" t="s">
        <v>122</v>
      </c>
      <c r="K95" s="141">
        <v>44358</v>
      </c>
      <c r="L95" s="101" t="s">
        <v>203</v>
      </c>
      <c r="S95" s="146" t="s">
        <v>991</v>
      </c>
      <c r="T95" s="140" t="s">
        <v>991</v>
      </c>
      <c r="U95" s="140" t="s">
        <v>1002</v>
      </c>
      <c r="V95" s="140" t="s">
        <v>1002</v>
      </c>
      <c r="W95" s="79" t="s">
        <v>85</v>
      </c>
      <c r="X95" s="135" t="str">
        <f t="shared" si="8"/>
        <v>Dem</v>
      </c>
      <c r="Y95" s="135" t="str">
        <f>IF(H95="fusiform","Fus", IF(H95="short/deep","ShDe", IF(H95="elongated","Elon",IF(H95="eel-like","Eel-l"))))</f>
        <v>Elon</v>
      </c>
      <c r="Z95" s="135" t="str">
        <f t="shared" si="10"/>
        <v>Subtr</v>
      </c>
      <c r="AA95" s="135" t="str">
        <f t="shared" si="11"/>
        <v>F</v>
      </c>
      <c r="AB95" s="151">
        <v>44358</v>
      </c>
      <c r="AC95" s="101" t="s">
        <v>203</v>
      </c>
    </row>
    <row r="96" spans="2:29" ht="18" thickBot="1" x14ac:dyDescent="0.25">
      <c r="B96" s="148" t="s">
        <v>991</v>
      </c>
      <c r="C96" s="149" t="s">
        <v>991</v>
      </c>
      <c r="D96" s="149" t="s">
        <v>1002</v>
      </c>
      <c r="E96" s="149" t="s">
        <v>1002</v>
      </c>
      <c r="F96" s="88" t="s">
        <v>87</v>
      </c>
      <c r="G96" s="89" t="s">
        <v>114</v>
      </c>
      <c r="H96" s="87" t="s">
        <v>204</v>
      </c>
      <c r="I96" s="87" t="s">
        <v>115</v>
      </c>
      <c r="J96" s="137" t="s">
        <v>122</v>
      </c>
      <c r="K96" s="150">
        <v>44358</v>
      </c>
      <c r="L96" s="103" t="s">
        <v>212</v>
      </c>
      <c r="S96" s="148" t="s">
        <v>991</v>
      </c>
      <c r="T96" s="149" t="s">
        <v>991</v>
      </c>
      <c r="U96" s="149" t="s">
        <v>1002</v>
      </c>
      <c r="V96" s="149" t="s">
        <v>1002</v>
      </c>
      <c r="W96" s="88" t="s">
        <v>87</v>
      </c>
      <c r="X96" s="135" t="str">
        <f t="shared" si="8"/>
        <v>BenPel</v>
      </c>
      <c r="Y96" s="135" t="str">
        <f>IF(H96="fusiform","Fus", IF(H96="short/deep","ShDe", IF(H96="elongated","Elon",IF(H96="eel-like","Eel-l"))))</f>
        <v>Fus</v>
      </c>
      <c r="Z96" s="135" t="str">
        <f t="shared" si="10"/>
        <v>Subtr</v>
      </c>
      <c r="AA96" s="135" t="str">
        <f t="shared" si="11"/>
        <v>F</v>
      </c>
      <c r="AB96" s="153">
        <v>44358</v>
      </c>
      <c r="AC96" s="103" t="s">
        <v>212</v>
      </c>
    </row>
  </sheetData>
  <mergeCells count="10">
    <mergeCell ref="L1:L2"/>
    <mergeCell ref="B1:C1"/>
    <mergeCell ref="D1:E1"/>
    <mergeCell ref="K1:K2"/>
    <mergeCell ref="F1:F2"/>
    <mergeCell ref="S1:T1"/>
    <mergeCell ref="U1:V1"/>
    <mergeCell ref="W1:W2"/>
    <mergeCell ref="AB1:AB2"/>
    <mergeCell ref="AC1:AC2"/>
  </mergeCells>
  <phoneticPr fontId="29" type="noConversion"/>
  <hyperlinks>
    <hyperlink ref="L75" r:id="rId1" xr:uid="{39F78C12-AD1D-CB42-B187-52BDCC6EFFD5}"/>
    <hyperlink ref="L82" r:id="rId2" xr:uid="{5A6C1CED-8FCE-7846-A6EC-2B907A783085}"/>
    <hyperlink ref="AC75" r:id="rId3" xr:uid="{82913A98-0CA3-6046-AA68-0104C9758C4D}"/>
    <hyperlink ref="AC82" r:id="rId4" xr:uid="{DEBF5F4F-2EBF-2B44-848C-429B944F18E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312A-D3F9-5749-A002-7609116D42E2}">
  <dimension ref="A2:P115"/>
  <sheetViews>
    <sheetView tabSelected="1" topLeftCell="A56" workbookViewId="0">
      <selection activeCell="H123" sqref="H123"/>
    </sheetView>
  </sheetViews>
  <sheetFormatPr baseColWidth="10" defaultRowHeight="16" x14ac:dyDescent="0.2"/>
  <cols>
    <col min="1" max="1" width="26.1640625" bestFit="1" customWidth="1"/>
  </cols>
  <sheetData>
    <row r="2" spans="1:5" x14ac:dyDescent="0.2">
      <c r="A2" s="132" t="s">
        <v>0</v>
      </c>
      <c r="B2" s="132" t="s">
        <v>987</v>
      </c>
      <c r="C2" s="132" t="s">
        <v>988</v>
      </c>
      <c r="D2" s="132" t="s">
        <v>989</v>
      </c>
      <c r="E2" s="132" t="s">
        <v>990</v>
      </c>
    </row>
    <row r="3" spans="1:5" x14ac:dyDescent="0.2">
      <c r="A3" s="132" t="s">
        <v>88</v>
      </c>
      <c r="B3" s="133" t="s">
        <v>991</v>
      </c>
      <c r="C3" s="133" t="s">
        <v>207</v>
      </c>
      <c r="D3" s="133" t="s">
        <v>207</v>
      </c>
      <c r="E3" s="133" t="s">
        <v>207</v>
      </c>
    </row>
    <row r="4" spans="1:5" x14ac:dyDescent="0.2">
      <c r="A4" s="132" t="s">
        <v>8</v>
      </c>
      <c r="B4" s="133" t="s">
        <v>991</v>
      </c>
      <c r="C4" s="133" t="s">
        <v>991</v>
      </c>
      <c r="D4" s="133" t="s">
        <v>991</v>
      </c>
      <c r="E4" s="133" t="s">
        <v>991</v>
      </c>
    </row>
    <row r="5" spans="1:5" x14ac:dyDescent="0.2">
      <c r="A5" s="132" t="s">
        <v>10</v>
      </c>
      <c r="B5" s="133" t="s">
        <v>991</v>
      </c>
      <c r="C5" s="133" t="s">
        <v>991</v>
      </c>
      <c r="D5" s="133" t="s">
        <v>207</v>
      </c>
      <c r="E5" s="133" t="s">
        <v>207</v>
      </c>
    </row>
    <row r="6" spans="1:5" x14ac:dyDescent="0.2">
      <c r="A6" s="132" t="s">
        <v>263</v>
      </c>
      <c r="B6" s="133" t="s">
        <v>207</v>
      </c>
      <c r="C6" s="133" t="s">
        <v>991</v>
      </c>
      <c r="D6" s="133" t="s">
        <v>207</v>
      </c>
      <c r="E6" s="133" t="s">
        <v>991</v>
      </c>
    </row>
    <row r="7" spans="1:5" x14ac:dyDescent="0.2">
      <c r="A7" s="132" t="s">
        <v>262</v>
      </c>
      <c r="B7" s="133" t="s">
        <v>207</v>
      </c>
      <c r="C7" s="133" t="s">
        <v>991</v>
      </c>
      <c r="D7" s="133" t="s">
        <v>207</v>
      </c>
      <c r="E7" s="133" t="s">
        <v>207</v>
      </c>
    </row>
    <row r="8" spans="1:5" x14ac:dyDescent="0.2">
      <c r="A8" s="132" t="s">
        <v>11</v>
      </c>
      <c r="B8" s="133" t="s">
        <v>207</v>
      </c>
      <c r="C8" s="133" t="s">
        <v>991</v>
      </c>
      <c r="D8" s="133" t="s">
        <v>207</v>
      </c>
      <c r="E8" s="133" t="s">
        <v>207</v>
      </c>
    </row>
    <row r="9" spans="1:5" x14ac:dyDescent="0.2">
      <c r="A9" s="132" t="s">
        <v>12</v>
      </c>
      <c r="B9" s="133" t="s">
        <v>207</v>
      </c>
      <c r="C9" s="133" t="s">
        <v>991</v>
      </c>
      <c r="D9" s="133" t="s">
        <v>207</v>
      </c>
      <c r="E9" s="133" t="s">
        <v>207</v>
      </c>
    </row>
    <row r="10" spans="1:5" x14ac:dyDescent="0.2">
      <c r="A10" s="132" t="s">
        <v>13</v>
      </c>
      <c r="B10" s="133" t="s">
        <v>207</v>
      </c>
      <c r="C10" s="133" t="s">
        <v>991</v>
      </c>
      <c r="D10" s="133" t="s">
        <v>207</v>
      </c>
      <c r="E10" s="133" t="s">
        <v>207</v>
      </c>
    </row>
    <row r="11" spans="1:5" x14ac:dyDescent="0.2">
      <c r="A11" s="132" t="s">
        <v>14</v>
      </c>
      <c r="B11" s="133" t="s">
        <v>207</v>
      </c>
      <c r="C11" s="133" t="s">
        <v>991</v>
      </c>
      <c r="D11" s="133" t="s">
        <v>207</v>
      </c>
      <c r="E11" s="133" t="s">
        <v>207</v>
      </c>
    </row>
    <row r="12" spans="1:5" x14ac:dyDescent="0.2">
      <c r="A12" s="132" t="s">
        <v>15</v>
      </c>
      <c r="B12" s="133" t="s">
        <v>991</v>
      </c>
      <c r="C12" s="133" t="s">
        <v>991</v>
      </c>
      <c r="D12" s="133" t="s">
        <v>991</v>
      </c>
      <c r="E12" s="133" t="s">
        <v>991</v>
      </c>
    </row>
    <row r="13" spans="1:5" x14ac:dyDescent="0.2">
      <c r="A13" s="132" t="s">
        <v>254</v>
      </c>
      <c r="B13" s="133" t="s">
        <v>991</v>
      </c>
      <c r="C13" s="133" t="s">
        <v>991</v>
      </c>
      <c r="D13" s="133" t="s">
        <v>207</v>
      </c>
      <c r="E13" s="133" t="s">
        <v>207</v>
      </c>
    </row>
    <row r="14" spans="1:5" x14ac:dyDescent="0.2">
      <c r="A14" s="132" t="s">
        <v>16</v>
      </c>
      <c r="B14" s="133" t="s">
        <v>991</v>
      </c>
      <c r="C14" s="133" t="s">
        <v>991</v>
      </c>
      <c r="D14" s="133" t="s">
        <v>207</v>
      </c>
      <c r="E14" s="133" t="s">
        <v>207</v>
      </c>
    </row>
    <row r="15" spans="1:5" x14ac:dyDescent="0.2">
      <c r="A15" s="132" t="s">
        <v>256</v>
      </c>
      <c r="B15" s="133" t="s">
        <v>991</v>
      </c>
      <c r="C15" s="133" t="s">
        <v>991</v>
      </c>
      <c r="D15" s="133" t="s">
        <v>991</v>
      </c>
      <c r="E15" s="133" t="s">
        <v>991</v>
      </c>
    </row>
    <row r="16" spans="1:5" x14ac:dyDescent="0.2">
      <c r="A16" s="132" t="s">
        <v>18</v>
      </c>
      <c r="B16" s="133" t="s">
        <v>991</v>
      </c>
      <c r="C16" s="133" t="s">
        <v>991</v>
      </c>
      <c r="D16" s="133" t="s">
        <v>207</v>
      </c>
      <c r="E16" s="133" t="s">
        <v>207</v>
      </c>
    </row>
    <row r="17" spans="1:5" x14ac:dyDescent="0.2">
      <c r="A17" s="132" t="s">
        <v>252</v>
      </c>
      <c r="B17" s="133" t="s">
        <v>207</v>
      </c>
      <c r="C17" s="133" t="s">
        <v>207</v>
      </c>
      <c r="D17" s="133" t="s">
        <v>991</v>
      </c>
      <c r="E17" s="133" t="s">
        <v>991</v>
      </c>
    </row>
    <row r="18" spans="1:5" x14ac:dyDescent="0.2">
      <c r="A18" s="132" t="s">
        <v>19</v>
      </c>
      <c r="B18" s="133" t="s">
        <v>207</v>
      </c>
      <c r="C18" s="133" t="s">
        <v>991</v>
      </c>
      <c r="D18" s="133" t="s">
        <v>207</v>
      </c>
      <c r="E18" s="133" t="s">
        <v>207</v>
      </c>
    </row>
    <row r="19" spans="1:5" x14ac:dyDescent="0.2">
      <c r="A19" s="132" t="s">
        <v>20</v>
      </c>
      <c r="B19" s="133" t="s">
        <v>207</v>
      </c>
      <c r="C19" s="133" t="s">
        <v>991</v>
      </c>
      <c r="D19" s="133" t="s">
        <v>207</v>
      </c>
      <c r="E19" s="133" t="s">
        <v>207</v>
      </c>
    </row>
    <row r="20" spans="1:5" x14ac:dyDescent="0.2">
      <c r="A20" s="132" t="s">
        <v>830</v>
      </c>
      <c r="B20" s="133" t="s">
        <v>991</v>
      </c>
      <c r="C20" s="133" t="s">
        <v>207</v>
      </c>
      <c r="D20" s="133" t="s">
        <v>991</v>
      </c>
      <c r="E20" s="133" t="s">
        <v>207</v>
      </c>
    </row>
    <row r="21" spans="1:5" x14ac:dyDescent="0.2">
      <c r="A21" s="132" t="s">
        <v>21</v>
      </c>
      <c r="B21" s="133" t="s">
        <v>991</v>
      </c>
      <c r="C21" s="133" t="s">
        <v>991</v>
      </c>
      <c r="D21" s="133" t="s">
        <v>207</v>
      </c>
      <c r="E21" s="133" t="s">
        <v>207</v>
      </c>
    </row>
    <row r="22" spans="1:5" x14ac:dyDescent="0.2">
      <c r="A22" s="132" t="s">
        <v>22</v>
      </c>
      <c r="B22" s="133" t="s">
        <v>991</v>
      </c>
      <c r="C22" s="133" t="s">
        <v>991</v>
      </c>
      <c r="D22" s="133" t="s">
        <v>207</v>
      </c>
      <c r="E22" s="133" t="s">
        <v>207</v>
      </c>
    </row>
    <row r="23" spans="1:5" x14ac:dyDescent="0.2">
      <c r="A23" s="132" t="s">
        <v>966</v>
      </c>
      <c r="B23" s="133" t="s">
        <v>207</v>
      </c>
      <c r="C23" s="133" t="s">
        <v>991</v>
      </c>
      <c r="D23" s="133" t="s">
        <v>207</v>
      </c>
      <c r="E23" s="133" t="s">
        <v>207</v>
      </c>
    </row>
    <row r="24" spans="1:5" x14ac:dyDescent="0.2">
      <c r="A24" s="132" t="s">
        <v>23</v>
      </c>
      <c r="B24" s="133" t="s">
        <v>991</v>
      </c>
      <c r="C24" s="133" t="s">
        <v>991</v>
      </c>
      <c r="D24" s="133" t="s">
        <v>991</v>
      </c>
      <c r="E24" s="133" t="s">
        <v>207</v>
      </c>
    </row>
    <row r="25" spans="1:5" x14ac:dyDescent="0.2">
      <c r="A25" s="132" t="s">
        <v>24</v>
      </c>
      <c r="B25" s="133" t="s">
        <v>991</v>
      </c>
      <c r="C25" s="133" t="s">
        <v>991</v>
      </c>
      <c r="D25" s="133" t="s">
        <v>207</v>
      </c>
      <c r="E25" s="133" t="s">
        <v>207</v>
      </c>
    </row>
    <row r="26" spans="1:5" x14ac:dyDescent="0.2">
      <c r="A26" s="132" t="s">
        <v>25</v>
      </c>
      <c r="B26" s="133" t="s">
        <v>991</v>
      </c>
      <c r="C26" s="133" t="s">
        <v>991</v>
      </c>
      <c r="D26" s="133" t="s">
        <v>207</v>
      </c>
      <c r="E26" s="133" t="s">
        <v>207</v>
      </c>
    </row>
    <row r="27" spans="1:5" x14ac:dyDescent="0.2">
      <c r="A27" s="132" t="s">
        <v>26</v>
      </c>
      <c r="B27" s="133" t="s">
        <v>207</v>
      </c>
      <c r="C27" s="133" t="s">
        <v>991</v>
      </c>
      <c r="D27" s="133" t="s">
        <v>207</v>
      </c>
      <c r="E27" s="133" t="s">
        <v>991</v>
      </c>
    </row>
    <row r="28" spans="1:5" x14ac:dyDescent="0.2">
      <c r="A28" s="132" t="s">
        <v>255</v>
      </c>
      <c r="B28" s="133" t="s">
        <v>991</v>
      </c>
      <c r="C28" s="133" t="s">
        <v>991</v>
      </c>
      <c r="D28" s="133" t="s">
        <v>991</v>
      </c>
      <c r="E28" s="133" t="s">
        <v>991</v>
      </c>
    </row>
    <row r="29" spans="1:5" x14ac:dyDescent="0.2">
      <c r="A29" s="132" t="s">
        <v>962</v>
      </c>
      <c r="B29" s="133" t="s">
        <v>207</v>
      </c>
      <c r="C29" s="133" t="s">
        <v>991</v>
      </c>
      <c r="D29" s="133" t="s">
        <v>207</v>
      </c>
      <c r="E29" s="133" t="s">
        <v>207</v>
      </c>
    </row>
    <row r="30" spans="1:5" x14ac:dyDescent="0.2">
      <c r="A30" s="132" t="s">
        <v>837</v>
      </c>
      <c r="B30" s="133" t="s">
        <v>207</v>
      </c>
      <c r="C30" s="133" t="s">
        <v>991</v>
      </c>
      <c r="D30" s="133" t="s">
        <v>991</v>
      </c>
      <c r="E30" s="133" t="s">
        <v>207</v>
      </c>
    </row>
    <row r="31" spans="1:5" x14ac:dyDescent="0.2">
      <c r="A31" s="132" t="s">
        <v>28</v>
      </c>
      <c r="B31" s="133" t="s">
        <v>207</v>
      </c>
      <c r="C31" s="133" t="s">
        <v>991</v>
      </c>
      <c r="D31" s="133" t="s">
        <v>207</v>
      </c>
      <c r="E31" s="133" t="s">
        <v>991</v>
      </c>
    </row>
    <row r="32" spans="1:5" x14ac:dyDescent="0.2">
      <c r="A32" s="132" t="s">
        <v>29</v>
      </c>
      <c r="B32" s="133" t="s">
        <v>991</v>
      </c>
      <c r="C32" s="133" t="s">
        <v>991</v>
      </c>
      <c r="D32" s="133" t="s">
        <v>207</v>
      </c>
      <c r="E32" s="133" t="s">
        <v>207</v>
      </c>
    </row>
    <row r="33" spans="1:5" x14ac:dyDescent="0.2">
      <c r="A33" s="132" t="s">
        <v>30</v>
      </c>
      <c r="B33" s="133" t="s">
        <v>991</v>
      </c>
      <c r="C33" s="133" t="s">
        <v>991</v>
      </c>
      <c r="D33" s="133" t="s">
        <v>991</v>
      </c>
      <c r="E33" s="133" t="s">
        <v>991</v>
      </c>
    </row>
    <row r="34" spans="1:5" x14ac:dyDescent="0.2">
      <c r="A34" s="132" t="s">
        <v>823</v>
      </c>
      <c r="B34" s="133" t="s">
        <v>991</v>
      </c>
      <c r="C34" s="133" t="s">
        <v>991</v>
      </c>
      <c r="D34" s="133" t="s">
        <v>207</v>
      </c>
      <c r="E34" s="133" t="s">
        <v>207</v>
      </c>
    </row>
    <row r="35" spans="1:5" x14ac:dyDescent="0.2">
      <c r="A35" s="132" t="s">
        <v>32</v>
      </c>
      <c r="B35" s="133" t="s">
        <v>991</v>
      </c>
      <c r="C35" s="133" t="s">
        <v>991</v>
      </c>
      <c r="D35" s="133" t="s">
        <v>207</v>
      </c>
      <c r="E35" s="133" t="s">
        <v>207</v>
      </c>
    </row>
    <row r="36" spans="1:5" x14ac:dyDescent="0.2">
      <c r="A36" s="132" t="s">
        <v>33</v>
      </c>
      <c r="B36" s="133" t="s">
        <v>991</v>
      </c>
      <c r="C36" s="133" t="s">
        <v>991</v>
      </c>
      <c r="D36" s="133" t="s">
        <v>991</v>
      </c>
      <c r="E36" s="133" t="s">
        <v>991</v>
      </c>
    </row>
    <row r="37" spans="1:5" x14ac:dyDescent="0.2">
      <c r="A37" s="132" t="s">
        <v>34</v>
      </c>
      <c r="B37" s="133" t="s">
        <v>991</v>
      </c>
      <c r="C37" s="133" t="s">
        <v>991</v>
      </c>
      <c r="D37" s="133" t="s">
        <v>991</v>
      </c>
      <c r="E37" s="133" t="s">
        <v>991</v>
      </c>
    </row>
    <row r="38" spans="1:5" x14ac:dyDescent="0.2">
      <c r="A38" s="132" t="s">
        <v>35</v>
      </c>
      <c r="B38" s="133" t="s">
        <v>991</v>
      </c>
      <c r="C38" s="133" t="s">
        <v>991</v>
      </c>
      <c r="D38" s="133" t="s">
        <v>207</v>
      </c>
      <c r="E38" s="133" t="s">
        <v>207</v>
      </c>
    </row>
    <row r="39" spans="1:5" x14ac:dyDescent="0.2">
      <c r="A39" s="132" t="s">
        <v>36</v>
      </c>
      <c r="B39" s="133" t="s">
        <v>991</v>
      </c>
      <c r="C39" s="133" t="s">
        <v>991</v>
      </c>
      <c r="D39" s="133" t="s">
        <v>207</v>
      </c>
      <c r="E39" s="133" t="s">
        <v>207</v>
      </c>
    </row>
    <row r="40" spans="1:5" x14ac:dyDescent="0.2">
      <c r="A40" s="132" t="s">
        <v>92</v>
      </c>
      <c r="B40" s="133" t="s">
        <v>991</v>
      </c>
      <c r="C40" s="133" t="s">
        <v>207</v>
      </c>
      <c r="D40" s="133" t="s">
        <v>207</v>
      </c>
      <c r="E40" s="133" t="s">
        <v>207</v>
      </c>
    </row>
    <row r="41" spans="1:5" x14ac:dyDescent="0.2">
      <c r="A41" s="132" t="s">
        <v>257</v>
      </c>
      <c r="B41" s="133" t="s">
        <v>991</v>
      </c>
      <c r="C41" s="133" t="s">
        <v>991</v>
      </c>
      <c r="D41" s="133" t="s">
        <v>991</v>
      </c>
      <c r="E41" s="133" t="s">
        <v>991</v>
      </c>
    </row>
    <row r="42" spans="1:5" x14ac:dyDescent="0.2">
      <c r="A42" s="132" t="s">
        <v>37</v>
      </c>
      <c r="B42" s="133" t="s">
        <v>991</v>
      </c>
      <c r="C42" s="133" t="s">
        <v>991</v>
      </c>
      <c r="D42" s="133" t="s">
        <v>207</v>
      </c>
      <c r="E42" s="133" t="s">
        <v>207</v>
      </c>
    </row>
    <row r="43" spans="1:5" x14ac:dyDescent="0.2">
      <c r="A43" s="132" t="s">
        <v>38</v>
      </c>
      <c r="B43" s="133" t="s">
        <v>991</v>
      </c>
      <c r="C43" s="133" t="s">
        <v>991</v>
      </c>
      <c r="D43" s="133" t="s">
        <v>207</v>
      </c>
      <c r="E43" s="133" t="s">
        <v>207</v>
      </c>
    </row>
    <row r="44" spans="1:5" x14ac:dyDescent="0.2">
      <c r="A44" s="132" t="s">
        <v>39</v>
      </c>
      <c r="B44" s="133" t="s">
        <v>991</v>
      </c>
      <c r="C44" s="133" t="s">
        <v>991</v>
      </c>
      <c r="D44" s="133" t="s">
        <v>991</v>
      </c>
      <c r="E44" s="133" t="s">
        <v>991</v>
      </c>
    </row>
    <row r="45" spans="1:5" x14ac:dyDescent="0.2">
      <c r="A45" s="132" t="s">
        <v>41</v>
      </c>
      <c r="B45" s="133" t="s">
        <v>991</v>
      </c>
      <c r="C45" s="133" t="s">
        <v>991</v>
      </c>
      <c r="D45" s="133" t="s">
        <v>991</v>
      </c>
      <c r="E45" s="133" t="s">
        <v>991</v>
      </c>
    </row>
    <row r="46" spans="1:5" x14ac:dyDescent="0.2">
      <c r="A46" s="132" t="s">
        <v>43</v>
      </c>
      <c r="B46" s="133" t="s">
        <v>991</v>
      </c>
      <c r="C46" s="133" t="s">
        <v>991</v>
      </c>
      <c r="D46" s="133" t="s">
        <v>207</v>
      </c>
      <c r="E46" s="133" t="s">
        <v>207</v>
      </c>
    </row>
    <row r="47" spans="1:5" x14ac:dyDescent="0.2">
      <c r="A47" s="132" t="s">
        <v>44</v>
      </c>
      <c r="B47" s="133" t="s">
        <v>991</v>
      </c>
      <c r="C47" s="133" t="s">
        <v>991</v>
      </c>
      <c r="D47" s="133" t="s">
        <v>207</v>
      </c>
      <c r="E47" s="133" t="s">
        <v>207</v>
      </c>
    </row>
    <row r="48" spans="1:5" x14ac:dyDescent="0.2">
      <c r="A48" s="132" t="s">
        <v>45</v>
      </c>
      <c r="B48" s="133" t="s">
        <v>991</v>
      </c>
      <c r="C48" s="133" t="s">
        <v>991</v>
      </c>
      <c r="D48" s="133" t="s">
        <v>207</v>
      </c>
      <c r="E48" s="133" t="s">
        <v>207</v>
      </c>
    </row>
    <row r="49" spans="1:5" x14ac:dyDescent="0.2">
      <c r="A49" s="132" t="s">
        <v>46</v>
      </c>
      <c r="B49" s="133" t="s">
        <v>991</v>
      </c>
      <c r="C49" s="133" t="s">
        <v>991</v>
      </c>
      <c r="D49" s="133" t="s">
        <v>207</v>
      </c>
      <c r="E49" s="133" t="s">
        <v>207</v>
      </c>
    </row>
    <row r="50" spans="1:5" x14ac:dyDescent="0.2">
      <c r="A50" s="132" t="s">
        <v>973</v>
      </c>
      <c r="B50" s="133" t="s">
        <v>207</v>
      </c>
      <c r="C50" s="133" t="s">
        <v>991</v>
      </c>
      <c r="D50" s="133" t="s">
        <v>207</v>
      </c>
      <c r="E50" s="133" t="s">
        <v>207</v>
      </c>
    </row>
    <row r="51" spans="1:5" x14ac:dyDescent="0.2">
      <c r="A51" s="132" t="s">
        <v>48</v>
      </c>
      <c r="B51" s="133" t="s">
        <v>991</v>
      </c>
      <c r="C51" s="133" t="s">
        <v>991</v>
      </c>
      <c r="D51" s="133" t="s">
        <v>207</v>
      </c>
      <c r="E51" s="133" t="s">
        <v>207</v>
      </c>
    </row>
    <row r="52" spans="1:5" x14ac:dyDescent="0.2">
      <c r="A52" s="132" t="s">
        <v>49</v>
      </c>
      <c r="B52" s="133" t="s">
        <v>991</v>
      </c>
      <c r="C52" s="133" t="s">
        <v>991</v>
      </c>
      <c r="D52" s="133" t="s">
        <v>991</v>
      </c>
      <c r="E52" s="133" t="s">
        <v>991</v>
      </c>
    </row>
    <row r="53" spans="1:5" x14ac:dyDescent="0.2">
      <c r="A53" s="132" t="s">
        <v>50</v>
      </c>
      <c r="B53" s="133" t="s">
        <v>207</v>
      </c>
      <c r="C53" s="133" t="s">
        <v>991</v>
      </c>
      <c r="D53" s="133" t="s">
        <v>207</v>
      </c>
      <c r="E53" s="133" t="s">
        <v>991</v>
      </c>
    </row>
    <row r="54" spans="1:5" x14ac:dyDescent="0.2">
      <c r="A54" s="132" t="s">
        <v>51</v>
      </c>
      <c r="B54" s="133" t="s">
        <v>991</v>
      </c>
      <c r="C54" s="133" t="s">
        <v>991</v>
      </c>
      <c r="D54" s="133" t="s">
        <v>991</v>
      </c>
      <c r="E54" s="133" t="s">
        <v>991</v>
      </c>
    </row>
    <row r="55" spans="1:5" x14ac:dyDescent="0.2">
      <c r="A55" s="132" t="s">
        <v>52</v>
      </c>
      <c r="B55" s="133" t="s">
        <v>991</v>
      </c>
      <c r="C55" s="133" t="s">
        <v>991</v>
      </c>
      <c r="D55" s="133" t="s">
        <v>991</v>
      </c>
      <c r="E55" s="133" t="s">
        <v>991</v>
      </c>
    </row>
    <row r="56" spans="1:5" x14ac:dyDescent="0.2">
      <c r="A56" s="132" t="s">
        <v>54</v>
      </c>
      <c r="B56" s="133" t="s">
        <v>991</v>
      </c>
      <c r="C56" s="133" t="s">
        <v>991</v>
      </c>
      <c r="D56" s="133" t="s">
        <v>991</v>
      </c>
      <c r="E56" s="133" t="s">
        <v>991</v>
      </c>
    </row>
    <row r="57" spans="1:5" x14ac:dyDescent="0.2">
      <c r="A57" s="132" t="s">
        <v>55</v>
      </c>
      <c r="B57" s="133" t="s">
        <v>991</v>
      </c>
      <c r="C57" s="133" t="s">
        <v>991</v>
      </c>
      <c r="D57" s="133" t="s">
        <v>991</v>
      </c>
      <c r="E57" s="133" t="s">
        <v>991</v>
      </c>
    </row>
    <row r="58" spans="1:5" x14ac:dyDescent="0.2">
      <c r="A58" s="132" t="s">
        <v>95</v>
      </c>
      <c r="B58" s="133" t="s">
        <v>991</v>
      </c>
      <c r="C58" s="133" t="s">
        <v>207</v>
      </c>
      <c r="D58" s="133" t="s">
        <v>207</v>
      </c>
      <c r="E58" s="133" t="s">
        <v>207</v>
      </c>
    </row>
    <row r="59" spans="1:5" x14ac:dyDescent="0.2">
      <c r="A59" s="132" t="s">
        <v>96</v>
      </c>
      <c r="B59" s="133" t="s">
        <v>991</v>
      </c>
      <c r="C59" s="133" t="s">
        <v>207</v>
      </c>
      <c r="D59" s="133" t="s">
        <v>207</v>
      </c>
      <c r="E59" s="133" t="s">
        <v>207</v>
      </c>
    </row>
    <row r="60" spans="1:5" x14ac:dyDescent="0.2">
      <c r="A60" s="132" t="s">
        <v>97</v>
      </c>
      <c r="B60" s="133" t="s">
        <v>991</v>
      </c>
      <c r="C60" s="133" t="s">
        <v>991</v>
      </c>
      <c r="D60" s="133" t="s">
        <v>991</v>
      </c>
      <c r="E60" s="133" t="s">
        <v>207</v>
      </c>
    </row>
    <row r="61" spans="1:5" x14ac:dyDescent="0.2">
      <c r="A61" s="132" t="s">
        <v>98</v>
      </c>
      <c r="B61" s="133" t="s">
        <v>991</v>
      </c>
      <c r="C61" s="133" t="s">
        <v>207</v>
      </c>
      <c r="D61" s="133" t="s">
        <v>207</v>
      </c>
      <c r="E61" s="133" t="s">
        <v>207</v>
      </c>
    </row>
    <row r="62" spans="1:5" x14ac:dyDescent="0.2">
      <c r="A62" s="132" t="s">
        <v>56</v>
      </c>
      <c r="B62" s="133" t="s">
        <v>991</v>
      </c>
      <c r="C62" s="133" t="s">
        <v>991</v>
      </c>
      <c r="D62" s="133" t="s">
        <v>207</v>
      </c>
      <c r="E62" s="133" t="s">
        <v>207</v>
      </c>
    </row>
    <row r="63" spans="1:5" x14ac:dyDescent="0.2">
      <c r="A63" s="132" t="s">
        <v>57</v>
      </c>
      <c r="B63" s="133" t="s">
        <v>991</v>
      </c>
      <c r="C63" s="133" t="s">
        <v>991</v>
      </c>
      <c r="D63" s="133" t="s">
        <v>991</v>
      </c>
      <c r="E63" s="133" t="s">
        <v>991</v>
      </c>
    </row>
    <row r="64" spans="1:5" x14ac:dyDescent="0.2">
      <c r="A64" s="132" t="s">
        <v>59</v>
      </c>
      <c r="B64" s="133" t="s">
        <v>991</v>
      </c>
      <c r="C64" s="133" t="s">
        <v>991</v>
      </c>
      <c r="D64" s="133" t="s">
        <v>207</v>
      </c>
      <c r="E64" s="133" t="s">
        <v>207</v>
      </c>
    </row>
    <row r="65" spans="1:5" x14ac:dyDescent="0.2">
      <c r="A65" s="132" t="s">
        <v>60</v>
      </c>
      <c r="B65" s="133" t="s">
        <v>991</v>
      </c>
      <c r="C65" s="133" t="s">
        <v>991</v>
      </c>
      <c r="D65" s="133" t="s">
        <v>207</v>
      </c>
      <c r="E65" s="133" t="s">
        <v>207</v>
      </c>
    </row>
    <row r="66" spans="1:5" x14ac:dyDescent="0.2">
      <c r="A66" s="132" t="s">
        <v>101</v>
      </c>
      <c r="B66" s="133" t="s">
        <v>991</v>
      </c>
      <c r="C66" s="133" t="s">
        <v>207</v>
      </c>
      <c r="D66" s="133" t="s">
        <v>991</v>
      </c>
      <c r="E66" s="133" t="s">
        <v>207</v>
      </c>
    </row>
    <row r="67" spans="1:5" x14ac:dyDescent="0.2">
      <c r="A67" s="132" t="s">
        <v>258</v>
      </c>
      <c r="B67" s="133" t="s">
        <v>207</v>
      </c>
      <c r="C67" s="133" t="s">
        <v>991</v>
      </c>
      <c r="D67" s="133" t="s">
        <v>207</v>
      </c>
      <c r="E67" s="133" t="s">
        <v>207</v>
      </c>
    </row>
    <row r="68" spans="1:5" x14ac:dyDescent="0.2">
      <c r="A68" s="132" t="s">
        <v>102</v>
      </c>
      <c r="B68" s="133" t="s">
        <v>991</v>
      </c>
      <c r="C68" s="133" t="s">
        <v>207</v>
      </c>
      <c r="D68" s="133" t="s">
        <v>207</v>
      </c>
      <c r="E68" s="133" t="s">
        <v>207</v>
      </c>
    </row>
    <row r="69" spans="1:5" x14ac:dyDescent="0.2">
      <c r="A69" s="132" t="s">
        <v>62</v>
      </c>
      <c r="B69" s="133" t="s">
        <v>207</v>
      </c>
      <c r="C69" s="133" t="s">
        <v>991</v>
      </c>
      <c r="D69" s="133" t="s">
        <v>207</v>
      </c>
      <c r="E69" s="133" t="s">
        <v>207</v>
      </c>
    </row>
    <row r="70" spans="1:5" x14ac:dyDescent="0.2">
      <c r="A70" s="132" t="s">
        <v>64</v>
      </c>
      <c r="B70" s="133" t="s">
        <v>991</v>
      </c>
      <c r="C70" s="133" t="s">
        <v>991</v>
      </c>
      <c r="D70" s="133" t="s">
        <v>207</v>
      </c>
      <c r="E70" s="133" t="s">
        <v>207</v>
      </c>
    </row>
    <row r="71" spans="1:5" x14ac:dyDescent="0.2">
      <c r="A71" s="132" t="s">
        <v>65</v>
      </c>
      <c r="B71" s="133" t="s">
        <v>991</v>
      </c>
      <c r="C71" s="133" t="s">
        <v>991</v>
      </c>
      <c r="D71" s="133" t="s">
        <v>207</v>
      </c>
      <c r="E71" s="133" t="s">
        <v>207</v>
      </c>
    </row>
    <row r="72" spans="1:5" x14ac:dyDescent="0.2">
      <c r="A72" s="132" t="s">
        <v>66</v>
      </c>
      <c r="B72" s="133" t="s">
        <v>991</v>
      </c>
      <c r="C72" s="133" t="s">
        <v>991</v>
      </c>
      <c r="D72" s="133" t="s">
        <v>207</v>
      </c>
      <c r="E72" s="133" t="s">
        <v>207</v>
      </c>
    </row>
    <row r="73" spans="1:5" x14ac:dyDescent="0.2">
      <c r="A73" s="132" t="s">
        <v>67</v>
      </c>
      <c r="B73" s="133" t="s">
        <v>991</v>
      </c>
      <c r="C73" s="133" t="s">
        <v>991</v>
      </c>
      <c r="D73" s="133" t="s">
        <v>207</v>
      </c>
      <c r="E73" s="133" t="s">
        <v>207</v>
      </c>
    </row>
    <row r="74" spans="1:5" x14ac:dyDescent="0.2">
      <c r="A74" s="132" t="s">
        <v>68</v>
      </c>
      <c r="B74" s="133" t="s">
        <v>991</v>
      </c>
      <c r="C74" s="133" t="s">
        <v>991</v>
      </c>
      <c r="D74" s="133" t="s">
        <v>207</v>
      </c>
      <c r="E74" s="133" t="s">
        <v>207</v>
      </c>
    </row>
    <row r="75" spans="1:5" x14ac:dyDescent="0.2">
      <c r="A75" s="132" t="s">
        <v>69</v>
      </c>
      <c r="B75" s="133" t="s">
        <v>991</v>
      </c>
      <c r="C75" s="133" t="s">
        <v>991</v>
      </c>
      <c r="D75" s="133" t="s">
        <v>207</v>
      </c>
      <c r="E75" s="133" t="s">
        <v>207</v>
      </c>
    </row>
    <row r="76" spans="1:5" x14ac:dyDescent="0.2">
      <c r="A76" s="132" t="s">
        <v>103</v>
      </c>
      <c r="B76" s="133" t="s">
        <v>991</v>
      </c>
      <c r="C76" s="133" t="s">
        <v>207</v>
      </c>
      <c r="D76" s="133" t="s">
        <v>207</v>
      </c>
      <c r="E76" s="133" t="s">
        <v>207</v>
      </c>
    </row>
    <row r="77" spans="1:5" x14ac:dyDescent="0.2">
      <c r="A77" s="132" t="s">
        <v>70</v>
      </c>
      <c r="B77" s="133" t="s">
        <v>207</v>
      </c>
      <c r="C77" s="133" t="s">
        <v>991</v>
      </c>
      <c r="D77" s="133" t="s">
        <v>207</v>
      </c>
      <c r="E77" s="133" t="s">
        <v>207</v>
      </c>
    </row>
    <row r="78" spans="1:5" x14ac:dyDescent="0.2">
      <c r="A78" s="132" t="s">
        <v>72</v>
      </c>
      <c r="B78" s="133" t="s">
        <v>991</v>
      </c>
      <c r="C78" s="133" t="s">
        <v>991</v>
      </c>
      <c r="D78" s="133" t="s">
        <v>207</v>
      </c>
      <c r="E78" s="133" t="s">
        <v>207</v>
      </c>
    </row>
    <row r="79" spans="1:5" x14ac:dyDescent="0.2">
      <c r="A79" s="132" t="s">
        <v>74</v>
      </c>
      <c r="B79" s="133" t="s">
        <v>991</v>
      </c>
      <c r="C79" s="133" t="s">
        <v>991</v>
      </c>
      <c r="D79" s="133" t="s">
        <v>991</v>
      </c>
      <c r="E79" s="133" t="s">
        <v>207</v>
      </c>
    </row>
    <row r="80" spans="1:5" x14ac:dyDescent="0.2">
      <c r="A80" s="132" t="s">
        <v>105</v>
      </c>
      <c r="B80" s="133" t="s">
        <v>991</v>
      </c>
      <c r="C80" s="133" t="s">
        <v>207</v>
      </c>
      <c r="D80" s="133" t="s">
        <v>207</v>
      </c>
      <c r="E80" s="133" t="s">
        <v>207</v>
      </c>
    </row>
    <row r="81" spans="1:5" x14ac:dyDescent="0.2">
      <c r="A81" s="132" t="s">
        <v>75</v>
      </c>
      <c r="B81" s="133" t="s">
        <v>991</v>
      </c>
      <c r="C81" s="133" t="s">
        <v>991</v>
      </c>
      <c r="D81" s="133" t="s">
        <v>207</v>
      </c>
      <c r="E81" s="133" t="s">
        <v>207</v>
      </c>
    </row>
    <row r="82" spans="1:5" x14ac:dyDescent="0.2">
      <c r="A82" s="132" t="s">
        <v>253</v>
      </c>
      <c r="B82" s="133" t="s">
        <v>991</v>
      </c>
      <c r="C82" s="133" t="s">
        <v>207</v>
      </c>
      <c r="D82" s="133" t="s">
        <v>207</v>
      </c>
      <c r="E82" s="133" t="s">
        <v>207</v>
      </c>
    </row>
    <row r="83" spans="1:5" x14ac:dyDescent="0.2">
      <c r="A83" s="132" t="s">
        <v>76</v>
      </c>
      <c r="B83" s="133" t="s">
        <v>991</v>
      </c>
      <c r="C83" s="133" t="s">
        <v>991</v>
      </c>
      <c r="D83" s="133" t="s">
        <v>207</v>
      </c>
      <c r="E83" s="133" t="s">
        <v>207</v>
      </c>
    </row>
    <row r="84" spans="1:5" x14ac:dyDescent="0.2">
      <c r="A84" s="132" t="s">
        <v>77</v>
      </c>
      <c r="B84" s="133" t="s">
        <v>991</v>
      </c>
      <c r="C84" s="133" t="s">
        <v>991</v>
      </c>
      <c r="D84" s="133" t="s">
        <v>207</v>
      </c>
      <c r="E84" s="133" t="s">
        <v>207</v>
      </c>
    </row>
    <row r="85" spans="1:5" x14ac:dyDescent="0.2">
      <c r="A85" s="132" t="s">
        <v>78</v>
      </c>
      <c r="B85" s="133" t="s">
        <v>991</v>
      </c>
      <c r="C85" s="133" t="s">
        <v>991</v>
      </c>
      <c r="D85" s="133" t="s">
        <v>207</v>
      </c>
      <c r="E85" s="133" t="s">
        <v>207</v>
      </c>
    </row>
    <row r="86" spans="1:5" x14ac:dyDescent="0.2">
      <c r="A86" s="132" t="s">
        <v>79</v>
      </c>
      <c r="B86" s="133" t="s">
        <v>991</v>
      </c>
      <c r="C86" s="133" t="s">
        <v>991</v>
      </c>
      <c r="D86" s="133" t="s">
        <v>207</v>
      </c>
      <c r="E86" s="133" t="s">
        <v>207</v>
      </c>
    </row>
    <row r="87" spans="1:5" x14ac:dyDescent="0.2">
      <c r="A87" s="132" t="s">
        <v>80</v>
      </c>
      <c r="B87" s="133" t="s">
        <v>991</v>
      </c>
      <c r="C87" s="133" t="s">
        <v>991</v>
      </c>
      <c r="D87" s="133" t="s">
        <v>207</v>
      </c>
      <c r="E87" s="133" t="s">
        <v>207</v>
      </c>
    </row>
    <row r="88" spans="1:5" x14ac:dyDescent="0.2">
      <c r="A88" s="132" t="s">
        <v>81</v>
      </c>
      <c r="B88" s="133" t="s">
        <v>991</v>
      </c>
      <c r="C88" s="133" t="s">
        <v>991</v>
      </c>
      <c r="D88" s="133" t="s">
        <v>207</v>
      </c>
      <c r="E88" s="133" t="s">
        <v>207</v>
      </c>
    </row>
    <row r="89" spans="1:5" x14ac:dyDescent="0.2">
      <c r="A89" s="132" t="s">
        <v>82</v>
      </c>
      <c r="B89" s="133" t="s">
        <v>991</v>
      </c>
      <c r="C89" s="133" t="s">
        <v>991</v>
      </c>
      <c r="D89" s="133" t="s">
        <v>207</v>
      </c>
      <c r="E89" s="133" t="s">
        <v>207</v>
      </c>
    </row>
    <row r="90" spans="1:5" x14ac:dyDescent="0.2">
      <c r="A90" s="132" t="s">
        <v>83</v>
      </c>
      <c r="B90" s="133" t="s">
        <v>991</v>
      </c>
      <c r="C90" s="133" t="s">
        <v>991</v>
      </c>
      <c r="D90" s="133" t="s">
        <v>991</v>
      </c>
      <c r="E90" s="133" t="s">
        <v>991</v>
      </c>
    </row>
    <row r="91" spans="1:5" x14ac:dyDescent="0.2">
      <c r="A91" s="132" t="s">
        <v>264</v>
      </c>
      <c r="B91" s="133" t="s">
        <v>207</v>
      </c>
      <c r="C91" s="133" t="s">
        <v>991</v>
      </c>
      <c r="D91" s="133" t="s">
        <v>207</v>
      </c>
      <c r="E91" s="133" t="s">
        <v>207</v>
      </c>
    </row>
    <row r="92" spans="1:5" x14ac:dyDescent="0.2">
      <c r="A92" s="132" t="s">
        <v>260</v>
      </c>
      <c r="B92" s="133" t="s">
        <v>207</v>
      </c>
      <c r="C92" s="133" t="s">
        <v>991</v>
      </c>
      <c r="D92" s="133" t="s">
        <v>207</v>
      </c>
      <c r="E92" s="133" t="s">
        <v>207</v>
      </c>
    </row>
    <row r="93" spans="1:5" x14ac:dyDescent="0.2">
      <c r="A93" s="132" t="s">
        <v>259</v>
      </c>
      <c r="B93" s="133" t="s">
        <v>207</v>
      </c>
      <c r="C93" s="133" t="s">
        <v>991</v>
      </c>
      <c r="D93" s="133" t="s">
        <v>207</v>
      </c>
      <c r="E93" s="133" t="s">
        <v>207</v>
      </c>
    </row>
    <row r="94" spans="1:5" x14ac:dyDescent="0.2">
      <c r="A94" s="132" t="s">
        <v>84</v>
      </c>
      <c r="B94" s="133" t="s">
        <v>207</v>
      </c>
      <c r="C94" s="133" t="s">
        <v>991</v>
      </c>
      <c r="D94" s="133" t="s">
        <v>207</v>
      </c>
      <c r="E94" s="133" t="s">
        <v>991</v>
      </c>
    </row>
    <row r="95" spans="1:5" x14ac:dyDescent="0.2">
      <c r="A95" s="132" t="s">
        <v>85</v>
      </c>
      <c r="B95" s="133" t="s">
        <v>991</v>
      </c>
      <c r="C95" s="133" t="s">
        <v>991</v>
      </c>
      <c r="D95" s="133" t="s">
        <v>207</v>
      </c>
      <c r="E95" s="133" t="s">
        <v>207</v>
      </c>
    </row>
    <row r="96" spans="1:5" x14ac:dyDescent="0.2">
      <c r="A96" s="132" t="s">
        <v>87</v>
      </c>
      <c r="B96" s="133" t="s">
        <v>991</v>
      </c>
      <c r="C96" s="133" t="s">
        <v>991</v>
      </c>
      <c r="D96" s="133" t="s">
        <v>207</v>
      </c>
      <c r="E96" s="133" t="s">
        <v>207</v>
      </c>
    </row>
    <row r="97" spans="1:16" ht="17" thickBot="1" x14ac:dyDescent="0.25"/>
    <row r="98" spans="1:16" s="119" customFormat="1" ht="17" thickBot="1" x14ac:dyDescent="0.25">
      <c r="A98" s="124" t="s">
        <v>263</v>
      </c>
      <c r="E98" s="119" t="s">
        <v>114</v>
      </c>
      <c r="F98" s="119" t="s">
        <v>114</v>
      </c>
      <c r="H98" s="118" t="s">
        <v>251</v>
      </c>
      <c r="I98" s="19" t="s">
        <v>206</v>
      </c>
      <c r="K98" s="119" t="s">
        <v>119</v>
      </c>
      <c r="L98" s="119" t="s">
        <v>119</v>
      </c>
      <c r="N98" s="119" t="s">
        <v>122</v>
      </c>
      <c r="O98" s="21">
        <v>44373</v>
      </c>
      <c r="P98" s="119" t="s">
        <v>273</v>
      </c>
    </row>
    <row r="99" spans="1:16" s="121" customFormat="1" ht="17" thickBot="1" x14ac:dyDescent="0.25">
      <c r="A99" s="125" t="s">
        <v>262</v>
      </c>
      <c r="E99" s="121" t="s">
        <v>118</v>
      </c>
      <c r="F99" s="121" t="s">
        <v>118</v>
      </c>
      <c r="H99" s="120" t="s">
        <v>251</v>
      </c>
      <c r="I99" s="19" t="s">
        <v>206</v>
      </c>
      <c r="K99" s="119" t="s">
        <v>119</v>
      </c>
      <c r="L99" s="119" t="s">
        <v>119</v>
      </c>
      <c r="N99" s="121" t="s">
        <v>117</v>
      </c>
      <c r="O99" s="21">
        <v>44373</v>
      </c>
      <c r="P99" s="121" t="s">
        <v>275</v>
      </c>
    </row>
    <row r="100" spans="1:16" s="113" customFormat="1" x14ac:dyDescent="0.2">
      <c r="A100" s="126" t="s">
        <v>254</v>
      </c>
      <c r="E100" s="113" t="s">
        <v>118</v>
      </c>
      <c r="F100" s="113" t="s">
        <v>118</v>
      </c>
      <c r="H100" s="112" t="s">
        <v>250</v>
      </c>
      <c r="I100" s="114" t="s">
        <v>204</v>
      </c>
      <c r="K100" s="113" t="s">
        <v>119</v>
      </c>
      <c r="L100" s="113" t="s">
        <v>119</v>
      </c>
      <c r="N100" s="113" t="s">
        <v>117</v>
      </c>
      <c r="O100" s="21">
        <v>44373</v>
      </c>
      <c r="P100" s="113" t="s">
        <v>274</v>
      </c>
    </row>
    <row r="101" spans="1:16" s="113" customFormat="1" x14ac:dyDescent="0.2">
      <c r="A101" s="126" t="s">
        <v>256</v>
      </c>
      <c r="E101" s="113" t="s">
        <v>118</v>
      </c>
      <c r="F101" s="113" t="s">
        <v>118</v>
      </c>
      <c r="H101" s="112" t="s">
        <v>250</v>
      </c>
      <c r="I101" s="114" t="s">
        <v>204</v>
      </c>
      <c r="K101" s="113" t="s">
        <v>121</v>
      </c>
      <c r="L101" s="113" t="s">
        <v>121</v>
      </c>
      <c r="N101" s="113" t="s">
        <v>117</v>
      </c>
      <c r="O101" s="21">
        <v>44373</v>
      </c>
      <c r="P101" s="113" t="s">
        <v>276</v>
      </c>
    </row>
    <row r="102" spans="1:16" s="113" customFormat="1" x14ac:dyDescent="0.2">
      <c r="A102" s="126" t="s">
        <v>252</v>
      </c>
      <c r="E102" s="113" t="s">
        <v>118</v>
      </c>
      <c r="F102" s="113" t="s">
        <v>118</v>
      </c>
      <c r="H102" s="112" t="s">
        <v>251</v>
      </c>
      <c r="I102" s="19" t="s">
        <v>206</v>
      </c>
      <c r="K102" s="113" t="s">
        <v>119</v>
      </c>
      <c r="L102" s="113" t="s">
        <v>119</v>
      </c>
      <c r="N102" s="113" t="s">
        <v>117</v>
      </c>
      <c r="O102" s="21">
        <v>44373</v>
      </c>
      <c r="P102" s="113" t="s">
        <v>277</v>
      </c>
    </row>
    <row r="103" spans="1:16" s="113" customFormat="1" ht="17" thickBot="1" x14ac:dyDescent="0.25">
      <c r="A103" s="126" t="s">
        <v>255</v>
      </c>
      <c r="E103" s="113" t="s">
        <v>114</v>
      </c>
      <c r="F103" s="113" t="s">
        <v>114</v>
      </c>
      <c r="H103" s="111" t="s">
        <v>205</v>
      </c>
      <c r="I103" s="114" t="s">
        <v>205</v>
      </c>
      <c r="K103" s="113" t="s">
        <v>119</v>
      </c>
      <c r="L103" s="113" t="s">
        <v>119</v>
      </c>
      <c r="N103" s="113" t="s">
        <v>113</v>
      </c>
      <c r="O103" s="21">
        <v>44373</v>
      </c>
      <c r="P103" s="113" t="s">
        <v>278</v>
      </c>
    </row>
    <row r="104" spans="1:16" s="117" customFormat="1" ht="17" thickBot="1" x14ac:dyDescent="0.25">
      <c r="A104" s="127" t="s">
        <v>257</v>
      </c>
      <c r="E104" s="117" t="s">
        <v>118</v>
      </c>
      <c r="F104" s="117" t="s">
        <v>118</v>
      </c>
      <c r="H104" s="115" t="s">
        <v>205</v>
      </c>
      <c r="I104" s="117" t="s">
        <v>205</v>
      </c>
      <c r="K104" s="117" t="s">
        <v>119</v>
      </c>
      <c r="L104" s="117" t="s">
        <v>119</v>
      </c>
      <c r="N104" s="117" t="s">
        <v>117</v>
      </c>
      <c r="O104" s="21">
        <v>44373</v>
      </c>
      <c r="P104" s="117" t="s">
        <v>279</v>
      </c>
    </row>
    <row r="105" spans="1:16" s="117" customFormat="1" ht="17" thickBot="1" x14ac:dyDescent="0.25">
      <c r="A105" s="127" t="s">
        <v>258</v>
      </c>
      <c r="E105" s="115" t="s">
        <v>126</v>
      </c>
      <c r="F105" s="117" t="s">
        <v>126</v>
      </c>
      <c r="H105" s="115" t="s">
        <v>206</v>
      </c>
      <c r="I105" s="117" t="s">
        <v>206</v>
      </c>
      <c r="K105" s="115" t="s">
        <v>121</v>
      </c>
      <c r="L105" s="117" t="s">
        <v>121</v>
      </c>
      <c r="N105" s="116" t="s">
        <v>125</v>
      </c>
      <c r="O105" s="21">
        <v>44373</v>
      </c>
      <c r="P105" s="117" t="s">
        <v>272</v>
      </c>
    </row>
    <row r="106" spans="1:16" x14ac:dyDescent="0.2">
      <c r="A106" s="122" t="s">
        <v>253</v>
      </c>
      <c r="E106" s="24" t="s">
        <v>126</v>
      </c>
      <c r="F106" s="12" t="s">
        <v>126</v>
      </c>
      <c r="H106" s="19" t="s">
        <v>204</v>
      </c>
      <c r="I106" s="1" t="s">
        <v>204</v>
      </c>
      <c r="K106" s="17" t="s">
        <v>115</v>
      </c>
      <c r="L106" s="1" t="s">
        <v>115</v>
      </c>
      <c r="N106" s="18" t="s">
        <v>129</v>
      </c>
      <c r="O106" s="21">
        <v>44649</v>
      </c>
      <c r="P106" s="134" t="s">
        <v>285</v>
      </c>
    </row>
    <row r="107" spans="1:16" s="113" customFormat="1" x14ac:dyDescent="0.2">
      <c r="A107" s="126" t="s">
        <v>264</v>
      </c>
      <c r="E107" s="111" t="s">
        <v>165</v>
      </c>
      <c r="F107" s="114" t="s">
        <v>161</v>
      </c>
      <c r="G107" s="113" t="s">
        <v>269</v>
      </c>
      <c r="H107" s="111" t="s">
        <v>204</v>
      </c>
      <c r="I107" s="114" t="s">
        <v>204</v>
      </c>
      <c r="K107" s="111" t="s">
        <v>115</v>
      </c>
      <c r="L107" s="114" t="s">
        <v>115</v>
      </c>
      <c r="N107" s="113" t="s">
        <v>129</v>
      </c>
      <c r="O107" s="21">
        <v>44373</v>
      </c>
      <c r="P107" s="113" t="s">
        <v>270</v>
      </c>
    </row>
    <row r="108" spans="1:16" x14ac:dyDescent="0.2">
      <c r="A108" s="122" t="s">
        <v>260</v>
      </c>
      <c r="E108" s="24" t="s">
        <v>118</v>
      </c>
      <c r="F108" s="12" t="s">
        <v>118</v>
      </c>
      <c r="H108" s="109" t="s">
        <v>261</v>
      </c>
      <c r="I108" s="38" t="s">
        <v>271</v>
      </c>
      <c r="J108" s="110" t="s">
        <v>268</v>
      </c>
      <c r="K108" s="17" t="s">
        <v>115</v>
      </c>
      <c r="L108" s="1" t="s">
        <v>115</v>
      </c>
      <c r="N108" t="s">
        <v>129</v>
      </c>
      <c r="O108" s="21">
        <v>44373</v>
      </c>
      <c r="P108" t="s">
        <v>265</v>
      </c>
    </row>
    <row r="109" spans="1:16" s="113" customFormat="1" x14ac:dyDescent="0.2">
      <c r="A109" s="126" t="s">
        <v>259</v>
      </c>
      <c r="E109" s="111" t="s">
        <v>189</v>
      </c>
      <c r="F109" s="114" t="s">
        <v>161</v>
      </c>
      <c r="G109" s="113" t="s">
        <v>266</v>
      </c>
      <c r="H109" s="114" t="s">
        <v>204</v>
      </c>
      <c r="I109" s="113" t="s">
        <v>204</v>
      </c>
      <c r="K109" s="114" t="s">
        <v>115</v>
      </c>
      <c r="L109" s="114" t="s">
        <v>115</v>
      </c>
      <c r="N109" s="114" t="s">
        <v>117</v>
      </c>
      <c r="O109" s="21">
        <v>44373</v>
      </c>
      <c r="P109" s="113" t="s">
        <v>267</v>
      </c>
    </row>
    <row r="110" spans="1:16" x14ac:dyDescent="0.2">
      <c r="A110" s="110" t="s">
        <v>823</v>
      </c>
      <c r="E110" s="110" t="s">
        <v>114</v>
      </c>
      <c r="F110" t="s">
        <v>114</v>
      </c>
      <c r="H110" s="19" t="s">
        <v>206</v>
      </c>
      <c r="I110" s="1" t="s">
        <v>206</v>
      </c>
      <c r="K110" t="s">
        <v>115</v>
      </c>
      <c r="L110" s="1" t="s">
        <v>115</v>
      </c>
      <c r="N110" s="12" t="s">
        <v>117</v>
      </c>
      <c r="O110" s="130">
        <v>44642</v>
      </c>
      <c r="P110" t="s">
        <v>980</v>
      </c>
    </row>
    <row r="111" spans="1:16" x14ac:dyDescent="0.2">
      <c r="A111" s="110" t="s">
        <v>837</v>
      </c>
      <c r="E111" s="110" t="s">
        <v>114</v>
      </c>
      <c r="F111" t="s">
        <v>114</v>
      </c>
      <c r="H111" s="110" t="s">
        <v>205</v>
      </c>
      <c r="I111" t="s">
        <v>205</v>
      </c>
      <c r="K111" s="12" t="s">
        <v>115</v>
      </c>
      <c r="L111" s="1" t="s">
        <v>115</v>
      </c>
      <c r="N111" s="12" t="s">
        <v>129</v>
      </c>
      <c r="O111" s="130">
        <v>44642</v>
      </c>
      <c r="P111" t="s">
        <v>981</v>
      </c>
    </row>
    <row r="112" spans="1:16" x14ac:dyDescent="0.2">
      <c r="A112" s="110" t="s">
        <v>962</v>
      </c>
      <c r="E112" s="110" t="s">
        <v>114</v>
      </c>
      <c r="F112" t="s">
        <v>114</v>
      </c>
      <c r="H112" s="110" t="s">
        <v>250</v>
      </c>
      <c r="I112" s="110" t="s">
        <v>205</v>
      </c>
      <c r="J112" s="110" t="s">
        <v>983</v>
      </c>
      <c r="K112" s="12" t="s">
        <v>121</v>
      </c>
      <c r="L112" s="1" t="s">
        <v>121</v>
      </c>
      <c r="N112" s="12" t="s">
        <v>125</v>
      </c>
      <c r="O112" s="130">
        <v>44642</v>
      </c>
      <c r="P112" t="s">
        <v>982</v>
      </c>
    </row>
    <row r="113" spans="1:16" x14ac:dyDescent="0.2">
      <c r="A113" s="110" t="s">
        <v>966</v>
      </c>
      <c r="E113" s="110" t="s">
        <v>114</v>
      </c>
      <c r="F113" t="s">
        <v>114</v>
      </c>
      <c r="H113" s="110" t="s">
        <v>250</v>
      </c>
      <c r="I113" t="s">
        <v>204</v>
      </c>
      <c r="K113" s="12" t="s">
        <v>119</v>
      </c>
      <c r="L113" s="1" t="s">
        <v>119</v>
      </c>
      <c r="N113" s="12" t="s">
        <v>122</v>
      </c>
      <c r="O113" s="130">
        <v>44642</v>
      </c>
      <c r="P113" t="s">
        <v>984</v>
      </c>
    </row>
    <row r="114" spans="1:16" x14ac:dyDescent="0.2">
      <c r="A114" s="110" t="s">
        <v>973</v>
      </c>
      <c r="E114" s="110" t="s">
        <v>126</v>
      </c>
      <c r="F114" t="s">
        <v>126</v>
      </c>
      <c r="H114" s="110" t="s">
        <v>250</v>
      </c>
      <c r="I114" s="1" t="s">
        <v>204</v>
      </c>
      <c r="K114" s="12" t="s">
        <v>131</v>
      </c>
      <c r="L114" s="1" t="s">
        <v>131</v>
      </c>
      <c r="N114" s="12" t="s">
        <v>129</v>
      </c>
      <c r="O114" s="130">
        <v>44642</v>
      </c>
      <c r="P114" t="s">
        <v>985</v>
      </c>
    </row>
    <row r="115" spans="1:16" x14ac:dyDescent="0.2">
      <c r="A115" t="s">
        <v>830</v>
      </c>
      <c r="E115" s="110" t="s">
        <v>189</v>
      </c>
      <c r="F115" t="s">
        <v>161</v>
      </c>
      <c r="H115" s="110" t="s">
        <v>205</v>
      </c>
      <c r="I115" t="s">
        <v>205</v>
      </c>
      <c r="K115" s="12" t="s">
        <v>115</v>
      </c>
      <c r="L115" s="1" t="s">
        <v>115</v>
      </c>
      <c r="N115" s="12" t="s">
        <v>129</v>
      </c>
      <c r="O115" s="130">
        <v>44642</v>
      </c>
      <c r="P115" t="s">
        <v>986</v>
      </c>
    </row>
  </sheetData>
  <sortState xmlns:xlrd2="http://schemas.microsoft.com/office/spreadsheetml/2017/richdata2" ref="A123:G135">
    <sortCondition ref="A123:A135"/>
  </sortState>
  <hyperlinks>
    <hyperlink ref="P106" r:id="rId1" xr:uid="{90511903-08A6-BB48-AB67-0289D98D933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F3D4B-A749-C545-B92C-310040681A9E}">
  <dimension ref="B1:M87"/>
  <sheetViews>
    <sheetView topLeftCell="A74" workbookViewId="0">
      <selection activeCell="H92" sqref="H92"/>
    </sheetView>
  </sheetViews>
  <sheetFormatPr baseColWidth="10" defaultRowHeight="16" x14ac:dyDescent="0.2"/>
  <cols>
    <col min="1" max="1" width="10.83203125" style="57"/>
    <col min="2" max="2" width="4.6640625" style="57" customWidth="1"/>
    <col min="3" max="4" width="4.1640625" style="55" customWidth="1"/>
    <col min="5" max="5" width="24.83203125" style="56" customWidth="1"/>
    <col min="6" max="6" width="13.83203125" style="57" bestFit="1" customWidth="1"/>
    <col min="7" max="7" width="12" style="57" customWidth="1"/>
    <col min="8" max="8" width="11.5" style="57" bestFit="1" customWidth="1"/>
    <col min="9" max="9" width="13" style="57" customWidth="1"/>
    <col min="10" max="10" width="4.6640625" style="57" customWidth="1"/>
    <col min="11" max="11" width="26.1640625" style="57" bestFit="1" customWidth="1"/>
    <col min="12" max="12" width="56.33203125" style="65" bestFit="1" customWidth="1"/>
    <col min="13" max="13" width="53.1640625" style="58" customWidth="1"/>
    <col min="14" max="16384" width="10.83203125" style="57"/>
  </cols>
  <sheetData>
    <row r="1" spans="2:13" ht="17" thickBot="1" x14ac:dyDescent="0.25"/>
    <row r="2" spans="2:13" s="64" customFormat="1" ht="34" customHeight="1" x14ac:dyDescent="0.2">
      <c r="B2" s="175" t="s">
        <v>249</v>
      </c>
      <c r="C2" s="179" t="s">
        <v>213</v>
      </c>
      <c r="D2" s="179" t="s">
        <v>107</v>
      </c>
      <c r="E2" s="165" t="s">
        <v>240</v>
      </c>
      <c r="F2" s="67" t="s">
        <v>239</v>
      </c>
      <c r="G2" s="67" t="s">
        <v>242</v>
      </c>
      <c r="H2" s="67" t="s">
        <v>238</v>
      </c>
      <c r="I2" s="95" t="s">
        <v>237</v>
      </c>
      <c r="J2" s="175" t="s">
        <v>249</v>
      </c>
      <c r="K2" s="165" t="s">
        <v>240</v>
      </c>
      <c r="L2" s="169" t="s">
        <v>241</v>
      </c>
      <c r="M2" s="63"/>
    </row>
    <row r="3" spans="2:13" s="59" customFormat="1" ht="84" customHeight="1" thickBot="1" x14ac:dyDescent="0.25">
      <c r="B3" s="176"/>
      <c r="C3" s="180"/>
      <c r="D3" s="180"/>
      <c r="E3" s="178"/>
      <c r="F3" s="94" t="s">
        <v>235</v>
      </c>
      <c r="G3" s="94" t="s">
        <v>236</v>
      </c>
      <c r="H3" s="94" t="s">
        <v>235</v>
      </c>
      <c r="I3" s="96" t="s">
        <v>235</v>
      </c>
      <c r="J3" s="176"/>
      <c r="K3" s="178"/>
      <c r="L3" s="177"/>
      <c r="M3" s="59" t="s">
        <v>230</v>
      </c>
    </row>
    <row r="4" spans="2:13" ht="34" x14ac:dyDescent="0.2">
      <c r="B4" s="90">
        <v>1</v>
      </c>
      <c r="C4" s="91"/>
      <c r="D4" s="91" t="s">
        <v>229</v>
      </c>
      <c r="E4" s="92" t="s">
        <v>88</v>
      </c>
      <c r="F4" s="93" t="s">
        <v>114</v>
      </c>
      <c r="G4" s="91" t="s">
        <v>204</v>
      </c>
      <c r="H4" s="91" t="s">
        <v>115</v>
      </c>
      <c r="I4" s="97" t="s">
        <v>113</v>
      </c>
      <c r="J4" s="90">
        <v>1</v>
      </c>
      <c r="K4" s="92" t="s">
        <v>88</v>
      </c>
      <c r="L4" s="104" t="s">
        <v>112</v>
      </c>
    </row>
    <row r="5" spans="2:13" ht="17" x14ac:dyDescent="0.2">
      <c r="B5" s="85">
        <v>2</v>
      </c>
      <c r="C5" s="78" t="s">
        <v>229</v>
      </c>
      <c r="D5" s="78" t="s">
        <v>229</v>
      </c>
      <c r="E5" s="79" t="s">
        <v>8</v>
      </c>
      <c r="F5" s="80" t="s">
        <v>118</v>
      </c>
      <c r="G5" s="78" t="s">
        <v>206</v>
      </c>
      <c r="H5" s="78" t="s">
        <v>119</v>
      </c>
      <c r="I5" s="98" t="s">
        <v>117</v>
      </c>
      <c r="J5" s="85">
        <v>2</v>
      </c>
      <c r="K5" s="79" t="s">
        <v>8</v>
      </c>
      <c r="L5" s="101" t="s">
        <v>116</v>
      </c>
    </row>
    <row r="6" spans="2:13" ht="17" x14ac:dyDescent="0.2">
      <c r="B6" s="85">
        <v>3</v>
      </c>
      <c r="C6" s="78" t="s">
        <v>229</v>
      </c>
      <c r="D6" s="78" t="s">
        <v>229</v>
      </c>
      <c r="E6" s="79" t="s">
        <v>10</v>
      </c>
      <c r="F6" s="80" t="s">
        <v>114</v>
      </c>
      <c r="G6" s="78" t="s">
        <v>205</v>
      </c>
      <c r="H6" s="78" t="s">
        <v>121</v>
      </c>
      <c r="I6" s="98" t="s">
        <v>122</v>
      </c>
      <c r="J6" s="85">
        <v>3</v>
      </c>
      <c r="K6" s="79" t="s">
        <v>10</v>
      </c>
      <c r="L6" s="101" t="s">
        <v>120</v>
      </c>
    </row>
    <row r="7" spans="2:13" ht="17" x14ac:dyDescent="0.2">
      <c r="B7" s="85">
        <v>4</v>
      </c>
      <c r="C7" s="78" t="s">
        <v>229</v>
      </c>
      <c r="D7" s="78"/>
      <c r="E7" s="79" t="s">
        <v>11</v>
      </c>
      <c r="F7" s="80" t="s">
        <v>118</v>
      </c>
      <c r="G7" s="78" t="s">
        <v>206</v>
      </c>
      <c r="H7" s="78" t="s">
        <v>119</v>
      </c>
      <c r="I7" s="98" t="s">
        <v>117</v>
      </c>
      <c r="J7" s="85">
        <v>4</v>
      </c>
      <c r="K7" s="79" t="s">
        <v>11</v>
      </c>
      <c r="L7" s="101" t="s">
        <v>123</v>
      </c>
    </row>
    <row r="8" spans="2:13" ht="17" x14ac:dyDescent="0.2">
      <c r="B8" s="85">
        <v>5</v>
      </c>
      <c r="C8" s="78" t="s">
        <v>229</v>
      </c>
      <c r="D8" s="78"/>
      <c r="E8" s="79" t="s">
        <v>12</v>
      </c>
      <c r="F8" s="80" t="s">
        <v>118</v>
      </c>
      <c r="G8" s="78" t="s">
        <v>204</v>
      </c>
      <c r="H8" s="78" t="s">
        <v>119</v>
      </c>
      <c r="I8" s="98" t="s">
        <v>117</v>
      </c>
      <c r="J8" s="85">
        <v>5</v>
      </c>
      <c r="K8" s="79" t="s">
        <v>12</v>
      </c>
      <c r="L8" s="101" t="s">
        <v>124</v>
      </c>
    </row>
    <row r="9" spans="2:13" ht="51" x14ac:dyDescent="0.2">
      <c r="B9" s="85">
        <v>6</v>
      </c>
      <c r="C9" s="78" t="s">
        <v>229</v>
      </c>
      <c r="D9" s="78"/>
      <c r="E9" s="79" t="s">
        <v>13</v>
      </c>
      <c r="F9" s="80" t="s">
        <v>126</v>
      </c>
      <c r="G9" s="78" t="s">
        <v>208</v>
      </c>
      <c r="H9" s="78" t="s">
        <v>121</v>
      </c>
      <c r="I9" s="98" t="s">
        <v>125</v>
      </c>
      <c r="J9" s="85">
        <v>6</v>
      </c>
      <c r="K9" s="79" t="s">
        <v>13</v>
      </c>
      <c r="L9" s="101" t="s">
        <v>128</v>
      </c>
    </row>
    <row r="10" spans="2:13" ht="17" x14ac:dyDescent="0.2">
      <c r="B10" s="85">
        <v>7</v>
      </c>
      <c r="C10" s="78" t="s">
        <v>229</v>
      </c>
      <c r="D10" s="78"/>
      <c r="E10" s="79" t="s">
        <v>14</v>
      </c>
      <c r="F10" s="80" t="s">
        <v>126</v>
      </c>
      <c r="G10" s="78" t="s">
        <v>204</v>
      </c>
      <c r="H10" s="78" t="s">
        <v>121</v>
      </c>
      <c r="I10" s="98" t="s">
        <v>117</v>
      </c>
      <c r="J10" s="85">
        <v>7</v>
      </c>
      <c r="K10" s="79" t="s">
        <v>14</v>
      </c>
      <c r="L10" s="101" t="s">
        <v>127</v>
      </c>
    </row>
    <row r="11" spans="2:13" ht="34" x14ac:dyDescent="0.2">
      <c r="B11" s="85">
        <v>8</v>
      </c>
      <c r="C11" s="78" t="s">
        <v>229</v>
      </c>
      <c r="D11" s="78" t="s">
        <v>229</v>
      </c>
      <c r="E11" s="79" t="s">
        <v>15</v>
      </c>
      <c r="F11" s="80" t="s">
        <v>126</v>
      </c>
      <c r="G11" s="78" t="s">
        <v>205</v>
      </c>
      <c r="H11" s="78" t="s">
        <v>131</v>
      </c>
      <c r="I11" s="98" t="s">
        <v>129</v>
      </c>
      <c r="J11" s="85">
        <v>8</v>
      </c>
      <c r="K11" s="79" t="s">
        <v>15</v>
      </c>
      <c r="L11" s="101" t="s">
        <v>130</v>
      </c>
    </row>
    <row r="12" spans="2:13" ht="34" x14ac:dyDescent="0.2">
      <c r="B12" s="85">
        <v>9</v>
      </c>
      <c r="C12" s="78" t="s">
        <v>229</v>
      </c>
      <c r="D12" s="78" t="s">
        <v>229</v>
      </c>
      <c r="E12" s="79" t="s">
        <v>16</v>
      </c>
      <c r="F12" s="80" t="s">
        <v>114</v>
      </c>
      <c r="G12" s="78" t="s">
        <v>204</v>
      </c>
      <c r="H12" s="78" t="s">
        <v>115</v>
      </c>
      <c r="I12" s="98" t="s">
        <v>113</v>
      </c>
      <c r="J12" s="85">
        <v>9</v>
      </c>
      <c r="K12" s="79" t="s">
        <v>16</v>
      </c>
      <c r="L12" s="101" t="s">
        <v>132</v>
      </c>
    </row>
    <row r="13" spans="2:13" ht="17" x14ac:dyDescent="0.2">
      <c r="B13" s="85">
        <v>10</v>
      </c>
      <c r="C13" s="78" t="s">
        <v>229</v>
      </c>
      <c r="D13" s="78" t="s">
        <v>229</v>
      </c>
      <c r="E13" s="79" t="s">
        <v>18</v>
      </c>
      <c r="F13" s="80" t="s">
        <v>114</v>
      </c>
      <c r="G13" s="78" t="s">
        <v>205</v>
      </c>
      <c r="H13" s="78" t="s">
        <v>115</v>
      </c>
      <c r="I13" s="98" t="s">
        <v>122</v>
      </c>
      <c r="J13" s="85">
        <v>10</v>
      </c>
      <c r="K13" s="79" t="s">
        <v>18</v>
      </c>
      <c r="L13" s="101" t="s">
        <v>133</v>
      </c>
    </row>
    <row r="14" spans="2:13" ht="34" x14ac:dyDescent="0.2">
      <c r="B14" s="85">
        <v>11</v>
      </c>
      <c r="C14" s="78" t="s">
        <v>229</v>
      </c>
      <c r="D14" s="78" t="s">
        <v>229</v>
      </c>
      <c r="E14" s="79" t="s">
        <v>19</v>
      </c>
      <c r="F14" s="80" t="s">
        <v>114</v>
      </c>
      <c r="G14" s="78" t="s">
        <v>206</v>
      </c>
      <c r="H14" s="78" t="s">
        <v>115</v>
      </c>
      <c r="I14" s="98" t="s">
        <v>113</v>
      </c>
      <c r="J14" s="85">
        <v>11</v>
      </c>
      <c r="K14" s="79" t="s">
        <v>19</v>
      </c>
      <c r="L14" s="101" t="s">
        <v>134</v>
      </c>
    </row>
    <row r="15" spans="2:13" ht="17" x14ac:dyDescent="0.2">
      <c r="B15" s="85">
        <v>12</v>
      </c>
      <c r="C15" s="78" t="s">
        <v>229</v>
      </c>
      <c r="D15" s="78"/>
      <c r="E15" s="79" t="s">
        <v>20</v>
      </c>
      <c r="F15" s="80" t="s">
        <v>114</v>
      </c>
      <c r="G15" s="78" t="s">
        <v>205</v>
      </c>
      <c r="H15" s="78" t="s">
        <v>115</v>
      </c>
      <c r="I15" s="98" t="s">
        <v>122</v>
      </c>
      <c r="J15" s="85">
        <v>12</v>
      </c>
      <c r="K15" s="79" t="s">
        <v>20</v>
      </c>
      <c r="L15" s="101" t="s">
        <v>135</v>
      </c>
    </row>
    <row r="16" spans="2:13" ht="34" x14ac:dyDescent="0.2">
      <c r="B16" s="85">
        <v>13</v>
      </c>
      <c r="C16" s="78" t="s">
        <v>229</v>
      </c>
      <c r="D16" s="78"/>
      <c r="E16" s="79" t="s">
        <v>21</v>
      </c>
      <c r="F16" s="80" t="s">
        <v>114</v>
      </c>
      <c r="G16" s="78" t="s">
        <v>204</v>
      </c>
      <c r="H16" s="78" t="s">
        <v>115</v>
      </c>
      <c r="I16" s="98" t="s">
        <v>113</v>
      </c>
      <c r="J16" s="85">
        <v>13</v>
      </c>
      <c r="K16" s="79" t="s">
        <v>21</v>
      </c>
      <c r="L16" s="101" t="s">
        <v>134</v>
      </c>
    </row>
    <row r="17" spans="2:13" ht="34" x14ac:dyDescent="0.2">
      <c r="B17" s="85">
        <v>14</v>
      </c>
      <c r="C17" s="78" t="s">
        <v>229</v>
      </c>
      <c r="D17" s="78" t="s">
        <v>229</v>
      </c>
      <c r="E17" s="79" t="s">
        <v>22</v>
      </c>
      <c r="F17" s="80" t="s">
        <v>114</v>
      </c>
      <c r="G17" s="78" t="s">
        <v>204</v>
      </c>
      <c r="H17" s="78" t="s">
        <v>115</v>
      </c>
      <c r="I17" s="98" t="s">
        <v>113</v>
      </c>
      <c r="J17" s="85">
        <v>14</v>
      </c>
      <c r="K17" s="79" t="s">
        <v>22</v>
      </c>
      <c r="L17" s="101" t="s">
        <v>136</v>
      </c>
    </row>
    <row r="18" spans="2:13" ht="51" x14ac:dyDescent="0.2">
      <c r="B18" s="85">
        <v>15</v>
      </c>
      <c r="C18" s="78" t="s">
        <v>229</v>
      </c>
      <c r="D18" s="78" t="s">
        <v>229</v>
      </c>
      <c r="E18" s="79" t="s">
        <v>23</v>
      </c>
      <c r="F18" s="80" t="s">
        <v>126</v>
      </c>
      <c r="G18" s="78" t="s">
        <v>204</v>
      </c>
      <c r="H18" s="78" t="s">
        <v>115</v>
      </c>
      <c r="I18" s="98" t="s">
        <v>125</v>
      </c>
      <c r="J18" s="85">
        <v>15</v>
      </c>
      <c r="K18" s="79" t="s">
        <v>23</v>
      </c>
      <c r="L18" s="101" t="s">
        <v>137</v>
      </c>
    </row>
    <row r="19" spans="2:13" ht="17" x14ac:dyDescent="0.2">
      <c r="B19" s="85">
        <v>16</v>
      </c>
      <c r="C19" s="78" t="s">
        <v>229</v>
      </c>
      <c r="D19" s="78" t="s">
        <v>229</v>
      </c>
      <c r="E19" s="79" t="s">
        <v>24</v>
      </c>
      <c r="F19" s="80" t="s">
        <v>114</v>
      </c>
      <c r="G19" s="78" t="s">
        <v>205</v>
      </c>
      <c r="H19" s="78" t="s">
        <v>115</v>
      </c>
      <c r="I19" s="98" t="s">
        <v>122</v>
      </c>
      <c r="J19" s="85">
        <v>16</v>
      </c>
      <c r="K19" s="79" t="s">
        <v>24</v>
      </c>
      <c r="L19" s="101" t="s">
        <v>138</v>
      </c>
    </row>
    <row r="20" spans="2:13" ht="17" x14ac:dyDescent="0.2">
      <c r="B20" s="85">
        <v>17</v>
      </c>
      <c r="C20" s="78" t="s">
        <v>229</v>
      </c>
      <c r="D20" s="78" t="s">
        <v>229</v>
      </c>
      <c r="E20" s="79" t="s">
        <v>25</v>
      </c>
      <c r="F20" s="80" t="s">
        <v>114</v>
      </c>
      <c r="G20" s="78" t="s">
        <v>204</v>
      </c>
      <c r="H20" s="78" t="s">
        <v>119</v>
      </c>
      <c r="I20" s="98" t="s">
        <v>122</v>
      </c>
      <c r="J20" s="85">
        <v>17</v>
      </c>
      <c r="K20" s="79" t="s">
        <v>25</v>
      </c>
      <c r="L20" s="101" t="s">
        <v>139</v>
      </c>
    </row>
    <row r="21" spans="2:13" ht="17" x14ac:dyDescent="0.2">
      <c r="B21" s="85">
        <v>18</v>
      </c>
      <c r="C21" s="78" t="s">
        <v>229</v>
      </c>
      <c r="D21" s="78"/>
      <c r="E21" s="79" t="s">
        <v>26</v>
      </c>
      <c r="F21" s="80" t="s">
        <v>114</v>
      </c>
      <c r="G21" s="78" t="s">
        <v>205</v>
      </c>
      <c r="H21" s="78" t="s">
        <v>121</v>
      </c>
      <c r="I21" s="98" t="s">
        <v>117</v>
      </c>
      <c r="J21" s="85">
        <v>18</v>
      </c>
      <c r="K21" s="79" t="s">
        <v>26</v>
      </c>
      <c r="L21" s="101" t="s">
        <v>140</v>
      </c>
    </row>
    <row r="22" spans="2:13" ht="34" x14ac:dyDescent="0.2">
      <c r="B22" s="85">
        <v>19</v>
      </c>
      <c r="C22" s="78" t="s">
        <v>229</v>
      </c>
      <c r="D22" s="78"/>
      <c r="E22" s="79" t="s">
        <v>28</v>
      </c>
      <c r="F22" s="80" t="s">
        <v>114</v>
      </c>
      <c r="G22" s="78" t="s">
        <v>204</v>
      </c>
      <c r="H22" s="78" t="s">
        <v>121</v>
      </c>
      <c r="I22" s="98" t="s">
        <v>129</v>
      </c>
      <c r="J22" s="85">
        <v>19</v>
      </c>
      <c r="K22" s="79" t="s">
        <v>28</v>
      </c>
      <c r="L22" s="101" t="s">
        <v>141</v>
      </c>
    </row>
    <row r="23" spans="2:13" ht="34" x14ac:dyDescent="0.2">
      <c r="B23" s="85">
        <v>20</v>
      </c>
      <c r="C23" s="78" t="s">
        <v>229</v>
      </c>
      <c r="D23" s="78" t="s">
        <v>229</v>
      </c>
      <c r="E23" s="79" t="s">
        <v>29</v>
      </c>
      <c r="F23" s="80" t="s">
        <v>114</v>
      </c>
      <c r="G23" s="78" t="s">
        <v>204</v>
      </c>
      <c r="H23" s="78" t="s">
        <v>115</v>
      </c>
      <c r="I23" s="98" t="s">
        <v>113</v>
      </c>
      <c r="J23" s="85">
        <v>20</v>
      </c>
      <c r="K23" s="79" t="s">
        <v>29</v>
      </c>
      <c r="L23" s="101" t="s">
        <v>142</v>
      </c>
    </row>
    <row r="24" spans="2:13" ht="51" x14ac:dyDescent="0.2">
      <c r="B24" s="85">
        <v>21</v>
      </c>
      <c r="C24" s="78" t="s">
        <v>229</v>
      </c>
      <c r="D24" s="78" t="s">
        <v>229</v>
      </c>
      <c r="E24" s="79" t="s">
        <v>30</v>
      </c>
      <c r="F24" s="80" t="s">
        <v>114</v>
      </c>
      <c r="G24" s="78" t="s">
        <v>204</v>
      </c>
      <c r="H24" s="78" t="s">
        <v>115</v>
      </c>
      <c r="I24" s="98" t="s">
        <v>125</v>
      </c>
      <c r="J24" s="85">
        <v>21</v>
      </c>
      <c r="K24" s="79" t="s">
        <v>30</v>
      </c>
      <c r="L24" s="101" t="s">
        <v>143</v>
      </c>
    </row>
    <row r="25" spans="2:13" ht="61" customHeight="1" x14ac:dyDescent="0.2">
      <c r="B25" s="85">
        <v>22</v>
      </c>
      <c r="C25" s="78" t="s">
        <v>229</v>
      </c>
      <c r="D25" s="78" t="s">
        <v>229</v>
      </c>
      <c r="E25" s="79" t="s">
        <v>32</v>
      </c>
      <c r="F25" s="80" t="s">
        <v>114</v>
      </c>
      <c r="G25" s="81" t="s">
        <v>243</v>
      </c>
      <c r="H25" s="78" t="s">
        <v>121</v>
      </c>
      <c r="I25" s="98" t="s">
        <v>122</v>
      </c>
      <c r="J25" s="85">
        <v>22</v>
      </c>
      <c r="K25" s="79" t="s">
        <v>32</v>
      </c>
      <c r="L25" s="101" t="s">
        <v>144</v>
      </c>
      <c r="M25" s="58" t="s">
        <v>246</v>
      </c>
    </row>
    <row r="26" spans="2:13" ht="17" x14ac:dyDescent="0.2">
      <c r="B26" s="85">
        <v>23</v>
      </c>
      <c r="C26" s="78" t="s">
        <v>229</v>
      </c>
      <c r="D26" s="78" t="s">
        <v>229</v>
      </c>
      <c r="E26" s="79" t="s">
        <v>33</v>
      </c>
      <c r="F26" s="80" t="s">
        <v>118</v>
      </c>
      <c r="G26" s="78" t="s">
        <v>204</v>
      </c>
      <c r="H26" s="78" t="s">
        <v>119</v>
      </c>
      <c r="I26" s="98" t="s">
        <v>117</v>
      </c>
      <c r="J26" s="85">
        <v>23</v>
      </c>
      <c r="K26" s="79" t="s">
        <v>33</v>
      </c>
      <c r="L26" s="101" t="s">
        <v>145</v>
      </c>
    </row>
    <row r="27" spans="2:13" ht="17" x14ac:dyDescent="0.2">
      <c r="B27" s="85">
        <v>24</v>
      </c>
      <c r="C27" s="78" t="s">
        <v>229</v>
      </c>
      <c r="D27" s="78" t="s">
        <v>229</v>
      </c>
      <c r="E27" s="79" t="s">
        <v>34</v>
      </c>
      <c r="F27" s="80" t="s">
        <v>118</v>
      </c>
      <c r="G27" s="78" t="s">
        <v>204</v>
      </c>
      <c r="H27" s="78" t="s">
        <v>119</v>
      </c>
      <c r="I27" s="98" t="s">
        <v>117</v>
      </c>
      <c r="J27" s="85">
        <v>24</v>
      </c>
      <c r="K27" s="79" t="s">
        <v>34</v>
      </c>
      <c r="L27" s="101" t="s">
        <v>146</v>
      </c>
    </row>
    <row r="28" spans="2:13" ht="17" x14ac:dyDescent="0.2">
      <c r="B28" s="85">
        <v>25</v>
      </c>
      <c r="C28" s="78" t="s">
        <v>229</v>
      </c>
      <c r="D28" s="78" t="s">
        <v>229</v>
      </c>
      <c r="E28" s="79" t="s">
        <v>35</v>
      </c>
      <c r="F28" s="80" t="s">
        <v>126</v>
      </c>
      <c r="G28" s="78" t="s">
        <v>205</v>
      </c>
      <c r="H28" s="78" t="s">
        <v>121</v>
      </c>
      <c r="I28" s="98" t="s">
        <v>122</v>
      </c>
      <c r="J28" s="85">
        <v>25</v>
      </c>
      <c r="K28" s="79" t="s">
        <v>35</v>
      </c>
      <c r="L28" s="101" t="s">
        <v>147</v>
      </c>
    </row>
    <row r="29" spans="2:13" ht="17" x14ac:dyDescent="0.2">
      <c r="B29" s="85">
        <v>26</v>
      </c>
      <c r="C29" s="78" t="s">
        <v>229</v>
      </c>
      <c r="D29" s="78" t="s">
        <v>229</v>
      </c>
      <c r="E29" s="79" t="s">
        <v>36</v>
      </c>
      <c r="F29" s="80" t="s">
        <v>114</v>
      </c>
      <c r="G29" s="78" t="s">
        <v>204</v>
      </c>
      <c r="H29" s="78" t="s">
        <v>121</v>
      </c>
      <c r="I29" s="98" t="s">
        <v>122</v>
      </c>
      <c r="J29" s="85">
        <v>26</v>
      </c>
      <c r="K29" s="79" t="s">
        <v>36</v>
      </c>
      <c r="L29" s="101" t="s">
        <v>148</v>
      </c>
    </row>
    <row r="30" spans="2:13" ht="34" x14ac:dyDescent="0.2">
      <c r="B30" s="85">
        <v>27</v>
      </c>
      <c r="C30" s="78"/>
      <c r="D30" s="78" t="s">
        <v>229</v>
      </c>
      <c r="E30" s="79" t="s">
        <v>92</v>
      </c>
      <c r="F30" s="80" t="s">
        <v>114</v>
      </c>
      <c r="G30" s="78" t="s">
        <v>204</v>
      </c>
      <c r="H30" s="78" t="s">
        <v>119</v>
      </c>
      <c r="I30" s="98" t="s">
        <v>113</v>
      </c>
      <c r="J30" s="85">
        <v>27</v>
      </c>
      <c r="K30" s="79" t="s">
        <v>92</v>
      </c>
      <c r="L30" s="101" t="s">
        <v>149</v>
      </c>
    </row>
    <row r="31" spans="2:13" ht="34" x14ac:dyDescent="0.2">
      <c r="B31" s="85">
        <v>28</v>
      </c>
      <c r="C31" s="78" t="s">
        <v>229</v>
      </c>
      <c r="D31" s="78" t="s">
        <v>229</v>
      </c>
      <c r="E31" s="79" t="s">
        <v>37</v>
      </c>
      <c r="F31" s="80" t="s">
        <v>114</v>
      </c>
      <c r="G31" s="78" t="s">
        <v>204</v>
      </c>
      <c r="H31" s="78" t="s">
        <v>115</v>
      </c>
      <c r="I31" s="98" t="s">
        <v>113</v>
      </c>
      <c r="J31" s="85">
        <v>28</v>
      </c>
      <c r="K31" s="79" t="s">
        <v>37</v>
      </c>
      <c r="L31" s="101" t="s">
        <v>150</v>
      </c>
    </row>
    <row r="32" spans="2:13" ht="34" x14ac:dyDescent="0.2">
      <c r="B32" s="85">
        <v>29</v>
      </c>
      <c r="C32" s="78" t="s">
        <v>229</v>
      </c>
      <c r="D32" s="78" t="s">
        <v>229</v>
      </c>
      <c r="E32" s="79" t="s">
        <v>38</v>
      </c>
      <c r="F32" s="80" t="s">
        <v>114</v>
      </c>
      <c r="G32" s="78" t="s">
        <v>204</v>
      </c>
      <c r="H32" s="78" t="s">
        <v>121</v>
      </c>
      <c r="I32" s="98" t="s">
        <v>113</v>
      </c>
      <c r="J32" s="85">
        <v>29</v>
      </c>
      <c r="K32" s="79" t="s">
        <v>38</v>
      </c>
      <c r="L32" s="101" t="s">
        <v>151</v>
      </c>
    </row>
    <row r="33" spans="2:13" ht="51" x14ac:dyDescent="0.2">
      <c r="B33" s="85">
        <v>30</v>
      </c>
      <c r="C33" s="78" t="s">
        <v>229</v>
      </c>
      <c r="D33" s="78" t="s">
        <v>229</v>
      </c>
      <c r="E33" s="79" t="s">
        <v>39</v>
      </c>
      <c r="F33" s="80" t="s">
        <v>126</v>
      </c>
      <c r="G33" s="78" t="s">
        <v>204</v>
      </c>
      <c r="H33" s="78" t="s">
        <v>119</v>
      </c>
      <c r="I33" s="98" t="s">
        <v>125</v>
      </c>
      <c r="J33" s="85">
        <v>30</v>
      </c>
      <c r="K33" s="79" t="s">
        <v>39</v>
      </c>
      <c r="L33" s="101" t="s">
        <v>152</v>
      </c>
    </row>
    <row r="34" spans="2:13" ht="17" x14ac:dyDescent="0.2">
      <c r="B34" s="85">
        <v>31</v>
      </c>
      <c r="C34" s="78" t="s">
        <v>229</v>
      </c>
      <c r="D34" s="78" t="s">
        <v>229</v>
      </c>
      <c r="E34" s="79" t="s">
        <v>41</v>
      </c>
      <c r="F34" s="80" t="s">
        <v>126</v>
      </c>
      <c r="G34" s="78" t="s">
        <v>204</v>
      </c>
      <c r="H34" s="78" t="s">
        <v>119</v>
      </c>
      <c r="I34" s="98" t="s">
        <v>122</v>
      </c>
      <c r="J34" s="85">
        <v>31</v>
      </c>
      <c r="K34" s="79" t="s">
        <v>41</v>
      </c>
      <c r="L34" s="101" t="s">
        <v>153</v>
      </c>
    </row>
    <row r="35" spans="2:13" ht="47" customHeight="1" x14ac:dyDescent="0.2">
      <c r="B35" s="85">
        <v>32</v>
      </c>
      <c r="C35" s="78" t="s">
        <v>229</v>
      </c>
      <c r="D35" s="78" t="s">
        <v>229</v>
      </c>
      <c r="E35" s="79" t="s">
        <v>43</v>
      </c>
      <c r="F35" s="80" t="s">
        <v>114</v>
      </c>
      <c r="G35" s="82" t="s">
        <v>206</v>
      </c>
      <c r="H35" s="78" t="s">
        <v>115</v>
      </c>
      <c r="I35" s="98" t="s">
        <v>122</v>
      </c>
      <c r="J35" s="85">
        <v>32</v>
      </c>
      <c r="K35" s="79" t="s">
        <v>43</v>
      </c>
      <c r="L35" s="101" t="s">
        <v>154</v>
      </c>
      <c r="M35" s="58" t="s">
        <v>247</v>
      </c>
    </row>
    <row r="36" spans="2:13" ht="17" x14ac:dyDescent="0.2">
      <c r="B36" s="85">
        <v>33</v>
      </c>
      <c r="C36" s="78" t="s">
        <v>229</v>
      </c>
      <c r="D36" s="78" t="s">
        <v>229</v>
      </c>
      <c r="E36" s="79" t="s">
        <v>44</v>
      </c>
      <c r="F36" s="80" t="s">
        <v>126</v>
      </c>
      <c r="G36" s="78" t="s">
        <v>205</v>
      </c>
      <c r="H36" s="78" t="s">
        <v>121</v>
      </c>
      <c r="I36" s="98" t="s">
        <v>122</v>
      </c>
      <c r="J36" s="85">
        <v>33</v>
      </c>
      <c r="K36" s="79" t="s">
        <v>44</v>
      </c>
      <c r="L36" s="101" t="s">
        <v>155</v>
      </c>
    </row>
    <row r="37" spans="2:13" ht="34" x14ac:dyDescent="0.2">
      <c r="B37" s="85">
        <v>34</v>
      </c>
      <c r="C37" s="78" t="s">
        <v>229</v>
      </c>
      <c r="D37" s="78"/>
      <c r="E37" s="79" t="s">
        <v>45</v>
      </c>
      <c r="F37" s="80" t="s">
        <v>126</v>
      </c>
      <c r="G37" s="78" t="s">
        <v>205</v>
      </c>
      <c r="H37" s="78" t="s">
        <v>115</v>
      </c>
      <c r="I37" s="98" t="s">
        <v>113</v>
      </c>
      <c r="J37" s="85">
        <v>34</v>
      </c>
      <c r="K37" s="79" t="s">
        <v>45</v>
      </c>
      <c r="L37" s="101" t="s">
        <v>156</v>
      </c>
    </row>
    <row r="38" spans="2:13" ht="34" x14ac:dyDescent="0.2">
      <c r="B38" s="85">
        <v>35</v>
      </c>
      <c r="C38" s="78" t="s">
        <v>229</v>
      </c>
      <c r="D38" s="78" t="s">
        <v>229</v>
      </c>
      <c r="E38" s="79" t="s">
        <v>46</v>
      </c>
      <c r="F38" s="80" t="s">
        <v>126</v>
      </c>
      <c r="G38" s="78" t="s">
        <v>204</v>
      </c>
      <c r="H38" s="78" t="s">
        <v>115</v>
      </c>
      <c r="I38" s="98" t="s">
        <v>113</v>
      </c>
      <c r="J38" s="85">
        <v>35</v>
      </c>
      <c r="K38" s="79" t="s">
        <v>46</v>
      </c>
      <c r="L38" s="101" t="s">
        <v>157</v>
      </c>
    </row>
    <row r="39" spans="2:13" ht="17" x14ac:dyDescent="0.2">
      <c r="B39" s="85">
        <v>36</v>
      </c>
      <c r="C39" s="78" t="s">
        <v>229</v>
      </c>
      <c r="D39" s="78" t="s">
        <v>229</v>
      </c>
      <c r="E39" s="79" t="s">
        <v>48</v>
      </c>
      <c r="F39" s="80" t="s">
        <v>126</v>
      </c>
      <c r="G39" s="78" t="s">
        <v>204</v>
      </c>
      <c r="H39" s="78" t="s">
        <v>115</v>
      </c>
      <c r="I39" s="98" t="s">
        <v>122</v>
      </c>
      <c r="J39" s="85">
        <v>36</v>
      </c>
      <c r="K39" s="79" t="s">
        <v>48</v>
      </c>
      <c r="L39" s="101" t="s">
        <v>158</v>
      </c>
    </row>
    <row r="40" spans="2:13" ht="51" x14ac:dyDescent="0.2">
      <c r="B40" s="85">
        <v>37</v>
      </c>
      <c r="C40" s="78" t="s">
        <v>229</v>
      </c>
      <c r="D40" s="78" t="s">
        <v>229</v>
      </c>
      <c r="E40" s="79" t="s">
        <v>49</v>
      </c>
      <c r="F40" s="80" t="s">
        <v>126</v>
      </c>
      <c r="G40" s="78" t="s">
        <v>204</v>
      </c>
      <c r="H40" s="78" t="s">
        <v>121</v>
      </c>
      <c r="I40" s="98" t="s">
        <v>125</v>
      </c>
      <c r="J40" s="85">
        <v>37</v>
      </c>
      <c r="K40" s="79" t="s">
        <v>49</v>
      </c>
      <c r="L40" s="101" t="s">
        <v>159</v>
      </c>
    </row>
    <row r="41" spans="2:13" ht="17" x14ac:dyDescent="0.2">
      <c r="B41" s="85">
        <v>38</v>
      </c>
      <c r="C41" s="78" t="s">
        <v>229</v>
      </c>
      <c r="D41" s="78"/>
      <c r="E41" s="79" t="s">
        <v>50</v>
      </c>
      <c r="F41" s="80" t="s">
        <v>126</v>
      </c>
      <c r="G41" s="78" t="s">
        <v>204</v>
      </c>
      <c r="H41" s="78" t="s">
        <v>131</v>
      </c>
      <c r="I41" s="98" t="s">
        <v>117</v>
      </c>
      <c r="J41" s="85">
        <v>38</v>
      </c>
      <c r="K41" s="79" t="s">
        <v>50</v>
      </c>
      <c r="L41" s="101" t="s">
        <v>160</v>
      </c>
    </row>
    <row r="42" spans="2:13" ht="51" x14ac:dyDescent="0.2">
      <c r="B42" s="85">
        <v>39</v>
      </c>
      <c r="C42" s="78" t="s">
        <v>229</v>
      </c>
      <c r="D42" s="78" t="s">
        <v>229</v>
      </c>
      <c r="E42" s="79" t="s">
        <v>51</v>
      </c>
      <c r="F42" s="80" t="s">
        <v>161</v>
      </c>
      <c r="G42" s="78" t="s">
        <v>204</v>
      </c>
      <c r="H42" s="78" t="s">
        <v>115</v>
      </c>
      <c r="I42" s="98" t="s">
        <v>125</v>
      </c>
      <c r="J42" s="85">
        <v>39</v>
      </c>
      <c r="K42" s="79" t="s">
        <v>51</v>
      </c>
      <c r="L42" s="101" t="s">
        <v>162</v>
      </c>
    </row>
    <row r="43" spans="2:13" ht="51" x14ac:dyDescent="0.2">
      <c r="B43" s="85">
        <v>40</v>
      </c>
      <c r="C43" s="78" t="s">
        <v>229</v>
      </c>
      <c r="D43" s="78" t="s">
        <v>229</v>
      </c>
      <c r="E43" s="79" t="s">
        <v>52</v>
      </c>
      <c r="F43" s="80" t="s">
        <v>114</v>
      </c>
      <c r="G43" s="78" t="s">
        <v>204</v>
      </c>
      <c r="H43" s="78" t="s">
        <v>115</v>
      </c>
      <c r="I43" s="98" t="s">
        <v>125</v>
      </c>
      <c r="J43" s="85">
        <v>40</v>
      </c>
      <c r="K43" s="79" t="s">
        <v>52</v>
      </c>
      <c r="L43" s="101" t="s">
        <v>163</v>
      </c>
    </row>
    <row r="44" spans="2:13" ht="48" customHeight="1" x14ac:dyDescent="0.2">
      <c r="B44" s="85">
        <v>41</v>
      </c>
      <c r="C44" s="78" t="s">
        <v>229</v>
      </c>
      <c r="D44" s="78" t="s">
        <v>229</v>
      </c>
      <c r="E44" s="79" t="s">
        <v>54</v>
      </c>
      <c r="F44" s="82" t="s">
        <v>161</v>
      </c>
      <c r="G44" s="78" t="s">
        <v>204</v>
      </c>
      <c r="H44" s="78" t="s">
        <v>121</v>
      </c>
      <c r="I44" s="98" t="s">
        <v>125</v>
      </c>
      <c r="J44" s="85">
        <v>41</v>
      </c>
      <c r="K44" s="79" t="s">
        <v>54</v>
      </c>
      <c r="L44" s="101" t="s">
        <v>164</v>
      </c>
      <c r="M44" s="58" t="s">
        <v>233</v>
      </c>
    </row>
    <row r="45" spans="2:13" ht="51" x14ac:dyDescent="0.2">
      <c r="B45" s="85">
        <v>42</v>
      </c>
      <c r="C45" s="78" t="s">
        <v>229</v>
      </c>
      <c r="D45" s="78" t="s">
        <v>229</v>
      </c>
      <c r="E45" s="79" t="s">
        <v>55</v>
      </c>
      <c r="F45" s="80" t="s">
        <v>114</v>
      </c>
      <c r="G45" s="78" t="s">
        <v>204</v>
      </c>
      <c r="H45" s="78" t="s">
        <v>115</v>
      </c>
      <c r="I45" s="98" t="s">
        <v>125</v>
      </c>
      <c r="J45" s="85">
        <v>42</v>
      </c>
      <c r="K45" s="79" t="s">
        <v>55</v>
      </c>
      <c r="L45" s="101" t="s">
        <v>166</v>
      </c>
    </row>
    <row r="46" spans="2:13" ht="17" x14ac:dyDescent="0.2">
      <c r="B46" s="85">
        <v>43</v>
      </c>
      <c r="C46" s="78"/>
      <c r="D46" s="78" t="s">
        <v>229</v>
      </c>
      <c r="E46" s="79" t="s">
        <v>95</v>
      </c>
      <c r="F46" s="80" t="s">
        <v>114</v>
      </c>
      <c r="G46" s="78" t="s">
        <v>205</v>
      </c>
      <c r="H46" s="78" t="s">
        <v>115</v>
      </c>
      <c r="I46" s="98" t="s">
        <v>122</v>
      </c>
      <c r="J46" s="85">
        <v>43</v>
      </c>
      <c r="K46" s="79" t="s">
        <v>95</v>
      </c>
      <c r="L46" s="101" t="s">
        <v>168</v>
      </c>
    </row>
    <row r="47" spans="2:13" ht="17" x14ac:dyDescent="0.2">
      <c r="B47" s="85">
        <v>44</v>
      </c>
      <c r="C47" s="78"/>
      <c r="D47" s="78" t="s">
        <v>229</v>
      </c>
      <c r="E47" s="79" t="s">
        <v>96</v>
      </c>
      <c r="F47" s="80" t="s">
        <v>114</v>
      </c>
      <c r="G47" s="78" t="s">
        <v>204</v>
      </c>
      <c r="H47" s="78" t="s">
        <v>121</v>
      </c>
      <c r="I47" s="98" t="s">
        <v>122</v>
      </c>
      <c r="J47" s="85">
        <v>44</v>
      </c>
      <c r="K47" s="79" t="s">
        <v>96</v>
      </c>
      <c r="L47" s="101" t="s">
        <v>169</v>
      </c>
    </row>
    <row r="48" spans="2:13" ht="34" x14ac:dyDescent="0.2">
      <c r="B48" s="85">
        <v>45</v>
      </c>
      <c r="C48" s="78"/>
      <c r="D48" s="78" t="s">
        <v>229</v>
      </c>
      <c r="E48" s="79" t="s">
        <v>97</v>
      </c>
      <c r="F48" s="80" t="s">
        <v>114</v>
      </c>
      <c r="G48" s="78" t="s">
        <v>204</v>
      </c>
      <c r="H48" s="78" t="s">
        <v>171</v>
      </c>
      <c r="I48" s="98" t="s">
        <v>113</v>
      </c>
      <c r="J48" s="85">
        <v>45</v>
      </c>
      <c r="K48" s="79" t="s">
        <v>97</v>
      </c>
      <c r="L48" s="101" t="s">
        <v>170</v>
      </c>
    </row>
    <row r="49" spans="2:12" ht="34" x14ac:dyDescent="0.2">
      <c r="B49" s="85">
        <v>46</v>
      </c>
      <c r="C49" s="78"/>
      <c r="D49" s="78" t="s">
        <v>229</v>
      </c>
      <c r="E49" s="79" t="s">
        <v>98</v>
      </c>
      <c r="F49" s="80" t="s">
        <v>114</v>
      </c>
      <c r="G49" s="78" t="s">
        <v>206</v>
      </c>
      <c r="H49" s="78" t="s">
        <v>121</v>
      </c>
      <c r="I49" s="98" t="s">
        <v>113</v>
      </c>
      <c r="J49" s="85">
        <v>46</v>
      </c>
      <c r="K49" s="79" t="s">
        <v>98</v>
      </c>
      <c r="L49" s="101" t="s">
        <v>173</v>
      </c>
    </row>
    <row r="50" spans="2:12" ht="17" x14ac:dyDescent="0.2">
      <c r="B50" s="85">
        <v>47</v>
      </c>
      <c r="C50" s="78" t="s">
        <v>229</v>
      </c>
      <c r="D50" s="78" t="s">
        <v>229</v>
      </c>
      <c r="E50" s="79" t="s">
        <v>56</v>
      </c>
      <c r="F50" s="80" t="s">
        <v>126</v>
      </c>
      <c r="G50" s="78" t="s">
        <v>204</v>
      </c>
      <c r="H50" s="78" t="s">
        <v>115</v>
      </c>
      <c r="I50" s="98" t="s">
        <v>117</v>
      </c>
      <c r="J50" s="85">
        <v>47</v>
      </c>
      <c r="K50" s="79" t="s">
        <v>56</v>
      </c>
      <c r="L50" s="101" t="s">
        <v>172</v>
      </c>
    </row>
    <row r="51" spans="2:12" ht="34" x14ac:dyDescent="0.2">
      <c r="B51" s="85">
        <v>48</v>
      </c>
      <c r="C51" s="78" t="s">
        <v>229</v>
      </c>
      <c r="D51" s="78" t="s">
        <v>229</v>
      </c>
      <c r="E51" s="79" t="s">
        <v>57</v>
      </c>
      <c r="F51" s="80" t="s">
        <v>126</v>
      </c>
      <c r="G51" s="78" t="s">
        <v>204</v>
      </c>
      <c r="H51" s="78" t="s">
        <v>121</v>
      </c>
      <c r="I51" s="98" t="s">
        <v>113</v>
      </c>
      <c r="J51" s="85">
        <v>48</v>
      </c>
      <c r="K51" s="79" t="s">
        <v>57</v>
      </c>
      <c r="L51" s="101" t="s">
        <v>175</v>
      </c>
    </row>
    <row r="52" spans="2:12" ht="17" x14ac:dyDescent="0.2">
      <c r="B52" s="85">
        <v>49</v>
      </c>
      <c r="C52" s="78" t="s">
        <v>229</v>
      </c>
      <c r="D52" s="78" t="s">
        <v>229</v>
      </c>
      <c r="E52" s="79" t="s">
        <v>59</v>
      </c>
      <c r="F52" s="80" t="s">
        <v>114</v>
      </c>
      <c r="G52" s="78" t="s">
        <v>205</v>
      </c>
      <c r="H52" s="78" t="s">
        <v>115</v>
      </c>
      <c r="I52" s="98" t="s">
        <v>122</v>
      </c>
      <c r="J52" s="85">
        <v>49</v>
      </c>
      <c r="K52" s="79" t="s">
        <v>59</v>
      </c>
      <c r="L52" s="101" t="s">
        <v>174</v>
      </c>
    </row>
    <row r="53" spans="2:12" ht="34" x14ac:dyDescent="0.2">
      <c r="B53" s="85">
        <v>50</v>
      </c>
      <c r="C53" s="78" t="s">
        <v>229</v>
      </c>
      <c r="D53" s="78" t="s">
        <v>229</v>
      </c>
      <c r="E53" s="79" t="s">
        <v>60</v>
      </c>
      <c r="F53" s="80" t="s">
        <v>126</v>
      </c>
      <c r="G53" s="78" t="s">
        <v>204</v>
      </c>
      <c r="H53" s="78" t="s">
        <v>121</v>
      </c>
      <c r="I53" s="98" t="s">
        <v>113</v>
      </c>
      <c r="J53" s="85">
        <v>50</v>
      </c>
      <c r="K53" s="79" t="s">
        <v>60</v>
      </c>
      <c r="L53" s="101" t="s">
        <v>176</v>
      </c>
    </row>
    <row r="54" spans="2:12" ht="17" x14ac:dyDescent="0.2">
      <c r="B54" s="85">
        <v>51</v>
      </c>
      <c r="C54" s="78" t="s">
        <v>229</v>
      </c>
      <c r="D54" s="78"/>
      <c r="E54" s="79" t="s">
        <v>62</v>
      </c>
      <c r="F54" s="80" t="s">
        <v>126</v>
      </c>
      <c r="G54" s="78" t="s">
        <v>204</v>
      </c>
      <c r="H54" s="78" t="s">
        <v>115</v>
      </c>
      <c r="I54" s="98" t="s">
        <v>117</v>
      </c>
      <c r="J54" s="85">
        <v>51</v>
      </c>
      <c r="K54" s="79" t="s">
        <v>62</v>
      </c>
      <c r="L54" s="101" t="s">
        <v>178</v>
      </c>
    </row>
    <row r="55" spans="2:12" ht="17" x14ac:dyDescent="0.2">
      <c r="B55" s="85">
        <v>52</v>
      </c>
      <c r="C55" s="78"/>
      <c r="D55" s="78" t="s">
        <v>229</v>
      </c>
      <c r="E55" s="79" t="s">
        <v>101</v>
      </c>
      <c r="F55" s="80" t="s">
        <v>126</v>
      </c>
      <c r="G55" s="78" t="s">
        <v>206</v>
      </c>
      <c r="H55" s="78" t="s">
        <v>115</v>
      </c>
      <c r="I55" s="98" t="s">
        <v>122</v>
      </c>
      <c r="J55" s="85">
        <v>52</v>
      </c>
      <c r="K55" s="79" t="s">
        <v>101</v>
      </c>
      <c r="L55" s="101" t="s">
        <v>177</v>
      </c>
    </row>
    <row r="56" spans="2:12" ht="34" x14ac:dyDescent="0.2">
      <c r="B56" s="85">
        <v>53</v>
      </c>
      <c r="C56" s="78"/>
      <c r="D56" s="78" t="s">
        <v>229</v>
      </c>
      <c r="E56" s="79" t="s">
        <v>102</v>
      </c>
      <c r="F56" s="80" t="s">
        <v>114</v>
      </c>
      <c r="G56" s="78" t="s">
        <v>204</v>
      </c>
      <c r="H56" s="78" t="s">
        <v>119</v>
      </c>
      <c r="I56" s="98" t="s">
        <v>113</v>
      </c>
      <c r="J56" s="85">
        <v>53</v>
      </c>
      <c r="K56" s="79" t="s">
        <v>102</v>
      </c>
      <c r="L56" s="101" t="s">
        <v>180</v>
      </c>
    </row>
    <row r="57" spans="2:12" ht="17" x14ac:dyDescent="0.2">
      <c r="B57" s="85">
        <v>54</v>
      </c>
      <c r="C57" s="78" t="s">
        <v>229</v>
      </c>
      <c r="D57" s="78" t="s">
        <v>229</v>
      </c>
      <c r="E57" s="79" t="s">
        <v>64</v>
      </c>
      <c r="F57" s="80" t="s">
        <v>118</v>
      </c>
      <c r="G57" s="78" t="s">
        <v>206</v>
      </c>
      <c r="H57" s="78" t="s">
        <v>119</v>
      </c>
      <c r="I57" s="98" t="s">
        <v>117</v>
      </c>
      <c r="J57" s="85">
        <v>54</v>
      </c>
      <c r="K57" s="79" t="s">
        <v>64</v>
      </c>
      <c r="L57" s="101" t="s">
        <v>179</v>
      </c>
    </row>
    <row r="58" spans="2:12" ht="17" x14ac:dyDescent="0.2">
      <c r="B58" s="85">
        <v>55</v>
      </c>
      <c r="C58" s="78" t="s">
        <v>229</v>
      </c>
      <c r="D58" s="78" t="s">
        <v>229</v>
      </c>
      <c r="E58" s="79" t="s">
        <v>65</v>
      </c>
      <c r="F58" s="80" t="s">
        <v>114</v>
      </c>
      <c r="G58" s="78" t="s">
        <v>205</v>
      </c>
      <c r="H58" s="78" t="s">
        <v>115</v>
      </c>
      <c r="I58" s="98" t="s">
        <v>122</v>
      </c>
      <c r="J58" s="85">
        <v>55</v>
      </c>
      <c r="K58" s="79" t="s">
        <v>65</v>
      </c>
      <c r="L58" s="101" t="s">
        <v>184</v>
      </c>
    </row>
    <row r="59" spans="2:12" ht="17" x14ac:dyDescent="0.2">
      <c r="B59" s="85">
        <v>56</v>
      </c>
      <c r="C59" s="78" t="s">
        <v>229</v>
      </c>
      <c r="D59" s="78" t="s">
        <v>229</v>
      </c>
      <c r="E59" s="79" t="s">
        <v>66</v>
      </c>
      <c r="F59" s="80" t="s">
        <v>126</v>
      </c>
      <c r="G59" s="78" t="s">
        <v>205</v>
      </c>
      <c r="H59" s="78" t="s">
        <v>115</v>
      </c>
      <c r="I59" s="98" t="s">
        <v>122</v>
      </c>
      <c r="J59" s="85">
        <v>56</v>
      </c>
      <c r="K59" s="79" t="s">
        <v>66</v>
      </c>
      <c r="L59" s="101" t="s">
        <v>181</v>
      </c>
    </row>
    <row r="60" spans="2:12" ht="34" x14ac:dyDescent="0.2">
      <c r="B60" s="85">
        <v>57</v>
      </c>
      <c r="C60" s="78" t="s">
        <v>229</v>
      </c>
      <c r="D60" s="78" t="s">
        <v>229</v>
      </c>
      <c r="E60" s="79" t="s">
        <v>67</v>
      </c>
      <c r="F60" s="80" t="s">
        <v>114</v>
      </c>
      <c r="G60" s="78" t="s">
        <v>204</v>
      </c>
      <c r="H60" s="78" t="s">
        <v>121</v>
      </c>
      <c r="I60" s="98" t="s">
        <v>113</v>
      </c>
      <c r="J60" s="85">
        <v>57</v>
      </c>
      <c r="K60" s="79" t="s">
        <v>67</v>
      </c>
      <c r="L60" s="101" t="s">
        <v>182</v>
      </c>
    </row>
    <row r="61" spans="2:12" ht="51" x14ac:dyDescent="0.2">
      <c r="B61" s="85">
        <v>58</v>
      </c>
      <c r="C61" s="78" t="s">
        <v>229</v>
      </c>
      <c r="D61" s="78" t="s">
        <v>229</v>
      </c>
      <c r="E61" s="79" t="s">
        <v>68</v>
      </c>
      <c r="F61" s="80" t="s">
        <v>126</v>
      </c>
      <c r="G61" s="78" t="s">
        <v>204</v>
      </c>
      <c r="H61" s="78" t="s">
        <v>115</v>
      </c>
      <c r="I61" s="98" t="s">
        <v>125</v>
      </c>
      <c r="J61" s="85">
        <v>58</v>
      </c>
      <c r="K61" s="79" t="s">
        <v>68</v>
      </c>
      <c r="L61" s="101" t="s">
        <v>183</v>
      </c>
    </row>
    <row r="62" spans="2:12" ht="34" x14ac:dyDescent="0.2">
      <c r="B62" s="85">
        <v>59</v>
      </c>
      <c r="C62" s="78" t="s">
        <v>229</v>
      </c>
      <c r="D62" s="78" t="s">
        <v>229</v>
      </c>
      <c r="E62" s="79" t="s">
        <v>69</v>
      </c>
      <c r="F62" s="80" t="s">
        <v>114</v>
      </c>
      <c r="G62" s="78" t="s">
        <v>204</v>
      </c>
      <c r="H62" s="78" t="s">
        <v>115</v>
      </c>
      <c r="I62" s="98" t="s">
        <v>113</v>
      </c>
      <c r="J62" s="85">
        <v>59</v>
      </c>
      <c r="K62" s="79" t="s">
        <v>69</v>
      </c>
      <c r="L62" s="102" t="s">
        <v>185</v>
      </c>
    </row>
    <row r="63" spans="2:12" ht="34" x14ac:dyDescent="0.2">
      <c r="B63" s="85">
        <v>60</v>
      </c>
      <c r="C63" s="78"/>
      <c r="D63" s="78" t="s">
        <v>229</v>
      </c>
      <c r="E63" s="79" t="s">
        <v>103</v>
      </c>
      <c r="F63" s="80" t="s">
        <v>114</v>
      </c>
      <c r="G63" s="78" t="s">
        <v>204</v>
      </c>
      <c r="H63" s="78" t="s">
        <v>115</v>
      </c>
      <c r="I63" s="98" t="s">
        <v>113</v>
      </c>
      <c r="J63" s="85">
        <v>60</v>
      </c>
      <c r="K63" s="79" t="s">
        <v>103</v>
      </c>
      <c r="L63" s="101" t="s">
        <v>187</v>
      </c>
    </row>
    <row r="64" spans="2:12" ht="51" x14ac:dyDescent="0.2">
      <c r="B64" s="85">
        <v>61</v>
      </c>
      <c r="C64" s="78" t="s">
        <v>229</v>
      </c>
      <c r="D64" s="78"/>
      <c r="E64" s="79" t="s">
        <v>70</v>
      </c>
      <c r="F64" s="80" t="s">
        <v>114</v>
      </c>
      <c r="G64" s="78" t="s">
        <v>204</v>
      </c>
      <c r="H64" s="78" t="s">
        <v>121</v>
      </c>
      <c r="I64" s="98" t="s">
        <v>125</v>
      </c>
      <c r="J64" s="85">
        <v>61</v>
      </c>
      <c r="K64" s="79" t="s">
        <v>70</v>
      </c>
      <c r="L64" s="101" t="s">
        <v>186</v>
      </c>
    </row>
    <row r="65" spans="2:13" ht="68" x14ac:dyDescent="0.2">
      <c r="B65" s="85">
        <v>62</v>
      </c>
      <c r="C65" s="78" t="s">
        <v>229</v>
      </c>
      <c r="D65" s="78" t="s">
        <v>229</v>
      </c>
      <c r="E65" s="79" t="s">
        <v>72</v>
      </c>
      <c r="F65" s="82" t="s">
        <v>161</v>
      </c>
      <c r="G65" s="78" t="s">
        <v>204</v>
      </c>
      <c r="H65" s="78" t="s">
        <v>115</v>
      </c>
      <c r="I65" s="98" t="s">
        <v>125</v>
      </c>
      <c r="J65" s="85">
        <v>62</v>
      </c>
      <c r="K65" s="79" t="s">
        <v>72</v>
      </c>
      <c r="L65" s="101" t="s">
        <v>188</v>
      </c>
      <c r="M65" s="58" t="s">
        <v>234</v>
      </c>
    </row>
    <row r="66" spans="2:13" ht="51" x14ac:dyDescent="0.2">
      <c r="B66" s="85">
        <v>63</v>
      </c>
      <c r="C66" s="78" t="s">
        <v>229</v>
      </c>
      <c r="D66" s="78"/>
      <c r="E66" s="79" t="s">
        <v>74</v>
      </c>
      <c r="F66" s="80" t="s">
        <v>114</v>
      </c>
      <c r="G66" s="78" t="s">
        <v>204</v>
      </c>
      <c r="H66" s="78" t="s">
        <v>121</v>
      </c>
      <c r="I66" s="98" t="s">
        <v>125</v>
      </c>
      <c r="J66" s="85">
        <v>63</v>
      </c>
      <c r="K66" s="79" t="s">
        <v>74</v>
      </c>
      <c r="L66" s="101" t="s">
        <v>190</v>
      </c>
    </row>
    <row r="67" spans="2:13" ht="17" x14ac:dyDescent="0.2">
      <c r="B67" s="85">
        <v>64</v>
      </c>
      <c r="C67" s="78"/>
      <c r="D67" s="78" t="s">
        <v>229</v>
      </c>
      <c r="E67" s="79" t="s">
        <v>105</v>
      </c>
      <c r="F67" s="80" t="s">
        <v>114</v>
      </c>
      <c r="G67" s="78" t="s">
        <v>204</v>
      </c>
      <c r="H67" s="78" t="s">
        <v>115</v>
      </c>
      <c r="I67" s="98" t="s">
        <v>122</v>
      </c>
      <c r="J67" s="85">
        <v>64</v>
      </c>
      <c r="K67" s="79" t="s">
        <v>105</v>
      </c>
      <c r="L67" s="101" t="s">
        <v>191</v>
      </c>
    </row>
    <row r="68" spans="2:13" ht="17" x14ac:dyDescent="0.2">
      <c r="B68" s="85">
        <v>65</v>
      </c>
      <c r="C68" s="78" t="s">
        <v>229</v>
      </c>
      <c r="D68" s="78" t="s">
        <v>229</v>
      </c>
      <c r="E68" s="79" t="s">
        <v>75</v>
      </c>
      <c r="F68" s="80" t="s">
        <v>114</v>
      </c>
      <c r="G68" s="78" t="s">
        <v>205</v>
      </c>
      <c r="H68" s="78" t="s">
        <v>115</v>
      </c>
      <c r="I68" s="98" t="s">
        <v>122</v>
      </c>
      <c r="J68" s="85">
        <v>65</v>
      </c>
      <c r="K68" s="79" t="s">
        <v>75</v>
      </c>
      <c r="L68" s="101" t="s">
        <v>194</v>
      </c>
    </row>
    <row r="69" spans="2:13" ht="17" x14ac:dyDescent="0.2">
      <c r="B69" s="85">
        <v>66</v>
      </c>
      <c r="C69" s="78" t="s">
        <v>229</v>
      </c>
      <c r="D69" s="78" t="s">
        <v>229</v>
      </c>
      <c r="E69" s="79" t="s">
        <v>76</v>
      </c>
      <c r="F69" s="80" t="s">
        <v>126</v>
      </c>
      <c r="G69" s="78" t="s">
        <v>205</v>
      </c>
      <c r="H69" s="78" t="s">
        <v>115</v>
      </c>
      <c r="I69" s="98" t="s">
        <v>122</v>
      </c>
      <c r="J69" s="85">
        <v>66</v>
      </c>
      <c r="K69" s="79" t="s">
        <v>76</v>
      </c>
      <c r="L69" s="101" t="s">
        <v>192</v>
      </c>
    </row>
    <row r="70" spans="2:13" ht="52" customHeight="1" x14ac:dyDescent="0.2">
      <c r="B70" s="85">
        <v>67</v>
      </c>
      <c r="C70" s="78" t="s">
        <v>229</v>
      </c>
      <c r="D70" s="78" t="s">
        <v>229</v>
      </c>
      <c r="E70" s="79" t="s">
        <v>77</v>
      </c>
      <c r="F70" s="80" t="s">
        <v>114</v>
      </c>
      <c r="G70" s="81" t="s">
        <v>204</v>
      </c>
      <c r="H70" s="78" t="s">
        <v>121</v>
      </c>
      <c r="I70" s="98" t="s">
        <v>122</v>
      </c>
      <c r="J70" s="85">
        <v>67</v>
      </c>
      <c r="K70" s="79" t="s">
        <v>77</v>
      </c>
      <c r="L70" s="101" t="s">
        <v>193</v>
      </c>
      <c r="M70" s="58" t="s">
        <v>231</v>
      </c>
    </row>
    <row r="71" spans="2:13" ht="17" x14ac:dyDescent="0.2">
      <c r="B71" s="85">
        <v>68</v>
      </c>
      <c r="C71" s="78" t="s">
        <v>229</v>
      </c>
      <c r="D71" s="78" t="s">
        <v>229</v>
      </c>
      <c r="E71" s="79" t="s">
        <v>78</v>
      </c>
      <c r="F71" s="80" t="s">
        <v>114</v>
      </c>
      <c r="G71" s="78" t="s">
        <v>206</v>
      </c>
      <c r="H71" s="78" t="s">
        <v>121</v>
      </c>
      <c r="I71" s="98" t="s">
        <v>122</v>
      </c>
      <c r="J71" s="85">
        <v>68</v>
      </c>
      <c r="K71" s="79" t="s">
        <v>78</v>
      </c>
      <c r="L71" s="101" t="s">
        <v>195</v>
      </c>
    </row>
    <row r="72" spans="2:13" ht="61" customHeight="1" x14ac:dyDescent="0.2">
      <c r="B72" s="85">
        <v>69</v>
      </c>
      <c r="C72" s="78" t="s">
        <v>229</v>
      </c>
      <c r="D72" s="78" t="s">
        <v>229</v>
      </c>
      <c r="E72" s="79" t="s">
        <v>79</v>
      </c>
      <c r="F72" s="80" t="s">
        <v>114</v>
      </c>
      <c r="G72" s="78" t="s">
        <v>205</v>
      </c>
      <c r="H72" s="82" t="s">
        <v>131</v>
      </c>
      <c r="I72" s="98" t="s">
        <v>129</v>
      </c>
      <c r="J72" s="85">
        <v>69</v>
      </c>
      <c r="K72" s="79" t="s">
        <v>79</v>
      </c>
      <c r="L72" s="101" t="s">
        <v>197</v>
      </c>
      <c r="M72" s="58" t="s">
        <v>248</v>
      </c>
    </row>
    <row r="73" spans="2:13" ht="17" x14ac:dyDescent="0.2">
      <c r="B73" s="85">
        <v>70</v>
      </c>
      <c r="C73" s="78" t="s">
        <v>229</v>
      </c>
      <c r="D73" s="78" t="s">
        <v>229</v>
      </c>
      <c r="E73" s="79" t="s">
        <v>80</v>
      </c>
      <c r="F73" s="80" t="s">
        <v>114</v>
      </c>
      <c r="G73" s="78" t="s">
        <v>205</v>
      </c>
      <c r="H73" s="78" t="s">
        <v>115</v>
      </c>
      <c r="I73" s="98" t="s">
        <v>122</v>
      </c>
      <c r="J73" s="85">
        <v>70</v>
      </c>
      <c r="K73" s="79" t="s">
        <v>80</v>
      </c>
      <c r="L73" s="101" t="s">
        <v>196</v>
      </c>
    </row>
    <row r="74" spans="2:13" ht="34" x14ac:dyDescent="0.2">
      <c r="B74" s="85">
        <v>71</v>
      </c>
      <c r="C74" s="78" t="s">
        <v>229</v>
      </c>
      <c r="D74" s="78" t="s">
        <v>229</v>
      </c>
      <c r="E74" s="79" t="s">
        <v>81</v>
      </c>
      <c r="F74" s="80" t="s">
        <v>126</v>
      </c>
      <c r="G74" s="78" t="s">
        <v>205</v>
      </c>
      <c r="H74" s="78" t="s">
        <v>121</v>
      </c>
      <c r="I74" s="98" t="s">
        <v>113</v>
      </c>
      <c r="J74" s="85">
        <v>71</v>
      </c>
      <c r="K74" s="79" t="s">
        <v>81</v>
      </c>
      <c r="L74" s="101" t="s">
        <v>200</v>
      </c>
    </row>
    <row r="75" spans="2:13" ht="17" x14ac:dyDescent="0.2">
      <c r="B75" s="85">
        <v>72</v>
      </c>
      <c r="C75" s="78" t="s">
        <v>229</v>
      </c>
      <c r="D75" s="78" t="s">
        <v>229</v>
      </c>
      <c r="E75" s="79" t="s">
        <v>82</v>
      </c>
      <c r="F75" s="80" t="s">
        <v>118</v>
      </c>
      <c r="G75" s="78" t="s">
        <v>204</v>
      </c>
      <c r="H75" s="78" t="s">
        <v>121</v>
      </c>
      <c r="I75" s="98" t="s">
        <v>117</v>
      </c>
      <c r="J75" s="85">
        <v>72</v>
      </c>
      <c r="K75" s="79" t="s">
        <v>82</v>
      </c>
      <c r="L75" s="101" t="s">
        <v>199</v>
      </c>
    </row>
    <row r="76" spans="2:13" ht="17" x14ac:dyDescent="0.2">
      <c r="B76" s="85">
        <v>73</v>
      </c>
      <c r="C76" s="78" t="s">
        <v>229</v>
      </c>
      <c r="D76" s="78" t="s">
        <v>229</v>
      </c>
      <c r="E76" s="79" t="s">
        <v>83</v>
      </c>
      <c r="F76" s="80" t="s">
        <v>118</v>
      </c>
      <c r="G76" s="78" t="s">
        <v>204</v>
      </c>
      <c r="H76" s="78" t="s">
        <v>115</v>
      </c>
      <c r="I76" s="98" t="s">
        <v>117</v>
      </c>
      <c r="J76" s="85">
        <v>73</v>
      </c>
      <c r="K76" s="79" t="s">
        <v>83</v>
      </c>
      <c r="L76" s="101" t="s">
        <v>201</v>
      </c>
    </row>
    <row r="77" spans="2:13" ht="17" x14ac:dyDescent="0.2">
      <c r="B77" s="85">
        <v>74</v>
      </c>
      <c r="C77" s="78" t="s">
        <v>229</v>
      </c>
      <c r="D77" s="78"/>
      <c r="E77" s="79" t="s">
        <v>84</v>
      </c>
      <c r="F77" s="80" t="s">
        <v>126</v>
      </c>
      <c r="G77" s="78" t="s">
        <v>204</v>
      </c>
      <c r="H77" s="78" t="s">
        <v>131</v>
      </c>
      <c r="I77" s="98" t="s">
        <v>117</v>
      </c>
      <c r="J77" s="85">
        <v>74</v>
      </c>
      <c r="K77" s="79" t="s">
        <v>84</v>
      </c>
      <c r="L77" s="101" t="s">
        <v>202</v>
      </c>
    </row>
    <row r="78" spans="2:13" ht="17" x14ac:dyDescent="0.2">
      <c r="B78" s="85">
        <v>75</v>
      </c>
      <c r="C78" s="78" t="s">
        <v>229</v>
      </c>
      <c r="D78" s="78" t="s">
        <v>229</v>
      </c>
      <c r="E78" s="79" t="s">
        <v>85</v>
      </c>
      <c r="F78" s="80" t="s">
        <v>126</v>
      </c>
      <c r="G78" s="78" t="s">
        <v>205</v>
      </c>
      <c r="H78" s="78" t="s">
        <v>115</v>
      </c>
      <c r="I78" s="98" t="s">
        <v>122</v>
      </c>
      <c r="J78" s="85">
        <v>75</v>
      </c>
      <c r="K78" s="79" t="s">
        <v>85</v>
      </c>
      <c r="L78" s="101" t="s">
        <v>203</v>
      </c>
    </row>
    <row r="79" spans="2:13" ht="18" thickBot="1" x14ac:dyDescent="0.25">
      <c r="B79" s="86">
        <v>76</v>
      </c>
      <c r="C79" s="87" t="s">
        <v>229</v>
      </c>
      <c r="D79" s="87" t="s">
        <v>229</v>
      </c>
      <c r="E79" s="88" t="s">
        <v>87</v>
      </c>
      <c r="F79" s="89" t="s">
        <v>114</v>
      </c>
      <c r="G79" s="87" t="s">
        <v>204</v>
      </c>
      <c r="H79" s="87" t="s">
        <v>115</v>
      </c>
      <c r="I79" s="99" t="s">
        <v>122</v>
      </c>
      <c r="J79" s="86">
        <v>76</v>
      </c>
      <c r="K79" s="88" t="s">
        <v>87</v>
      </c>
      <c r="L79" s="103" t="s">
        <v>212</v>
      </c>
    </row>
    <row r="80" spans="2:13" ht="6" customHeight="1" x14ac:dyDescent="0.2">
      <c r="B80" s="83"/>
      <c r="C80" s="60"/>
      <c r="D80" s="60"/>
      <c r="E80" s="61"/>
      <c r="F80" s="62"/>
      <c r="G80" s="62"/>
      <c r="H80" s="62"/>
      <c r="I80" s="84"/>
      <c r="J80" s="83"/>
      <c r="K80" s="62"/>
      <c r="L80" s="100"/>
    </row>
    <row r="81" spans="2:13" s="70" customFormat="1" ht="63" customHeight="1" x14ac:dyDescent="0.2">
      <c r="B81" s="74"/>
      <c r="C81" s="72">
        <v>1</v>
      </c>
      <c r="D81" s="171" t="s">
        <v>244</v>
      </c>
      <c r="E81" s="171"/>
      <c r="F81" s="171"/>
      <c r="G81" s="171"/>
      <c r="H81" s="171"/>
      <c r="I81" s="172"/>
      <c r="J81" s="74"/>
      <c r="K81" s="76"/>
      <c r="L81" s="69"/>
    </row>
    <row r="82" spans="2:13" s="70" customFormat="1" ht="63" customHeight="1" x14ac:dyDescent="0.2">
      <c r="B82" s="74"/>
      <c r="C82" s="72">
        <v>2</v>
      </c>
      <c r="D82" s="171" t="s">
        <v>232</v>
      </c>
      <c r="E82" s="171"/>
      <c r="F82" s="171"/>
      <c r="G82" s="171"/>
      <c r="H82" s="171"/>
      <c r="I82" s="172"/>
      <c r="J82" s="74"/>
      <c r="K82" s="76"/>
      <c r="L82" s="69"/>
    </row>
    <row r="83" spans="2:13" s="70" customFormat="1" ht="63" customHeight="1" x14ac:dyDescent="0.2">
      <c r="B83" s="74"/>
      <c r="C83" s="72">
        <v>3</v>
      </c>
      <c r="D83" s="171" t="s">
        <v>233</v>
      </c>
      <c r="E83" s="171"/>
      <c r="F83" s="171"/>
      <c r="G83" s="171"/>
      <c r="H83" s="171"/>
      <c r="I83" s="172"/>
      <c r="J83" s="74"/>
      <c r="K83" s="76"/>
      <c r="L83" s="69"/>
    </row>
    <row r="84" spans="2:13" s="70" customFormat="1" ht="63" customHeight="1" x14ac:dyDescent="0.2">
      <c r="B84" s="74"/>
      <c r="C84" s="72">
        <v>4</v>
      </c>
      <c r="D84" s="171" t="s">
        <v>234</v>
      </c>
      <c r="E84" s="171"/>
      <c r="F84" s="171"/>
      <c r="G84" s="171"/>
      <c r="H84" s="171"/>
      <c r="I84" s="172"/>
      <c r="J84" s="74"/>
      <c r="K84" s="76"/>
      <c r="L84" s="69"/>
    </row>
    <row r="85" spans="2:13" s="70" customFormat="1" ht="63" customHeight="1" x14ac:dyDescent="0.2">
      <c r="B85" s="74"/>
      <c r="C85" s="72">
        <v>5</v>
      </c>
      <c r="D85" s="171" t="s">
        <v>231</v>
      </c>
      <c r="E85" s="171"/>
      <c r="F85" s="171"/>
      <c r="G85" s="171"/>
      <c r="H85" s="171"/>
      <c r="I85" s="172"/>
      <c r="J85" s="74"/>
      <c r="K85" s="76"/>
      <c r="L85" s="69"/>
    </row>
    <row r="86" spans="2:13" s="71" customFormat="1" ht="63" customHeight="1" thickBot="1" x14ac:dyDescent="0.25">
      <c r="B86" s="75"/>
      <c r="C86" s="73">
        <v>6</v>
      </c>
      <c r="D86" s="173" t="s">
        <v>245</v>
      </c>
      <c r="E86" s="173"/>
      <c r="F86" s="173"/>
      <c r="G86" s="173"/>
      <c r="H86" s="173"/>
      <c r="I86" s="174"/>
      <c r="J86" s="75"/>
      <c r="K86" s="77"/>
      <c r="L86" s="68"/>
      <c r="M86" s="70"/>
    </row>
    <row r="87" spans="2:13" x14ac:dyDescent="0.2">
      <c r="C87" s="60"/>
      <c r="D87" s="60"/>
      <c r="E87" s="61"/>
      <c r="F87" s="62"/>
      <c r="G87" s="62"/>
      <c r="H87" s="62"/>
      <c r="I87" s="62"/>
      <c r="L87" s="66"/>
    </row>
  </sheetData>
  <mergeCells count="13">
    <mergeCell ref="L2:L3"/>
    <mergeCell ref="K2:K3"/>
    <mergeCell ref="E2:E3"/>
    <mergeCell ref="C2:C3"/>
    <mergeCell ref="D2:D3"/>
    <mergeCell ref="J2:J3"/>
    <mergeCell ref="D81:I81"/>
    <mergeCell ref="D84:I84"/>
    <mergeCell ref="D85:I85"/>
    <mergeCell ref="D86:I86"/>
    <mergeCell ref="B2:B3"/>
    <mergeCell ref="D82:I82"/>
    <mergeCell ref="D83:I83"/>
  </mergeCells>
  <hyperlinks>
    <hyperlink ref="L62" r:id="rId1" xr:uid="{2A1F4633-C04E-5248-9A41-986624020B4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701B5-DDF0-0A4B-8231-54022BAAE564}">
  <dimension ref="A1:W79"/>
  <sheetViews>
    <sheetView workbookViewId="0">
      <selection activeCell="A80" sqref="A80"/>
    </sheetView>
  </sheetViews>
  <sheetFormatPr baseColWidth="10" defaultRowHeight="16" x14ac:dyDescent="0.2"/>
  <cols>
    <col min="1" max="2" width="29" bestFit="1" customWidth="1"/>
  </cols>
  <sheetData>
    <row r="1" spans="1:23" ht="17" thickBot="1" x14ac:dyDescent="0.25">
      <c r="A1" s="181" t="s">
        <v>106</v>
      </c>
      <c r="B1" s="181"/>
      <c r="C1" s="181"/>
      <c r="D1" s="181"/>
      <c r="E1" s="181"/>
      <c r="F1" s="181"/>
      <c r="G1" s="181"/>
      <c r="H1" s="181"/>
      <c r="I1" s="181"/>
      <c r="J1" s="181"/>
      <c r="K1" s="181"/>
      <c r="L1" s="181"/>
      <c r="M1" s="181"/>
      <c r="N1" s="181"/>
      <c r="O1" s="181"/>
      <c r="P1" s="182" t="s">
        <v>107</v>
      </c>
      <c r="Q1" s="182"/>
      <c r="R1" s="182"/>
      <c r="S1" s="182"/>
      <c r="T1" s="182"/>
      <c r="U1" s="182"/>
      <c r="V1" s="182"/>
      <c r="W1" s="182"/>
    </row>
    <row r="2" spans="1:23" x14ac:dyDescent="0.2">
      <c r="A2" s="13" t="s">
        <v>0</v>
      </c>
      <c r="B2" s="14" t="s">
        <v>0</v>
      </c>
      <c r="C2" s="3" t="s">
        <v>111</v>
      </c>
      <c r="D2" s="4" t="s">
        <v>110</v>
      </c>
      <c r="E2" s="3" t="s">
        <v>109</v>
      </c>
      <c r="F2" s="3" t="s">
        <v>108</v>
      </c>
      <c r="G2" s="3" t="s">
        <v>211</v>
      </c>
      <c r="H2" s="3" t="s">
        <v>167</v>
      </c>
      <c r="I2" s="2" t="s">
        <v>1</v>
      </c>
      <c r="J2" s="2" t="s">
        <v>2</v>
      </c>
      <c r="K2" s="2" t="s">
        <v>3</v>
      </c>
      <c r="L2" s="2" t="s">
        <v>4</v>
      </c>
      <c r="M2" s="2" t="s">
        <v>5</v>
      </c>
      <c r="N2" s="2" t="s">
        <v>6</v>
      </c>
      <c r="O2" s="2" t="s">
        <v>7</v>
      </c>
      <c r="P2" s="2" t="s">
        <v>0</v>
      </c>
      <c r="Q2" s="2" t="s">
        <v>1</v>
      </c>
      <c r="R2" s="2" t="s">
        <v>2</v>
      </c>
      <c r="S2" s="2" t="s">
        <v>3</v>
      </c>
      <c r="T2" s="2" t="s">
        <v>4</v>
      </c>
      <c r="U2" s="2" t="s">
        <v>5</v>
      </c>
      <c r="V2" s="2" t="s">
        <v>6</v>
      </c>
      <c r="W2" s="2" t="s">
        <v>7</v>
      </c>
    </row>
    <row r="3" spans="1:23" ht="17" thickBot="1" x14ac:dyDescent="0.25">
      <c r="A3" s="15" t="s">
        <v>213</v>
      </c>
      <c r="B3" s="16" t="s">
        <v>214</v>
      </c>
      <c r="C3" s="6" t="s">
        <v>209</v>
      </c>
      <c r="D3" s="7" t="s">
        <v>210</v>
      </c>
      <c r="E3" s="6" t="s">
        <v>209</v>
      </c>
      <c r="F3" s="6" t="s">
        <v>209</v>
      </c>
      <c r="G3" s="5"/>
      <c r="H3" s="6"/>
      <c r="I3" s="5"/>
      <c r="J3" s="5"/>
      <c r="K3" s="5"/>
      <c r="L3" s="5"/>
      <c r="M3" s="5"/>
      <c r="N3" s="5"/>
      <c r="O3" s="5"/>
      <c r="P3" s="5"/>
      <c r="Q3" s="5"/>
      <c r="R3" s="5"/>
      <c r="S3" s="5"/>
      <c r="T3" s="5"/>
      <c r="U3" s="5"/>
      <c r="V3" s="5"/>
      <c r="W3" s="5"/>
    </row>
    <row r="4" spans="1:23" x14ac:dyDescent="0.2">
      <c r="A4" s="1"/>
      <c r="B4" s="1" t="s">
        <v>88</v>
      </c>
      <c r="C4" s="12" t="s">
        <v>114</v>
      </c>
      <c r="D4" s="1" t="s">
        <v>204</v>
      </c>
      <c r="E4" s="12" t="s">
        <v>115</v>
      </c>
      <c r="F4" s="12" t="s">
        <v>113</v>
      </c>
      <c r="G4" s="1" t="s">
        <v>112</v>
      </c>
      <c r="H4" s="8">
        <v>44358</v>
      </c>
      <c r="I4" s="1"/>
      <c r="J4" s="1"/>
      <c r="K4" s="1"/>
      <c r="L4" s="1"/>
      <c r="M4" s="1"/>
      <c r="N4" s="1"/>
      <c r="O4" s="1"/>
      <c r="P4" s="1" t="s">
        <v>88</v>
      </c>
      <c r="Q4" s="1">
        <v>52</v>
      </c>
      <c r="R4" s="1">
        <v>1</v>
      </c>
      <c r="S4" s="1">
        <v>8.6</v>
      </c>
      <c r="T4" s="1">
        <v>20.69</v>
      </c>
      <c r="U4" s="1">
        <v>25</v>
      </c>
      <c r="V4" s="1">
        <v>25</v>
      </c>
      <c r="W4" s="1">
        <v>6</v>
      </c>
    </row>
    <row r="5" spans="1:23" x14ac:dyDescent="0.2">
      <c r="A5" s="1" t="s">
        <v>8</v>
      </c>
      <c r="B5" s="1" t="s">
        <v>8</v>
      </c>
      <c r="C5" s="12" t="s">
        <v>118</v>
      </c>
      <c r="D5" s="1" t="s">
        <v>206</v>
      </c>
      <c r="E5" s="12" t="s">
        <v>119</v>
      </c>
      <c r="F5" s="12" t="s">
        <v>117</v>
      </c>
      <c r="G5" s="1" t="s">
        <v>116</v>
      </c>
      <c r="H5" s="8">
        <v>44358</v>
      </c>
      <c r="I5" s="1" t="s">
        <v>9</v>
      </c>
      <c r="J5" s="1">
        <v>2</v>
      </c>
      <c r="K5" s="1">
        <v>7.0499999999999993E-2</v>
      </c>
      <c r="L5" s="1">
        <v>35.395000000000003</v>
      </c>
      <c r="M5" s="1">
        <v>28.5</v>
      </c>
      <c r="N5" s="1">
        <v>30</v>
      </c>
      <c r="O5" s="1">
        <v>53</v>
      </c>
      <c r="P5" s="1" t="s">
        <v>8</v>
      </c>
      <c r="Q5" s="1">
        <v>38</v>
      </c>
      <c r="R5" s="1">
        <v>1</v>
      </c>
      <c r="S5" s="1">
        <v>21.81</v>
      </c>
      <c r="T5" s="1">
        <v>35.395000000000003</v>
      </c>
      <c r="U5" s="1">
        <v>30</v>
      </c>
      <c r="V5" s="1">
        <v>30</v>
      </c>
      <c r="W5" s="1">
        <v>18</v>
      </c>
    </row>
    <row r="6" spans="1:23" x14ac:dyDescent="0.2">
      <c r="A6" s="1" t="s">
        <v>10</v>
      </c>
      <c r="B6" s="1" t="s">
        <v>10</v>
      </c>
      <c r="C6" s="1" t="s">
        <v>114</v>
      </c>
      <c r="D6" s="1" t="s">
        <v>205</v>
      </c>
      <c r="E6" s="1" t="s">
        <v>121</v>
      </c>
      <c r="F6" s="12" t="s">
        <v>122</v>
      </c>
      <c r="G6" s="1" t="s">
        <v>120</v>
      </c>
      <c r="H6" s="8">
        <v>44358</v>
      </c>
      <c r="I6" s="1">
        <v>54</v>
      </c>
      <c r="J6" s="1">
        <v>1</v>
      </c>
      <c r="K6" s="1">
        <v>11.5</v>
      </c>
      <c r="L6" s="1">
        <v>31.3</v>
      </c>
      <c r="M6" s="1">
        <v>25</v>
      </c>
      <c r="N6" s="1">
        <v>25</v>
      </c>
      <c r="O6" s="1">
        <v>8</v>
      </c>
      <c r="P6" s="1" t="s">
        <v>10</v>
      </c>
      <c r="Q6" s="1">
        <v>54</v>
      </c>
      <c r="R6" s="1">
        <v>1</v>
      </c>
      <c r="S6" s="1">
        <v>11.5</v>
      </c>
      <c r="T6" s="1">
        <v>31.3</v>
      </c>
      <c r="U6" s="1">
        <v>25</v>
      </c>
      <c r="V6" s="1">
        <v>25</v>
      </c>
      <c r="W6" s="1">
        <v>8</v>
      </c>
    </row>
    <row r="7" spans="1:23" x14ac:dyDescent="0.2">
      <c r="A7" s="1" t="s">
        <v>11</v>
      </c>
      <c r="B7" s="1"/>
      <c r="C7" s="12" t="s">
        <v>118</v>
      </c>
      <c r="D7" s="1" t="s">
        <v>206</v>
      </c>
      <c r="E7" s="12" t="s">
        <v>119</v>
      </c>
      <c r="F7" s="12" t="s">
        <v>117</v>
      </c>
      <c r="G7" s="1" t="s">
        <v>123</v>
      </c>
      <c r="H7" s="8">
        <v>44358</v>
      </c>
      <c r="I7" s="1">
        <v>27</v>
      </c>
      <c r="J7" s="1">
        <v>1</v>
      </c>
      <c r="K7" s="1">
        <v>0.04</v>
      </c>
      <c r="L7" s="1">
        <v>0.1827</v>
      </c>
      <c r="M7" s="1">
        <v>28.5</v>
      </c>
      <c r="N7" s="1">
        <v>28.5</v>
      </c>
      <c r="O7" s="1">
        <v>20</v>
      </c>
      <c r="P7" s="1"/>
      <c r="Q7" s="1"/>
      <c r="R7" s="1"/>
      <c r="S7" s="1"/>
      <c r="T7" s="1"/>
      <c r="U7" s="1"/>
      <c r="V7" s="1"/>
      <c r="W7" s="1"/>
    </row>
    <row r="8" spans="1:23" x14ac:dyDescent="0.2">
      <c r="A8" s="1" t="s">
        <v>12</v>
      </c>
      <c r="B8" s="1"/>
      <c r="C8" s="12" t="s">
        <v>118</v>
      </c>
      <c r="D8" s="1" t="s">
        <v>204</v>
      </c>
      <c r="E8" s="12" t="s">
        <v>119</v>
      </c>
      <c r="F8" s="12" t="s">
        <v>117</v>
      </c>
      <c r="G8" s="1" t="s">
        <v>124</v>
      </c>
      <c r="H8" s="8">
        <v>44358</v>
      </c>
      <c r="I8" s="1">
        <v>27</v>
      </c>
      <c r="J8" s="1">
        <v>1</v>
      </c>
      <c r="K8" s="1">
        <v>9.7600000000000006E-2</v>
      </c>
      <c r="L8" s="1">
        <v>0.17510000000000001</v>
      </c>
      <c r="M8" s="1">
        <v>28.5</v>
      </c>
      <c r="N8" s="1">
        <v>28.5</v>
      </c>
      <c r="O8" s="1">
        <v>12</v>
      </c>
      <c r="P8" s="1"/>
      <c r="Q8" s="1"/>
      <c r="R8" s="1"/>
      <c r="S8" s="1"/>
      <c r="T8" s="1"/>
      <c r="U8" s="1"/>
      <c r="V8" s="1"/>
      <c r="W8" s="1"/>
    </row>
    <row r="9" spans="1:23" x14ac:dyDescent="0.2">
      <c r="A9" s="1" t="s">
        <v>13</v>
      </c>
      <c r="B9" s="1"/>
      <c r="C9" s="12" t="s">
        <v>126</v>
      </c>
      <c r="D9" s="1" t="s">
        <v>208</v>
      </c>
      <c r="E9" s="12" t="s">
        <v>121</v>
      </c>
      <c r="F9" s="12" t="s">
        <v>125</v>
      </c>
      <c r="G9" s="1" t="s">
        <v>128</v>
      </c>
      <c r="H9" s="8">
        <v>44358</v>
      </c>
      <c r="I9" s="1">
        <v>7</v>
      </c>
      <c r="J9" s="1">
        <v>2</v>
      </c>
      <c r="K9" s="1">
        <v>171</v>
      </c>
      <c r="L9" s="1">
        <v>507</v>
      </c>
      <c r="M9" s="1">
        <v>20</v>
      </c>
      <c r="N9" s="1">
        <v>20</v>
      </c>
      <c r="O9" s="1">
        <v>48</v>
      </c>
      <c r="P9" s="1"/>
      <c r="Q9" s="1"/>
      <c r="R9" s="1"/>
      <c r="S9" s="1"/>
      <c r="T9" s="1"/>
      <c r="U9" s="1"/>
      <c r="V9" s="1"/>
      <c r="W9" s="1"/>
    </row>
    <row r="10" spans="1:23" x14ac:dyDescent="0.2">
      <c r="A10" s="1" t="s">
        <v>14</v>
      </c>
      <c r="B10" s="1"/>
      <c r="C10" s="12" t="s">
        <v>126</v>
      </c>
      <c r="D10" s="1" t="s">
        <v>204</v>
      </c>
      <c r="E10" s="12" t="s">
        <v>121</v>
      </c>
      <c r="F10" s="12" t="s">
        <v>117</v>
      </c>
      <c r="G10" s="1" t="s">
        <v>127</v>
      </c>
      <c r="H10" s="8">
        <v>44358</v>
      </c>
      <c r="I10" s="1">
        <v>17</v>
      </c>
      <c r="J10" s="1">
        <v>1</v>
      </c>
      <c r="K10" s="1">
        <v>1.53</v>
      </c>
      <c r="L10" s="1">
        <v>3.98</v>
      </c>
      <c r="M10" s="1">
        <v>21</v>
      </c>
      <c r="N10" s="1">
        <v>21</v>
      </c>
      <c r="O10" s="1">
        <v>10</v>
      </c>
      <c r="P10" s="1"/>
      <c r="Q10" s="1"/>
      <c r="R10" s="1"/>
      <c r="S10" s="1"/>
      <c r="T10" s="1"/>
      <c r="U10" s="1"/>
      <c r="V10" s="1"/>
      <c r="W10" s="1"/>
    </row>
    <row r="11" spans="1:23" x14ac:dyDescent="0.2">
      <c r="A11" s="1" t="s">
        <v>15</v>
      </c>
      <c r="B11" s="1" t="s">
        <v>15</v>
      </c>
      <c r="C11" s="12" t="s">
        <v>126</v>
      </c>
      <c r="D11" s="1" t="s">
        <v>205</v>
      </c>
      <c r="E11" s="12" t="s">
        <v>131</v>
      </c>
      <c r="F11" s="12" t="s">
        <v>129</v>
      </c>
      <c r="G11" s="1" t="s">
        <v>130</v>
      </c>
      <c r="H11" s="8">
        <v>44358</v>
      </c>
      <c r="I11" s="1">
        <v>8</v>
      </c>
      <c r="J11" s="1">
        <v>1</v>
      </c>
      <c r="K11" s="1">
        <v>16.100000000000001</v>
      </c>
      <c r="L11" s="1">
        <v>48.6</v>
      </c>
      <c r="M11" s="1">
        <v>0</v>
      </c>
      <c r="N11" s="1">
        <v>6</v>
      </c>
      <c r="O11" s="1">
        <v>15</v>
      </c>
      <c r="P11" s="1" t="s">
        <v>15</v>
      </c>
      <c r="Q11" s="1">
        <v>8</v>
      </c>
      <c r="R11" s="1">
        <v>1</v>
      </c>
      <c r="S11" s="1">
        <v>16.100000000000001</v>
      </c>
      <c r="T11" s="1">
        <v>48.6</v>
      </c>
      <c r="U11" s="1">
        <v>0</v>
      </c>
      <c r="V11" s="1">
        <v>6</v>
      </c>
      <c r="W11" s="1">
        <v>13</v>
      </c>
    </row>
    <row r="12" spans="1:23" x14ac:dyDescent="0.2">
      <c r="A12" s="1" t="s">
        <v>16</v>
      </c>
      <c r="B12" s="1" t="s">
        <v>16</v>
      </c>
      <c r="C12" s="12" t="s">
        <v>114</v>
      </c>
      <c r="D12" s="1" t="s">
        <v>204</v>
      </c>
      <c r="E12" s="12" t="s">
        <v>115</v>
      </c>
      <c r="F12" s="12" t="s">
        <v>113</v>
      </c>
      <c r="G12" s="1" t="s">
        <v>132</v>
      </c>
      <c r="H12" s="8">
        <v>44358</v>
      </c>
      <c r="I12" s="1" t="s">
        <v>17</v>
      </c>
      <c r="J12" s="1">
        <v>7</v>
      </c>
      <c r="K12" s="1">
        <v>1.2</v>
      </c>
      <c r="L12" s="1">
        <v>323.2</v>
      </c>
      <c r="M12" s="1">
        <v>25</v>
      </c>
      <c r="N12" s="1">
        <v>26</v>
      </c>
      <c r="O12" s="1">
        <v>363</v>
      </c>
      <c r="P12" s="1" t="s">
        <v>16</v>
      </c>
      <c r="Q12" s="1" t="s">
        <v>89</v>
      </c>
      <c r="R12" s="1">
        <v>3</v>
      </c>
      <c r="S12" s="1">
        <v>1.2</v>
      </c>
      <c r="T12" s="1">
        <v>323.2</v>
      </c>
      <c r="U12" s="1">
        <v>25</v>
      </c>
      <c r="V12" s="1">
        <v>25</v>
      </c>
      <c r="W12" s="1">
        <v>94</v>
      </c>
    </row>
    <row r="13" spans="1:23" x14ac:dyDescent="0.2">
      <c r="A13" s="1" t="s">
        <v>18</v>
      </c>
      <c r="B13" s="1" t="s">
        <v>18</v>
      </c>
      <c r="C13" s="12" t="s">
        <v>114</v>
      </c>
      <c r="D13" s="1" t="s">
        <v>205</v>
      </c>
      <c r="E13" s="12" t="s">
        <v>115</v>
      </c>
      <c r="F13" s="12" t="s">
        <v>122</v>
      </c>
      <c r="G13" s="1" t="s">
        <v>133</v>
      </c>
      <c r="H13" s="8">
        <v>44358</v>
      </c>
      <c r="I13" s="1">
        <v>54</v>
      </c>
      <c r="J13" s="1">
        <v>1</v>
      </c>
      <c r="K13" s="1">
        <v>2.8</v>
      </c>
      <c r="L13" s="1">
        <v>3.9</v>
      </c>
      <c r="M13" s="1">
        <v>25</v>
      </c>
      <c r="N13" s="1">
        <v>25</v>
      </c>
      <c r="O13" s="1">
        <v>8</v>
      </c>
      <c r="P13" s="1" t="s">
        <v>18</v>
      </c>
      <c r="Q13" s="1">
        <v>54</v>
      </c>
      <c r="R13" s="1">
        <v>1</v>
      </c>
      <c r="S13" s="1">
        <v>2.8</v>
      </c>
      <c r="T13" s="1">
        <v>3.9</v>
      </c>
      <c r="U13" s="1">
        <v>25</v>
      </c>
      <c r="V13" s="1">
        <v>25</v>
      </c>
      <c r="W13" s="1">
        <v>8</v>
      </c>
    </row>
    <row r="14" spans="1:23" x14ac:dyDescent="0.2">
      <c r="A14" s="1" t="s">
        <v>19</v>
      </c>
      <c r="B14" s="1" t="s">
        <v>21</v>
      </c>
      <c r="C14" s="12" t="s">
        <v>114</v>
      </c>
      <c r="D14" s="1" t="s">
        <v>206</v>
      </c>
      <c r="E14" s="12" t="s">
        <v>115</v>
      </c>
      <c r="F14" s="12" t="s">
        <v>113</v>
      </c>
      <c r="G14" s="1" t="s">
        <v>134</v>
      </c>
      <c r="H14" s="8">
        <v>44358</v>
      </c>
      <c r="I14" s="1">
        <v>21</v>
      </c>
      <c r="J14" s="1">
        <v>2</v>
      </c>
      <c r="K14" s="1">
        <v>1.2963</v>
      </c>
      <c r="L14" s="1">
        <v>2.0985999999999998</v>
      </c>
      <c r="M14" s="1">
        <v>29</v>
      </c>
      <c r="N14" s="1">
        <v>29</v>
      </c>
      <c r="O14" s="1">
        <v>16</v>
      </c>
      <c r="P14" s="1" t="s">
        <v>21</v>
      </c>
      <c r="Q14" s="1" t="s">
        <v>90</v>
      </c>
      <c r="R14" s="1">
        <v>2</v>
      </c>
      <c r="S14" s="1">
        <v>2.9</v>
      </c>
      <c r="T14" s="1">
        <v>8.8000000000000007</v>
      </c>
      <c r="U14" s="1">
        <v>25</v>
      </c>
      <c r="V14" s="1">
        <v>25</v>
      </c>
      <c r="W14" s="1">
        <v>15</v>
      </c>
    </row>
    <row r="15" spans="1:23" x14ac:dyDescent="0.2">
      <c r="A15" s="1" t="s">
        <v>20</v>
      </c>
      <c r="B15" s="1"/>
      <c r="C15" s="12" t="s">
        <v>114</v>
      </c>
      <c r="D15" s="1" t="s">
        <v>205</v>
      </c>
      <c r="E15" s="12" t="s">
        <v>115</v>
      </c>
      <c r="F15" s="12" t="s">
        <v>122</v>
      </c>
      <c r="G15" s="1" t="s">
        <v>135</v>
      </c>
      <c r="H15" s="8">
        <v>44358</v>
      </c>
      <c r="I15" s="1">
        <v>79</v>
      </c>
      <c r="J15" s="1">
        <v>1</v>
      </c>
      <c r="K15" s="1">
        <v>39.01</v>
      </c>
      <c r="L15" s="1">
        <v>88</v>
      </c>
      <c r="M15" s="1">
        <v>26.5</v>
      </c>
      <c r="N15" s="1">
        <v>26.5</v>
      </c>
      <c r="O15" s="1">
        <v>42</v>
      </c>
      <c r="P15" s="1"/>
      <c r="Q15" s="1"/>
      <c r="R15" s="1"/>
      <c r="S15" s="1"/>
      <c r="T15" s="1"/>
      <c r="U15" s="1"/>
      <c r="V15" s="1"/>
      <c r="W15" s="1"/>
    </row>
    <row r="16" spans="1:23" x14ac:dyDescent="0.2">
      <c r="A16" s="1" t="s">
        <v>21</v>
      </c>
      <c r="B16" s="1"/>
      <c r="C16" s="12" t="s">
        <v>114</v>
      </c>
      <c r="D16" s="1" t="s">
        <v>204</v>
      </c>
      <c r="E16" s="12" t="s">
        <v>115</v>
      </c>
      <c r="F16" s="12" t="s">
        <v>113</v>
      </c>
      <c r="G16" s="1" t="s">
        <v>134</v>
      </c>
      <c r="H16" s="8">
        <v>44358</v>
      </c>
      <c r="I16" s="1">
        <v>54</v>
      </c>
      <c r="J16" s="1">
        <v>1</v>
      </c>
      <c r="K16" s="1">
        <v>2.9</v>
      </c>
      <c r="L16" s="1">
        <v>6.7</v>
      </c>
      <c r="M16" s="1">
        <v>25</v>
      </c>
      <c r="N16" s="1">
        <v>25</v>
      </c>
      <c r="O16" s="1">
        <v>8</v>
      </c>
      <c r="P16" s="1"/>
      <c r="Q16" s="1"/>
      <c r="R16" s="1"/>
      <c r="S16" s="1"/>
      <c r="T16" s="1"/>
      <c r="U16" s="1"/>
      <c r="V16" s="1"/>
      <c r="W16" s="1"/>
    </row>
    <row r="17" spans="1:23" x14ac:dyDescent="0.2">
      <c r="A17" s="1" t="s">
        <v>22</v>
      </c>
      <c r="B17" s="1" t="s">
        <v>22</v>
      </c>
      <c r="C17" s="12" t="s">
        <v>114</v>
      </c>
      <c r="D17" s="1" t="s">
        <v>204</v>
      </c>
      <c r="E17" s="12" t="s">
        <v>115</v>
      </c>
      <c r="F17" s="12" t="s">
        <v>113</v>
      </c>
      <c r="G17" s="1" t="s">
        <v>136</v>
      </c>
      <c r="H17" s="8">
        <v>44358</v>
      </c>
      <c r="I17" s="1">
        <v>54</v>
      </c>
      <c r="J17" s="1">
        <v>1</v>
      </c>
      <c r="K17" s="1">
        <v>4.7</v>
      </c>
      <c r="L17" s="1">
        <v>16.7</v>
      </c>
      <c r="M17" s="1">
        <v>25</v>
      </c>
      <c r="N17" s="1">
        <v>25</v>
      </c>
      <c r="O17" s="1">
        <v>8</v>
      </c>
      <c r="P17" s="1" t="s">
        <v>22</v>
      </c>
      <c r="Q17" s="1" t="s">
        <v>90</v>
      </c>
      <c r="R17" s="1">
        <v>2</v>
      </c>
      <c r="S17" s="1">
        <v>4.7</v>
      </c>
      <c r="T17" s="1">
        <v>16.7</v>
      </c>
      <c r="U17" s="1">
        <v>25</v>
      </c>
      <c r="V17" s="1">
        <v>25</v>
      </c>
      <c r="W17" s="1">
        <v>16</v>
      </c>
    </row>
    <row r="18" spans="1:23" x14ac:dyDescent="0.2">
      <c r="A18" s="1" t="s">
        <v>23</v>
      </c>
      <c r="B18" s="1" t="s">
        <v>23</v>
      </c>
      <c r="C18" s="12" t="s">
        <v>126</v>
      </c>
      <c r="D18" s="1" t="s">
        <v>204</v>
      </c>
      <c r="E18" s="12" t="s">
        <v>115</v>
      </c>
      <c r="F18" s="12" t="s">
        <v>125</v>
      </c>
      <c r="G18" s="1" t="s">
        <v>137</v>
      </c>
      <c r="H18" s="8">
        <v>44358</v>
      </c>
      <c r="I18" s="1">
        <v>23</v>
      </c>
      <c r="J18" s="1">
        <v>1</v>
      </c>
      <c r="K18" s="1">
        <v>48.1</v>
      </c>
      <c r="L18" s="1">
        <v>100.7</v>
      </c>
      <c r="M18" s="1">
        <v>16.5</v>
      </c>
      <c r="N18" s="1">
        <v>16.5</v>
      </c>
      <c r="O18" s="1">
        <v>11</v>
      </c>
      <c r="P18" s="1" t="s">
        <v>23</v>
      </c>
      <c r="Q18" s="1">
        <v>51</v>
      </c>
      <c r="R18" s="1">
        <v>1</v>
      </c>
      <c r="S18" s="1">
        <v>5.8000000000000003E-2</v>
      </c>
      <c r="T18" s="1">
        <v>0.29399999999999998</v>
      </c>
      <c r="U18" s="1">
        <v>17</v>
      </c>
      <c r="V18" s="1">
        <v>17</v>
      </c>
      <c r="W18" s="1">
        <v>12</v>
      </c>
    </row>
    <row r="19" spans="1:23" x14ac:dyDescent="0.2">
      <c r="A19" s="1" t="s">
        <v>24</v>
      </c>
      <c r="B19" s="1" t="s">
        <v>24</v>
      </c>
      <c r="C19" s="12" t="s">
        <v>114</v>
      </c>
      <c r="D19" s="1" t="s">
        <v>205</v>
      </c>
      <c r="E19" s="12" t="s">
        <v>115</v>
      </c>
      <c r="F19" s="12" t="s">
        <v>122</v>
      </c>
      <c r="G19" s="1" t="s">
        <v>138</v>
      </c>
      <c r="H19" s="8">
        <v>44358</v>
      </c>
      <c r="I19" s="1">
        <v>54</v>
      </c>
      <c r="J19" s="1">
        <v>1</v>
      </c>
      <c r="K19" s="1">
        <v>8.3000000000000007</v>
      </c>
      <c r="L19" s="1">
        <v>17</v>
      </c>
      <c r="M19" s="1">
        <v>25</v>
      </c>
      <c r="N19" s="1">
        <v>25</v>
      </c>
      <c r="O19" s="1">
        <v>8</v>
      </c>
      <c r="P19" s="1" t="s">
        <v>24</v>
      </c>
      <c r="Q19" s="1">
        <v>54</v>
      </c>
      <c r="R19" s="1">
        <v>1</v>
      </c>
      <c r="S19" s="1">
        <v>8.3000000000000007</v>
      </c>
      <c r="T19" s="1">
        <v>17</v>
      </c>
      <c r="U19" s="1">
        <v>25</v>
      </c>
      <c r="V19" s="1">
        <v>25</v>
      </c>
      <c r="W19" s="1">
        <v>8</v>
      </c>
    </row>
    <row r="20" spans="1:23" x14ac:dyDescent="0.2">
      <c r="A20" s="1" t="s">
        <v>25</v>
      </c>
      <c r="B20" s="1" t="s">
        <v>25</v>
      </c>
      <c r="C20" s="12" t="s">
        <v>114</v>
      </c>
      <c r="D20" s="1" t="s">
        <v>204</v>
      </c>
      <c r="E20" s="12" t="s">
        <v>119</v>
      </c>
      <c r="F20" s="12" t="s">
        <v>122</v>
      </c>
      <c r="G20" s="1" t="s">
        <v>139</v>
      </c>
      <c r="H20" s="8">
        <v>44358</v>
      </c>
      <c r="I20" s="1">
        <v>32</v>
      </c>
      <c r="J20" s="1">
        <v>4</v>
      </c>
      <c r="K20" s="1">
        <v>1.6</v>
      </c>
      <c r="L20" s="1">
        <v>6.86</v>
      </c>
      <c r="M20" s="1">
        <v>18</v>
      </c>
      <c r="N20" s="1">
        <v>23</v>
      </c>
      <c r="O20" s="1">
        <v>70</v>
      </c>
      <c r="P20" s="1" t="s">
        <v>25</v>
      </c>
      <c r="Q20" s="1">
        <v>32</v>
      </c>
      <c r="R20" s="1">
        <v>4</v>
      </c>
      <c r="S20" s="1">
        <v>1.6</v>
      </c>
      <c r="T20" s="1">
        <v>6.86</v>
      </c>
      <c r="U20" s="1">
        <v>18</v>
      </c>
      <c r="V20" s="1">
        <v>23</v>
      </c>
      <c r="W20" s="1">
        <v>70</v>
      </c>
    </row>
    <row r="21" spans="1:23" x14ac:dyDescent="0.2">
      <c r="A21" s="1" t="s">
        <v>26</v>
      </c>
      <c r="B21" s="1"/>
      <c r="C21" s="12" t="s">
        <v>114</v>
      </c>
      <c r="D21" s="1" t="s">
        <v>205</v>
      </c>
      <c r="E21" s="12" t="s">
        <v>121</v>
      </c>
      <c r="F21" s="12" t="s">
        <v>117</v>
      </c>
      <c r="G21" s="1" t="s">
        <v>140</v>
      </c>
      <c r="H21" s="8">
        <v>44358</v>
      </c>
      <c r="I21" s="1" t="s">
        <v>27</v>
      </c>
      <c r="J21" s="1">
        <v>2</v>
      </c>
      <c r="K21" s="1">
        <v>1.27</v>
      </c>
      <c r="L21" s="1">
        <v>3.81</v>
      </c>
      <c r="M21" s="1">
        <v>15</v>
      </c>
      <c r="N21" s="1">
        <v>21</v>
      </c>
      <c r="O21" s="1">
        <v>73</v>
      </c>
      <c r="P21" s="1"/>
      <c r="Q21" s="1"/>
      <c r="R21" s="1"/>
      <c r="S21" s="1"/>
      <c r="T21" s="1"/>
      <c r="U21" s="1"/>
      <c r="V21" s="1"/>
      <c r="W21" s="1"/>
    </row>
    <row r="22" spans="1:23" x14ac:dyDescent="0.2">
      <c r="A22" s="1" t="s">
        <v>28</v>
      </c>
      <c r="B22" s="1"/>
      <c r="C22" s="12" t="s">
        <v>114</v>
      </c>
      <c r="D22" s="1" t="s">
        <v>204</v>
      </c>
      <c r="E22" s="12" t="s">
        <v>121</v>
      </c>
      <c r="F22" s="12" t="s">
        <v>129</v>
      </c>
      <c r="G22" s="1" t="s">
        <v>141</v>
      </c>
      <c r="H22" s="8">
        <v>44358</v>
      </c>
      <c r="I22" s="1">
        <v>8</v>
      </c>
      <c r="J22" s="1">
        <v>1</v>
      </c>
      <c r="K22" s="1">
        <v>21.2</v>
      </c>
      <c r="L22" s="1">
        <v>173.6</v>
      </c>
      <c r="M22" s="1">
        <v>3</v>
      </c>
      <c r="N22" s="1">
        <v>12</v>
      </c>
      <c r="O22" s="1">
        <v>29</v>
      </c>
      <c r="P22" s="1"/>
      <c r="Q22" s="1"/>
      <c r="R22" s="1"/>
      <c r="S22" s="1"/>
      <c r="T22" s="1"/>
      <c r="U22" s="1"/>
      <c r="V22" s="1"/>
      <c r="W22" s="1"/>
    </row>
    <row r="23" spans="1:23" x14ac:dyDescent="0.2">
      <c r="A23" s="1" t="s">
        <v>29</v>
      </c>
      <c r="B23" s="1" t="s">
        <v>29</v>
      </c>
      <c r="C23" s="12" t="s">
        <v>114</v>
      </c>
      <c r="D23" s="1" t="s">
        <v>204</v>
      </c>
      <c r="E23" s="12" t="s">
        <v>115</v>
      </c>
      <c r="F23" s="12" t="s">
        <v>113</v>
      </c>
      <c r="G23" s="1" t="s">
        <v>142</v>
      </c>
      <c r="H23" s="8">
        <v>44358</v>
      </c>
      <c r="I23" s="1">
        <v>26</v>
      </c>
      <c r="J23" s="1">
        <v>1</v>
      </c>
      <c r="K23" s="1">
        <v>0.59</v>
      </c>
      <c r="L23" s="1">
        <v>1.22</v>
      </c>
      <c r="M23" s="1">
        <v>30</v>
      </c>
      <c r="N23" s="1">
        <v>30</v>
      </c>
      <c r="O23" s="1">
        <v>10</v>
      </c>
      <c r="P23" s="1" t="s">
        <v>29</v>
      </c>
      <c r="Q23" s="1">
        <v>26</v>
      </c>
      <c r="R23" s="1">
        <v>1</v>
      </c>
      <c r="S23" s="1">
        <v>0.59</v>
      </c>
      <c r="T23" s="1">
        <v>1.22</v>
      </c>
      <c r="U23" s="1">
        <v>30</v>
      </c>
      <c r="V23" s="1">
        <v>30</v>
      </c>
      <c r="W23" s="1">
        <v>10</v>
      </c>
    </row>
    <row r="24" spans="1:23" x14ac:dyDescent="0.2">
      <c r="A24" s="1" t="s">
        <v>30</v>
      </c>
      <c r="B24" s="1" t="s">
        <v>30</v>
      </c>
      <c r="C24" s="12" t="s">
        <v>114</v>
      </c>
      <c r="D24" s="1" t="s">
        <v>204</v>
      </c>
      <c r="E24" s="12" t="s">
        <v>115</v>
      </c>
      <c r="F24" s="12" t="s">
        <v>125</v>
      </c>
      <c r="G24" s="1" t="s">
        <v>143</v>
      </c>
      <c r="H24" s="8">
        <v>44358</v>
      </c>
      <c r="I24" s="1" t="s">
        <v>31</v>
      </c>
      <c r="J24" s="1">
        <v>10</v>
      </c>
      <c r="K24" s="1">
        <v>0.45800000000000002</v>
      </c>
      <c r="L24" s="1">
        <v>5.7480000000000002</v>
      </c>
      <c r="M24" s="1">
        <v>10</v>
      </c>
      <c r="N24" s="1">
        <v>20</v>
      </c>
      <c r="O24" s="1">
        <v>410</v>
      </c>
      <c r="P24" s="1" t="s">
        <v>30</v>
      </c>
      <c r="Q24" s="1" t="s">
        <v>91</v>
      </c>
      <c r="R24" s="1">
        <v>7</v>
      </c>
      <c r="S24" s="1">
        <v>0.45800000000000002</v>
      </c>
      <c r="T24" s="1">
        <v>5.7480000000000002</v>
      </c>
      <c r="U24" s="1">
        <v>10</v>
      </c>
      <c r="V24" s="1">
        <v>20</v>
      </c>
      <c r="W24" s="1">
        <v>298</v>
      </c>
    </row>
    <row r="25" spans="1:23" x14ac:dyDescent="0.2">
      <c r="A25" s="1" t="s">
        <v>32</v>
      </c>
      <c r="B25" s="1" t="s">
        <v>32</v>
      </c>
      <c r="C25" s="12" t="s">
        <v>114</v>
      </c>
      <c r="D25" s="9" t="s">
        <v>207</v>
      </c>
      <c r="E25" s="12" t="s">
        <v>121</v>
      </c>
      <c r="F25" s="12" t="s">
        <v>122</v>
      </c>
      <c r="G25" s="1" t="s">
        <v>144</v>
      </c>
      <c r="H25" s="8">
        <v>44358</v>
      </c>
      <c r="I25" s="1">
        <v>54</v>
      </c>
      <c r="J25" s="1">
        <v>1</v>
      </c>
      <c r="K25" s="1">
        <v>1.1100000000000001</v>
      </c>
      <c r="L25" s="1">
        <v>1.52</v>
      </c>
      <c r="M25" s="1">
        <v>25</v>
      </c>
      <c r="N25" s="1">
        <v>25</v>
      </c>
      <c r="O25" s="1">
        <v>8</v>
      </c>
      <c r="P25" s="1" t="s">
        <v>32</v>
      </c>
      <c r="Q25" s="1">
        <v>54</v>
      </c>
      <c r="R25" s="1">
        <v>1</v>
      </c>
      <c r="S25" s="1">
        <v>1.1100000000000001</v>
      </c>
      <c r="T25" s="1">
        <v>1.52</v>
      </c>
      <c r="U25" s="1">
        <v>25</v>
      </c>
      <c r="V25" s="1">
        <v>25</v>
      </c>
      <c r="W25" s="1">
        <v>8</v>
      </c>
    </row>
    <row r="26" spans="1:23" x14ac:dyDescent="0.2">
      <c r="A26" s="1" t="s">
        <v>33</v>
      </c>
      <c r="B26" s="1" t="s">
        <v>33</v>
      </c>
      <c r="C26" s="12" t="s">
        <v>118</v>
      </c>
      <c r="D26" s="1" t="s">
        <v>204</v>
      </c>
      <c r="E26" s="12" t="s">
        <v>119</v>
      </c>
      <c r="F26" s="12" t="s">
        <v>117</v>
      </c>
      <c r="G26" s="1" t="s">
        <v>145</v>
      </c>
      <c r="H26" s="8">
        <v>44358</v>
      </c>
      <c r="I26" s="1">
        <v>34</v>
      </c>
      <c r="J26" s="1">
        <v>1</v>
      </c>
      <c r="K26" s="1">
        <v>0.249</v>
      </c>
      <c r="L26" s="1">
        <v>1.4670000000000001</v>
      </c>
      <c r="M26" s="1">
        <v>29</v>
      </c>
      <c r="N26" s="1">
        <v>29</v>
      </c>
      <c r="O26" s="1">
        <v>10</v>
      </c>
      <c r="P26" s="1" t="s">
        <v>33</v>
      </c>
      <c r="Q26" s="1">
        <v>34</v>
      </c>
      <c r="R26" s="1">
        <v>1</v>
      </c>
      <c r="S26" s="1">
        <v>0.249</v>
      </c>
      <c r="T26" s="1">
        <v>1.4670000000000001</v>
      </c>
      <c r="U26" s="1">
        <v>29</v>
      </c>
      <c r="V26" s="1">
        <v>29</v>
      </c>
      <c r="W26" s="1">
        <v>10</v>
      </c>
    </row>
    <row r="27" spans="1:23" x14ac:dyDescent="0.2">
      <c r="A27" s="1" t="s">
        <v>34</v>
      </c>
      <c r="B27" s="1" t="s">
        <v>34</v>
      </c>
      <c r="C27" s="12" t="s">
        <v>118</v>
      </c>
      <c r="D27" s="1" t="s">
        <v>204</v>
      </c>
      <c r="E27" s="12" t="s">
        <v>119</v>
      </c>
      <c r="F27" s="12" t="s">
        <v>117</v>
      </c>
      <c r="G27" s="1" t="s">
        <v>146</v>
      </c>
      <c r="H27" s="8">
        <v>44358</v>
      </c>
      <c r="I27" s="1">
        <v>34</v>
      </c>
      <c r="J27" s="1">
        <v>1</v>
      </c>
      <c r="K27" s="1">
        <v>0.54300000000000004</v>
      </c>
      <c r="L27" s="1">
        <v>2.0270000000000001</v>
      </c>
      <c r="M27" s="1">
        <v>29</v>
      </c>
      <c r="N27" s="1">
        <v>29</v>
      </c>
      <c r="O27" s="1">
        <v>6</v>
      </c>
      <c r="P27" s="1" t="s">
        <v>34</v>
      </c>
      <c r="Q27" s="1">
        <v>34</v>
      </c>
      <c r="R27" s="1">
        <v>1</v>
      </c>
      <c r="S27" s="1">
        <v>0.54300000000000004</v>
      </c>
      <c r="T27" s="1">
        <v>2.0270000000000001</v>
      </c>
      <c r="U27" s="1">
        <v>29</v>
      </c>
      <c r="V27" s="1">
        <v>29</v>
      </c>
      <c r="W27" s="1">
        <v>6</v>
      </c>
    </row>
    <row r="28" spans="1:23" x14ac:dyDescent="0.2">
      <c r="A28" s="1" t="s">
        <v>35</v>
      </c>
      <c r="B28" s="1" t="s">
        <v>35</v>
      </c>
      <c r="C28" s="12" t="s">
        <v>126</v>
      </c>
      <c r="D28" s="1" t="s">
        <v>205</v>
      </c>
      <c r="E28" s="12" t="s">
        <v>121</v>
      </c>
      <c r="F28" s="12" t="s">
        <v>122</v>
      </c>
      <c r="G28" s="1" t="s">
        <v>147</v>
      </c>
      <c r="H28" s="8">
        <v>44358</v>
      </c>
      <c r="I28" s="1">
        <v>54</v>
      </c>
      <c r="J28" s="1">
        <v>1</v>
      </c>
      <c r="K28" s="1">
        <v>9.8000000000000007</v>
      </c>
      <c r="L28" s="1">
        <v>26.6</v>
      </c>
      <c r="M28" s="1">
        <v>25</v>
      </c>
      <c r="N28" s="1">
        <v>25</v>
      </c>
      <c r="O28" s="1">
        <v>8</v>
      </c>
      <c r="P28" s="1" t="s">
        <v>35</v>
      </c>
      <c r="Q28" s="1">
        <v>54</v>
      </c>
      <c r="R28" s="1">
        <v>1</v>
      </c>
      <c r="S28" s="1">
        <v>9.8000000000000007</v>
      </c>
      <c r="T28" s="1">
        <v>26.6</v>
      </c>
      <c r="U28" s="1">
        <v>25</v>
      </c>
      <c r="V28" s="1">
        <v>25</v>
      </c>
      <c r="W28" s="1">
        <v>8</v>
      </c>
    </row>
    <row r="29" spans="1:23" x14ac:dyDescent="0.2">
      <c r="A29" s="1" t="s">
        <v>36</v>
      </c>
      <c r="B29" s="1" t="s">
        <v>36</v>
      </c>
      <c r="C29" s="12" t="s">
        <v>114</v>
      </c>
      <c r="D29" s="1" t="s">
        <v>204</v>
      </c>
      <c r="E29" s="12" t="s">
        <v>121</v>
      </c>
      <c r="F29" s="12" t="s">
        <v>122</v>
      </c>
      <c r="G29" s="1" t="s">
        <v>148</v>
      </c>
      <c r="H29" s="8">
        <v>44358</v>
      </c>
      <c r="I29" s="1">
        <v>54</v>
      </c>
      <c r="J29" s="1">
        <v>1</v>
      </c>
      <c r="K29" s="1">
        <v>8.3000000000000007</v>
      </c>
      <c r="L29" s="1">
        <v>17</v>
      </c>
      <c r="M29" s="1">
        <v>25</v>
      </c>
      <c r="N29" s="1">
        <v>25</v>
      </c>
      <c r="O29" s="1">
        <v>8</v>
      </c>
      <c r="P29" s="1" t="s">
        <v>36</v>
      </c>
      <c r="Q29" s="1">
        <v>54</v>
      </c>
      <c r="R29" s="1">
        <v>1</v>
      </c>
      <c r="S29" s="1">
        <v>8.3000000000000007</v>
      </c>
      <c r="T29" s="1">
        <v>17</v>
      </c>
      <c r="U29" s="1">
        <v>25</v>
      </c>
      <c r="V29" s="1">
        <v>25</v>
      </c>
      <c r="W29" s="1">
        <v>8</v>
      </c>
    </row>
    <row r="30" spans="1:23" x14ac:dyDescent="0.2">
      <c r="A30" s="1"/>
      <c r="B30" s="1" t="s">
        <v>92</v>
      </c>
      <c r="C30" s="12" t="s">
        <v>114</v>
      </c>
      <c r="D30" s="1" t="s">
        <v>204</v>
      </c>
      <c r="E30" s="12" t="s">
        <v>119</v>
      </c>
      <c r="F30" s="12" t="s">
        <v>113</v>
      </c>
      <c r="G30" s="1" t="s">
        <v>149</v>
      </c>
      <c r="H30" s="8">
        <v>44358</v>
      </c>
      <c r="I30" s="1"/>
      <c r="J30" s="1"/>
      <c r="K30" s="1"/>
      <c r="L30" s="1"/>
      <c r="M30" s="1"/>
      <c r="N30" s="1"/>
      <c r="O30" s="1"/>
      <c r="P30" s="1" t="s">
        <v>92</v>
      </c>
      <c r="Q30" s="1">
        <v>52</v>
      </c>
      <c r="R30" s="1">
        <v>1</v>
      </c>
      <c r="S30" s="1">
        <v>9.84</v>
      </c>
      <c r="T30" s="1">
        <v>25.35</v>
      </c>
      <c r="U30" s="1">
        <v>25</v>
      </c>
      <c r="V30" s="1">
        <v>25</v>
      </c>
      <c r="W30" s="1">
        <v>8</v>
      </c>
    </row>
    <row r="31" spans="1:23" x14ac:dyDescent="0.2">
      <c r="A31" s="1" t="s">
        <v>37</v>
      </c>
      <c r="B31" s="1" t="s">
        <v>37</v>
      </c>
      <c r="C31" s="12" t="s">
        <v>114</v>
      </c>
      <c r="D31" s="1" t="s">
        <v>204</v>
      </c>
      <c r="E31" s="12" t="s">
        <v>115</v>
      </c>
      <c r="F31" s="12" t="s">
        <v>113</v>
      </c>
      <c r="G31" s="1" t="s">
        <v>150</v>
      </c>
      <c r="H31" s="8">
        <v>44358</v>
      </c>
      <c r="I31" s="1">
        <v>54</v>
      </c>
      <c r="J31" s="1">
        <v>1</v>
      </c>
      <c r="K31" s="1">
        <v>3.4</v>
      </c>
      <c r="L31" s="1">
        <v>8.4</v>
      </c>
      <c r="M31" s="1">
        <v>25</v>
      </c>
      <c r="N31" s="1">
        <v>25</v>
      </c>
      <c r="O31" s="1">
        <v>8</v>
      </c>
      <c r="P31" s="1" t="s">
        <v>37</v>
      </c>
      <c r="Q31" s="1" t="s">
        <v>90</v>
      </c>
      <c r="R31" s="1">
        <v>2</v>
      </c>
      <c r="S31" s="1">
        <v>3.4</v>
      </c>
      <c r="T31" s="1">
        <v>8.4</v>
      </c>
      <c r="U31" s="1">
        <v>25</v>
      </c>
      <c r="V31" s="1">
        <v>25</v>
      </c>
      <c r="W31" s="1">
        <v>15</v>
      </c>
    </row>
    <row r="32" spans="1:23" x14ac:dyDescent="0.2">
      <c r="A32" s="1" t="s">
        <v>38</v>
      </c>
      <c r="B32" s="1" t="s">
        <v>38</v>
      </c>
      <c r="C32" s="12" t="s">
        <v>114</v>
      </c>
      <c r="D32" s="1" t="s">
        <v>204</v>
      </c>
      <c r="E32" s="12" t="s">
        <v>121</v>
      </c>
      <c r="F32" s="12" t="s">
        <v>113</v>
      </c>
      <c r="G32" s="1" t="s">
        <v>151</v>
      </c>
      <c r="H32" s="8">
        <v>44358</v>
      </c>
      <c r="I32" s="1">
        <v>54</v>
      </c>
      <c r="J32" s="1">
        <v>1</v>
      </c>
      <c r="K32" s="1">
        <v>12.2</v>
      </c>
      <c r="L32" s="1">
        <v>16.5</v>
      </c>
      <c r="M32" s="1">
        <v>25</v>
      </c>
      <c r="N32" s="1">
        <v>25</v>
      </c>
      <c r="O32" s="1">
        <v>8</v>
      </c>
      <c r="P32" s="1" t="s">
        <v>38</v>
      </c>
      <c r="Q32" s="1" t="s">
        <v>90</v>
      </c>
      <c r="R32" s="1">
        <v>2</v>
      </c>
      <c r="S32" s="1">
        <v>5.2</v>
      </c>
      <c r="T32" s="1">
        <v>16.5</v>
      </c>
      <c r="U32" s="1">
        <v>25</v>
      </c>
      <c r="V32" s="1">
        <v>25</v>
      </c>
      <c r="W32" s="1">
        <v>16</v>
      </c>
    </row>
    <row r="33" spans="1:23" x14ac:dyDescent="0.2">
      <c r="A33" s="1" t="s">
        <v>39</v>
      </c>
      <c r="B33" s="1" t="s">
        <v>39</v>
      </c>
      <c r="C33" s="12" t="s">
        <v>126</v>
      </c>
      <c r="D33" s="1" t="s">
        <v>204</v>
      </c>
      <c r="E33" s="12" t="s">
        <v>119</v>
      </c>
      <c r="F33" s="12" t="s">
        <v>125</v>
      </c>
      <c r="G33" s="1" t="s">
        <v>152</v>
      </c>
      <c r="H33" s="8">
        <v>44358</v>
      </c>
      <c r="I33" s="1" t="s">
        <v>40</v>
      </c>
      <c r="J33" s="1">
        <v>10</v>
      </c>
      <c r="K33" s="1">
        <v>23.08</v>
      </c>
      <c r="L33" s="1">
        <v>453.7</v>
      </c>
      <c r="M33" s="1">
        <v>24.78</v>
      </c>
      <c r="N33" s="1">
        <v>30.02</v>
      </c>
      <c r="O33" s="1">
        <v>233</v>
      </c>
      <c r="P33" s="1" t="s">
        <v>39</v>
      </c>
      <c r="Q33" s="1" t="s">
        <v>93</v>
      </c>
      <c r="R33" s="1">
        <v>3</v>
      </c>
      <c r="S33" s="1">
        <v>23.08</v>
      </c>
      <c r="T33" s="1">
        <v>64.069999999999993</v>
      </c>
      <c r="U33" s="1">
        <v>29</v>
      </c>
      <c r="V33" s="1">
        <v>29</v>
      </c>
      <c r="W33" s="1">
        <v>144</v>
      </c>
    </row>
    <row r="34" spans="1:23" x14ac:dyDescent="0.2">
      <c r="A34" s="1" t="s">
        <v>41</v>
      </c>
      <c r="B34" s="1" t="s">
        <v>41</v>
      </c>
      <c r="C34" s="12" t="s">
        <v>126</v>
      </c>
      <c r="D34" s="1" t="s">
        <v>204</v>
      </c>
      <c r="E34" s="12" t="s">
        <v>119</v>
      </c>
      <c r="F34" s="12" t="s">
        <v>122</v>
      </c>
      <c r="G34" s="1" t="s">
        <v>153</v>
      </c>
      <c r="H34" s="8">
        <v>44358</v>
      </c>
      <c r="I34" s="1" t="s">
        <v>42</v>
      </c>
      <c r="J34" s="1">
        <v>2</v>
      </c>
      <c r="K34" s="1">
        <v>7.34</v>
      </c>
      <c r="L34" s="1">
        <v>81.040000000000006</v>
      </c>
      <c r="M34" s="1">
        <v>25</v>
      </c>
      <c r="N34" s="1">
        <v>31</v>
      </c>
      <c r="O34" s="1">
        <v>91</v>
      </c>
      <c r="P34" s="1" t="s">
        <v>41</v>
      </c>
      <c r="Q34" s="1" t="s">
        <v>42</v>
      </c>
      <c r="R34" s="1">
        <v>2</v>
      </c>
      <c r="S34" s="1">
        <v>7.34</v>
      </c>
      <c r="T34" s="1">
        <v>81.040000000000006</v>
      </c>
      <c r="U34" s="1">
        <v>25</v>
      </c>
      <c r="V34" s="1">
        <v>31</v>
      </c>
      <c r="W34" s="1">
        <v>91</v>
      </c>
    </row>
    <row r="35" spans="1:23" x14ac:dyDescent="0.2">
      <c r="A35" s="1" t="s">
        <v>43</v>
      </c>
      <c r="B35" s="1" t="s">
        <v>43</v>
      </c>
      <c r="C35" s="12" t="s">
        <v>114</v>
      </c>
      <c r="D35" s="9" t="s">
        <v>207</v>
      </c>
      <c r="E35" s="12" t="s">
        <v>115</v>
      </c>
      <c r="F35" s="12" t="s">
        <v>122</v>
      </c>
      <c r="G35" s="1" t="s">
        <v>154</v>
      </c>
      <c r="H35" s="8">
        <v>44358</v>
      </c>
      <c r="I35" s="1">
        <v>54</v>
      </c>
      <c r="J35" s="1">
        <v>1</v>
      </c>
      <c r="K35" s="1">
        <v>2.9</v>
      </c>
      <c r="L35" s="1">
        <v>4.5</v>
      </c>
      <c r="M35" s="1">
        <v>25</v>
      </c>
      <c r="N35" s="1">
        <v>25</v>
      </c>
      <c r="O35" s="1">
        <v>8</v>
      </c>
      <c r="P35" s="1" t="s">
        <v>43</v>
      </c>
      <c r="Q35" s="1">
        <v>54</v>
      </c>
      <c r="R35" s="1">
        <v>1</v>
      </c>
      <c r="S35" s="1">
        <v>2.9</v>
      </c>
      <c r="T35" s="1">
        <v>4.5</v>
      </c>
      <c r="U35" s="1">
        <v>25</v>
      </c>
      <c r="V35" s="1">
        <v>25</v>
      </c>
      <c r="W35" s="1">
        <v>8</v>
      </c>
    </row>
    <row r="36" spans="1:23" x14ac:dyDescent="0.2">
      <c r="A36" s="1" t="s">
        <v>44</v>
      </c>
      <c r="B36" s="1" t="s">
        <v>44</v>
      </c>
      <c r="C36" s="12" t="s">
        <v>126</v>
      </c>
      <c r="D36" s="1" t="s">
        <v>205</v>
      </c>
      <c r="E36" s="12" t="s">
        <v>121</v>
      </c>
      <c r="F36" s="12" t="s">
        <v>122</v>
      </c>
      <c r="G36" s="1" t="s">
        <v>155</v>
      </c>
      <c r="H36" s="8">
        <v>44358</v>
      </c>
      <c r="I36" s="1">
        <v>54</v>
      </c>
      <c r="J36" s="1">
        <v>1</v>
      </c>
      <c r="K36" s="1">
        <v>0.45</v>
      </c>
      <c r="L36" s="1">
        <v>1.32</v>
      </c>
      <c r="M36" s="1">
        <v>25</v>
      </c>
      <c r="N36" s="1">
        <v>25</v>
      </c>
      <c r="O36" s="1">
        <v>8</v>
      </c>
      <c r="P36" s="1" t="s">
        <v>44</v>
      </c>
      <c r="Q36" s="1">
        <v>54</v>
      </c>
      <c r="R36" s="1">
        <v>1</v>
      </c>
      <c r="S36" s="1">
        <v>0.45</v>
      </c>
      <c r="T36" s="1">
        <v>1.32</v>
      </c>
      <c r="U36" s="1">
        <v>25</v>
      </c>
      <c r="V36" s="1">
        <v>25</v>
      </c>
      <c r="W36" s="1">
        <v>8</v>
      </c>
    </row>
    <row r="37" spans="1:23" x14ac:dyDescent="0.2">
      <c r="A37" s="1" t="s">
        <v>45</v>
      </c>
      <c r="B37" s="1"/>
      <c r="C37" s="12" t="s">
        <v>126</v>
      </c>
      <c r="D37" s="1" t="s">
        <v>205</v>
      </c>
      <c r="E37" s="12" t="s">
        <v>115</v>
      </c>
      <c r="F37" s="12" t="s">
        <v>113</v>
      </c>
      <c r="G37" s="1" t="s">
        <v>156</v>
      </c>
      <c r="H37" s="8">
        <v>44358</v>
      </c>
      <c r="I37" s="1">
        <v>54</v>
      </c>
      <c r="J37" s="1">
        <v>1</v>
      </c>
      <c r="K37" s="1">
        <v>8.5</v>
      </c>
      <c r="L37" s="1">
        <v>12.6</v>
      </c>
      <c r="M37" s="1">
        <v>25</v>
      </c>
      <c r="N37" s="1">
        <v>25</v>
      </c>
      <c r="O37" s="1">
        <v>8</v>
      </c>
      <c r="P37" s="1" t="s">
        <v>45</v>
      </c>
      <c r="Q37" s="1">
        <v>54</v>
      </c>
      <c r="R37" s="1">
        <v>1</v>
      </c>
      <c r="S37" s="1">
        <v>8.5</v>
      </c>
      <c r="T37" s="1">
        <v>12.6</v>
      </c>
      <c r="U37" s="1">
        <v>25</v>
      </c>
      <c r="V37" s="1">
        <v>25</v>
      </c>
      <c r="W37" s="1">
        <v>8</v>
      </c>
    </row>
    <row r="38" spans="1:23" x14ac:dyDescent="0.2">
      <c r="A38" s="1" t="s">
        <v>46</v>
      </c>
      <c r="B38" s="1" t="s">
        <v>46</v>
      </c>
      <c r="C38" s="12" t="s">
        <v>126</v>
      </c>
      <c r="D38" s="1" t="s">
        <v>204</v>
      </c>
      <c r="E38" s="12" t="s">
        <v>115</v>
      </c>
      <c r="F38" s="12" t="s">
        <v>113</v>
      </c>
      <c r="G38" s="1" t="s">
        <v>157</v>
      </c>
      <c r="H38" s="8">
        <v>44358</v>
      </c>
      <c r="I38" s="1" t="s">
        <v>47</v>
      </c>
      <c r="J38" s="1">
        <v>3</v>
      </c>
      <c r="K38" s="1">
        <v>3.7</v>
      </c>
      <c r="L38" s="1">
        <v>276.10000000000002</v>
      </c>
      <c r="M38" s="1">
        <v>10</v>
      </c>
      <c r="N38" s="1">
        <v>25</v>
      </c>
      <c r="O38" s="1">
        <v>107</v>
      </c>
      <c r="P38" s="1" t="s">
        <v>46</v>
      </c>
      <c r="Q38" s="1" t="s">
        <v>94</v>
      </c>
      <c r="R38" s="1">
        <v>3</v>
      </c>
      <c r="S38" s="1">
        <v>1.9</v>
      </c>
      <c r="T38" s="1">
        <v>202.1</v>
      </c>
      <c r="U38" s="1">
        <v>25</v>
      </c>
      <c r="V38" s="1">
        <v>25</v>
      </c>
      <c r="W38" s="1">
        <v>46</v>
      </c>
    </row>
    <row r="39" spans="1:23" x14ac:dyDescent="0.2">
      <c r="A39" s="1" t="s">
        <v>48</v>
      </c>
      <c r="B39" s="1" t="s">
        <v>48</v>
      </c>
      <c r="C39" s="12" t="s">
        <v>126</v>
      </c>
      <c r="D39" s="1" t="s">
        <v>204</v>
      </c>
      <c r="E39" s="12" t="s">
        <v>115</v>
      </c>
      <c r="F39" s="12" t="s">
        <v>122</v>
      </c>
      <c r="G39" s="1" t="s">
        <v>158</v>
      </c>
      <c r="H39" s="8">
        <v>44358</v>
      </c>
      <c r="I39" s="1">
        <v>54</v>
      </c>
      <c r="J39" s="1">
        <v>1</v>
      </c>
      <c r="K39" s="1">
        <v>2</v>
      </c>
      <c r="L39" s="1">
        <v>3</v>
      </c>
      <c r="M39" s="1">
        <v>25</v>
      </c>
      <c r="N39" s="1">
        <v>25</v>
      </c>
      <c r="O39" s="1">
        <v>8</v>
      </c>
      <c r="P39" s="1" t="s">
        <v>48</v>
      </c>
      <c r="Q39" s="1">
        <v>54</v>
      </c>
      <c r="R39" s="1">
        <v>1</v>
      </c>
      <c r="S39" s="1">
        <v>2</v>
      </c>
      <c r="T39" s="1">
        <v>3</v>
      </c>
      <c r="U39" s="1">
        <v>25</v>
      </c>
      <c r="V39" s="1">
        <v>25</v>
      </c>
      <c r="W39" s="1">
        <v>8</v>
      </c>
    </row>
    <row r="40" spans="1:23" x14ac:dyDescent="0.2">
      <c r="A40" s="1" t="s">
        <v>49</v>
      </c>
      <c r="B40" s="1" t="s">
        <v>49</v>
      </c>
      <c r="C40" s="12" t="s">
        <v>126</v>
      </c>
      <c r="D40" s="1" t="s">
        <v>204</v>
      </c>
      <c r="E40" s="12" t="s">
        <v>121</v>
      </c>
      <c r="F40" s="12" t="s">
        <v>125</v>
      </c>
      <c r="G40" s="1" t="s">
        <v>159</v>
      </c>
      <c r="H40" s="8">
        <v>44358</v>
      </c>
      <c r="I40" s="1">
        <v>3</v>
      </c>
      <c r="J40" s="1">
        <v>3</v>
      </c>
      <c r="K40" s="1">
        <v>35</v>
      </c>
      <c r="L40" s="1">
        <v>78</v>
      </c>
      <c r="M40" s="1">
        <v>18</v>
      </c>
      <c r="N40" s="1">
        <v>18</v>
      </c>
      <c r="O40" s="1">
        <v>24</v>
      </c>
      <c r="P40" s="1" t="s">
        <v>49</v>
      </c>
      <c r="Q40" s="1">
        <v>3</v>
      </c>
      <c r="R40" s="1">
        <v>3</v>
      </c>
      <c r="S40" s="1">
        <v>35</v>
      </c>
      <c r="T40" s="1">
        <v>78</v>
      </c>
      <c r="U40" s="1">
        <v>18</v>
      </c>
      <c r="V40" s="1">
        <v>18</v>
      </c>
      <c r="W40" s="1">
        <v>24</v>
      </c>
    </row>
    <row r="41" spans="1:23" x14ac:dyDescent="0.2">
      <c r="A41" s="1" t="s">
        <v>50</v>
      </c>
      <c r="B41" s="1"/>
      <c r="C41" s="12" t="s">
        <v>126</v>
      </c>
      <c r="D41" s="1" t="s">
        <v>204</v>
      </c>
      <c r="E41" s="12" t="s">
        <v>131</v>
      </c>
      <c r="F41" s="12" t="s">
        <v>117</v>
      </c>
      <c r="G41" s="1" t="s">
        <v>160</v>
      </c>
      <c r="H41" s="8">
        <v>44358</v>
      </c>
      <c r="I41" s="1">
        <v>36</v>
      </c>
      <c r="J41" s="1">
        <v>1</v>
      </c>
      <c r="K41" s="1">
        <v>155</v>
      </c>
      <c r="L41" s="1">
        <v>804</v>
      </c>
      <c r="M41" s="1">
        <v>1</v>
      </c>
      <c r="N41" s="1">
        <v>1</v>
      </c>
      <c r="O41" s="1">
        <v>5</v>
      </c>
      <c r="P41" s="1"/>
      <c r="Q41" s="1"/>
      <c r="R41" s="1"/>
      <c r="S41" s="1"/>
      <c r="T41" s="1"/>
      <c r="U41" s="1"/>
      <c r="V41" s="1"/>
      <c r="W41" s="1"/>
    </row>
    <row r="42" spans="1:23" x14ac:dyDescent="0.2">
      <c r="A42" s="1" t="s">
        <v>51</v>
      </c>
      <c r="B42" s="1" t="s">
        <v>51</v>
      </c>
      <c r="C42" s="12" t="s">
        <v>161</v>
      </c>
      <c r="D42" s="1" t="s">
        <v>204</v>
      </c>
      <c r="E42" s="12" t="s">
        <v>115</v>
      </c>
      <c r="F42" s="12" t="s">
        <v>125</v>
      </c>
      <c r="G42" s="1" t="s">
        <v>162</v>
      </c>
      <c r="H42" s="8">
        <v>44358</v>
      </c>
      <c r="I42" s="1">
        <v>61</v>
      </c>
      <c r="J42" s="1">
        <v>1</v>
      </c>
      <c r="K42" s="1">
        <v>1313</v>
      </c>
      <c r="L42" s="1">
        <v>3011</v>
      </c>
      <c r="M42" s="1">
        <v>9</v>
      </c>
      <c r="N42" s="1">
        <v>14</v>
      </c>
      <c r="O42" s="1">
        <v>38</v>
      </c>
      <c r="P42" s="1" t="s">
        <v>51</v>
      </c>
      <c r="Q42" s="1">
        <v>61</v>
      </c>
      <c r="R42" s="1">
        <v>1</v>
      </c>
      <c r="S42" s="1">
        <v>1313</v>
      </c>
      <c r="T42" s="1">
        <v>4108</v>
      </c>
      <c r="U42" s="1">
        <v>8.8274413410000001</v>
      </c>
      <c r="V42" s="1">
        <v>14.53487151</v>
      </c>
      <c r="W42" s="1">
        <v>80</v>
      </c>
    </row>
    <row r="43" spans="1:23" x14ac:dyDescent="0.2">
      <c r="A43" s="1" t="s">
        <v>52</v>
      </c>
      <c r="B43" s="1" t="s">
        <v>52</v>
      </c>
      <c r="C43" s="12" t="s">
        <v>114</v>
      </c>
      <c r="D43" s="1" t="s">
        <v>204</v>
      </c>
      <c r="E43" s="12" t="s">
        <v>115</v>
      </c>
      <c r="F43" s="12" t="s">
        <v>125</v>
      </c>
      <c r="G43" s="1" t="s">
        <v>163</v>
      </c>
      <c r="H43" s="8">
        <v>44358</v>
      </c>
      <c r="I43" s="1" t="s">
        <v>53</v>
      </c>
      <c r="J43" s="1">
        <v>7</v>
      </c>
      <c r="K43" s="1">
        <v>0.82899999999999996</v>
      </c>
      <c r="L43" s="1">
        <v>765.2</v>
      </c>
      <c r="M43" s="1">
        <v>10.5</v>
      </c>
      <c r="N43" s="1">
        <v>16</v>
      </c>
      <c r="O43" s="1">
        <v>69</v>
      </c>
      <c r="P43" s="1" t="s">
        <v>52</v>
      </c>
      <c r="Q43" s="1">
        <v>43</v>
      </c>
      <c r="R43" s="1">
        <v>4</v>
      </c>
      <c r="S43" s="1">
        <v>0.82899999999999996</v>
      </c>
      <c r="T43" s="1">
        <v>4.75</v>
      </c>
      <c r="U43" s="1">
        <v>15</v>
      </c>
      <c r="V43" s="1">
        <v>15</v>
      </c>
      <c r="W43" s="1">
        <v>24</v>
      </c>
    </row>
    <row r="44" spans="1:23" x14ac:dyDescent="0.2">
      <c r="A44" s="1" t="s">
        <v>54</v>
      </c>
      <c r="B44" s="1" t="s">
        <v>54</v>
      </c>
      <c r="C44" s="12" t="s">
        <v>165</v>
      </c>
      <c r="D44" s="1" t="s">
        <v>204</v>
      </c>
      <c r="E44" s="12" t="s">
        <v>121</v>
      </c>
      <c r="F44" s="12" t="s">
        <v>125</v>
      </c>
      <c r="G44" s="1" t="s">
        <v>164</v>
      </c>
      <c r="H44" s="8">
        <v>44358</v>
      </c>
      <c r="I44" s="1">
        <v>60</v>
      </c>
      <c r="J44" s="1">
        <v>4</v>
      </c>
      <c r="K44" s="1">
        <v>1520</v>
      </c>
      <c r="L44" s="1">
        <v>3450</v>
      </c>
      <c r="M44" s="1">
        <v>12</v>
      </c>
      <c r="N44" s="1">
        <v>20</v>
      </c>
      <c r="O44" s="1">
        <v>38</v>
      </c>
      <c r="P44" s="1" t="s">
        <v>54</v>
      </c>
      <c r="Q44" s="1">
        <v>60</v>
      </c>
      <c r="R44" s="1">
        <v>4</v>
      </c>
      <c r="S44" s="1">
        <v>1520</v>
      </c>
      <c r="T44" s="1">
        <v>3450</v>
      </c>
      <c r="U44" s="1">
        <v>12</v>
      </c>
      <c r="V44" s="1">
        <v>20</v>
      </c>
      <c r="W44" s="1">
        <v>35</v>
      </c>
    </row>
    <row r="45" spans="1:23" x14ac:dyDescent="0.2">
      <c r="A45" s="1" t="s">
        <v>55</v>
      </c>
      <c r="B45" s="1" t="s">
        <v>55</v>
      </c>
      <c r="C45" s="12" t="s">
        <v>114</v>
      </c>
      <c r="D45" s="1" t="s">
        <v>204</v>
      </c>
      <c r="E45" s="12" t="s">
        <v>115</v>
      </c>
      <c r="F45" s="12" t="s">
        <v>125</v>
      </c>
      <c r="G45" s="1" t="s">
        <v>166</v>
      </c>
      <c r="H45" s="8">
        <v>44358</v>
      </c>
      <c r="I45" s="1">
        <v>62</v>
      </c>
      <c r="J45" s="1">
        <v>2</v>
      </c>
      <c r="K45" s="1">
        <v>1498</v>
      </c>
      <c r="L45" s="1">
        <v>7200</v>
      </c>
      <c r="M45" s="1">
        <v>12</v>
      </c>
      <c r="N45" s="1">
        <v>12</v>
      </c>
      <c r="O45" s="1">
        <v>23</v>
      </c>
      <c r="P45" s="1" t="s">
        <v>55</v>
      </c>
      <c r="Q45" s="1">
        <v>62</v>
      </c>
      <c r="R45" s="1">
        <v>2</v>
      </c>
      <c r="S45" s="1">
        <v>1498</v>
      </c>
      <c r="T45" s="1">
        <v>7200</v>
      </c>
      <c r="U45" s="1">
        <v>12</v>
      </c>
      <c r="V45" s="1">
        <v>12</v>
      </c>
      <c r="W45" s="1">
        <v>23</v>
      </c>
    </row>
    <row r="46" spans="1:23" x14ac:dyDescent="0.2">
      <c r="A46" s="1"/>
      <c r="B46" s="1" t="s">
        <v>95</v>
      </c>
      <c r="C46" s="12" t="s">
        <v>114</v>
      </c>
      <c r="D46" s="1" t="s">
        <v>205</v>
      </c>
      <c r="E46" s="12" t="s">
        <v>115</v>
      </c>
      <c r="F46" s="12" t="s">
        <v>122</v>
      </c>
      <c r="G46" s="1" t="s">
        <v>168</v>
      </c>
      <c r="H46" s="8">
        <v>44358</v>
      </c>
      <c r="I46" s="1"/>
      <c r="J46" s="1"/>
      <c r="K46" s="1"/>
      <c r="L46" s="1"/>
      <c r="M46" s="1"/>
      <c r="N46" s="1"/>
      <c r="O46" s="1"/>
      <c r="P46" s="1" t="s">
        <v>95</v>
      </c>
      <c r="Q46" s="1">
        <v>52</v>
      </c>
      <c r="R46" s="1">
        <v>1</v>
      </c>
      <c r="S46" s="1">
        <v>2.2000000000000002</v>
      </c>
      <c r="T46" s="1">
        <v>5.7</v>
      </c>
      <c r="U46" s="1">
        <v>25</v>
      </c>
      <c r="V46" s="1">
        <v>25</v>
      </c>
      <c r="W46" s="1">
        <v>8</v>
      </c>
    </row>
    <row r="47" spans="1:23" x14ac:dyDescent="0.2">
      <c r="A47" s="1"/>
      <c r="B47" s="1" t="s">
        <v>96</v>
      </c>
      <c r="C47" s="12" t="s">
        <v>114</v>
      </c>
      <c r="D47" s="1" t="s">
        <v>204</v>
      </c>
      <c r="E47" s="12" t="s">
        <v>121</v>
      </c>
      <c r="F47" s="12" t="s">
        <v>122</v>
      </c>
      <c r="G47" s="1" t="s">
        <v>169</v>
      </c>
      <c r="H47" s="8">
        <v>44358</v>
      </c>
      <c r="I47" s="1"/>
      <c r="J47" s="1"/>
      <c r="K47" s="1"/>
      <c r="L47" s="1"/>
      <c r="M47" s="1"/>
      <c r="N47" s="1"/>
      <c r="O47" s="1"/>
      <c r="P47" s="1" t="s">
        <v>96</v>
      </c>
      <c r="Q47" s="1">
        <v>52</v>
      </c>
      <c r="R47" s="1">
        <v>1</v>
      </c>
      <c r="S47" s="1">
        <v>6.02</v>
      </c>
      <c r="T47" s="1">
        <v>17.64</v>
      </c>
      <c r="U47" s="1">
        <v>25</v>
      </c>
      <c r="V47" s="1">
        <v>25</v>
      </c>
      <c r="W47" s="1">
        <v>7</v>
      </c>
    </row>
    <row r="48" spans="1:23" x14ac:dyDescent="0.2">
      <c r="A48" s="1"/>
      <c r="B48" s="1" t="s">
        <v>97</v>
      </c>
      <c r="C48" s="12" t="s">
        <v>114</v>
      </c>
      <c r="D48" s="1" t="s">
        <v>204</v>
      </c>
      <c r="E48" s="12" t="s">
        <v>171</v>
      </c>
      <c r="F48" s="12" t="s">
        <v>113</v>
      </c>
      <c r="G48" s="1" t="s">
        <v>170</v>
      </c>
      <c r="H48" s="8">
        <v>44358</v>
      </c>
      <c r="I48" s="1"/>
      <c r="J48" s="1"/>
      <c r="K48" s="1"/>
      <c r="L48" s="1"/>
      <c r="M48" s="1"/>
      <c r="N48" s="1"/>
      <c r="O48" s="1"/>
      <c r="P48" s="1" t="s">
        <v>97</v>
      </c>
      <c r="Q48" s="1">
        <v>73</v>
      </c>
      <c r="R48" s="1">
        <v>1</v>
      </c>
      <c r="S48" s="1">
        <v>45.5</v>
      </c>
      <c r="T48" s="1">
        <v>86.5</v>
      </c>
      <c r="U48" s="1">
        <v>26</v>
      </c>
      <c r="V48" s="1">
        <v>26</v>
      </c>
      <c r="W48" s="1">
        <v>8</v>
      </c>
    </row>
    <row r="49" spans="1:23" x14ac:dyDescent="0.2">
      <c r="A49" s="1"/>
      <c r="B49" s="1" t="s">
        <v>98</v>
      </c>
      <c r="C49" s="12" t="s">
        <v>114</v>
      </c>
      <c r="D49" s="1" t="s">
        <v>206</v>
      </c>
      <c r="E49" s="12" t="s">
        <v>121</v>
      </c>
      <c r="F49" s="12" t="s">
        <v>113</v>
      </c>
      <c r="G49" s="1" t="s">
        <v>173</v>
      </c>
      <c r="H49" s="8">
        <v>44358</v>
      </c>
      <c r="I49" s="1"/>
      <c r="J49" s="1"/>
      <c r="K49" s="1"/>
      <c r="L49" s="1"/>
      <c r="M49" s="1"/>
      <c r="N49" s="1"/>
      <c r="O49" s="1"/>
      <c r="P49" s="1" t="s">
        <v>98</v>
      </c>
      <c r="Q49" s="1">
        <v>52</v>
      </c>
      <c r="R49" s="1">
        <v>1</v>
      </c>
      <c r="S49" s="1">
        <v>3.77</v>
      </c>
      <c r="T49" s="1">
        <v>5.71</v>
      </c>
      <c r="U49" s="1">
        <v>25</v>
      </c>
      <c r="V49" s="1">
        <v>25</v>
      </c>
      <c r="W49" s="1">
        <v>8</v>
      </c>
    </row>
    <row r="50" spans="1:23" x14ac:dyDescent="0.2">
      <c r="A50" s="1" t="s">
        <v>56</v>
      </c>
      <c r="B50" s="1" t="s">
        <v>56</v>
      </c>
      <c r="C50" s="12" t="s">
        <v>126</v>
      </c>
      <c r="D50" s="1" t="s">
        <v>204</v>
      </c>
      <c r="E50" s="12" t="s">
        <v>115</v>
      </c>
      <c r="F50" s="12" t="s">
        <v>117</v>
      </c>
      <c r="G50" s="1" t="s">
        <v>172</v>
      </c>
      <c r="H50" s="8">
        <v>44358</v>
      </c>
      <c r="I50" s="1">
        <v>53</v>
      </c>
      <c r="J50" s="1">
        <v>4</v>
      </c>
      <c r="K50" s="1">
        <v>84.5</v>
      </c>
      <c r="L50" s="1">
        <v>114.5</v>
      </c>
      <c r="M50" s="1">
        <v>18</v>
      </c>
      <c r="N50" s="1">
        <v>18</v>
      </c>
      <c r="O50" s="1">
        <v>40</v>
      </c>
      <c r="P50" s="1" t="s">
        <v>56</v>
      </c>
      <c r="Q50" s="1">
        <v>53</v>
      </c>
      <c r="R50" s="1">
        <v>4</v>
      </c>
      <c r="S50" s="1">
        <v>84.5</v>
      </c>
      <c r="T50" s="1">
        <v>114.5</v>
      </c>
      <c r="U50" s="1">
        <v>18</v>
      </c>
      <c r="V50" s="1">
        <v>18</v>
      </c>
      <c r="W50" s="1">
        <v>40</v>
      </c>
    </row>
    <row r="51" spans="1:23" x14ac:dyDescent="0.2">
      <c r="A51" s="1" t="s">
        <v>57</v>
      </c>
      <c r="B51" s="1" t="s">
        <v>57</v>
      </c>
      <c r="C51" s="12" t="s">
        <v>126</v>
      </c>
      <c r="D51" s="1" t="s">
        <v>204</v>
      </c>
      <c r="E51" s="12" t="s">
        <v>121</v>
      </c>
      <c r="F51" s="12" t="s">
        <v>113</v>
      </c>
      <c r="G51" s="1" t="s">
        <v>175</v>
      </c>
      <c r="H51" s="8">
        <v>44358</v>
      </c>
      <c r="I51" s="1" t="s">
        <v>58</v>
      </c>
      <c r="J51" s="1">
        <v>4</v>
      </c>
      <c r="K51" s="1">
        <v>4.5</v>
      </c>
      <c r="L51" s="1">
        <v>882</v>
      </c>
      <c r="M51" s="1">
        <v>15</v>
      </c>
      <c r="N51" s="1">
        <v>28</v>
      </c>
      <c r="O51" s="1">
        <v>131</v>
      </c>
      <c r="P51" s="1" t="s">
        <v>57</v>
      </c>
      <c r="Q51" s="1" t="s">
        <v>99</v>
      </c>
      <c r="R51" s="1">
        <v>9</v>
      </c>
      <c r="S51" s="1">
        <v>4.5</v>
      </c>
      <c r="T51" s="1">
        <v>882</v>
      </c>
      <c r="U51" s="1">
        <v>15</v>
      </c>
      <c r="V51" s="1">
        <v>28</v>
      </c>
      <c r="W51" s="1">
        <v>162</v>
      </c>
    </row>
    <row r="52" spans="1:23" x14ac:dyDescent="0.2">
      <c r="A52" s="1" t="s">
        <v>59</v>
      </c>
      <c r="B52" s="1" t="s">
        <v>59</v>
      </c>
      <c r="C52" s="12" t="s">
        <v>114</v>
      </c>
      <c r="D52" s="1" t="s">
        <v>205</v>
      </c>
      <c r="E52" s="12" t="s">
        <v>115</v>
      </c>
      <c r="F52" s="12" t="s">
        <v>122</v>
      </c>
      <c r="G52" s="1" t="s">
        <v>174</v>
      </c>
      <c r="H52" s="8">
        <v>44358</v>
      </c>
      <c r="I52" s="1">
        <v>54</v>
      </c>
      <c r="J52" s="1">
        <v>1</v>
      </c>
      <c r="K52" s="1">
        <v>8.6</v>
      </c>
      <c r="L52" s="1">
        <v>15.9</v>
      </c>
      <c r="M52" s="1">
        <v>25</v>
      </c>
      <c r="N52" s="1">
        <v>25</v>
      </c>
      <c r="O52" s="1">
        <v>8</v>
      </c>
      <c r="P52" s="1" t="s">
        <v>59</v>
      </c>
      <c r="Q52" s="1">
        <v>54</v>
      </c>
      <c r="R52" s="1">
        <v>1</v>
      </c>
      <c r="S52" s="1">
        <v>8.6</v>
      </c>
      <c r="T52" s="1">
        <v>15.9</v>
      </c>
      <c r="U52" s="1">
        <v>25</v>
      </c>
      <c r="V52" s="1">
        <v>25</v>
      </c>
      <c r="W52" s="1">
        <v>8</v>
      </c>
    </row>
    <row r="53" spans="1:23" x14ac:dyDescent="0.2">
      <c r="A53" s="1" t="s">
        <v>60</v>
      </c>
      <c r="B53" s="1" t="s">
        <v>60</v>
      </c>
      <c r="C53" s="12" t="s">
        <v>126</v>
      </c>
      <c r="D53" s="1" t="s">
        <v>204</v>
      </c>
      <c r="E53" s="12" t="s">
        <v>121</v>
      </c>
      <c r="F53" s="12" t="s">
        <v>113</v>
      </c>
      <c r="G53" s="1" t="s">
        <v>176</v>
      </c>
      <c r="H53" s="8">
        <v>44358</v>
      </c>
      <c r="I53" s="1" t="s">
        <v>61</v>
      </c>
      <c r="J53" s="1">
        <v>15</v>
      </c>
      <c r="K53" s="1">
        <v>0.31</v>
      </c>
      <c r="L53" s="1">
        <v>7.46</v>
      </c>
      <c r="M53" s="1">
        <v>10</v>
      </c>
      <c r="N53" s="1">
        <v>17</v>
      </c>
      <c r="O53" s="1">
        <v>498</v>
      </c>
      <c r="P53" s="1" t="s">
        <v>60</v>
      </c>
      <c r="Q53" s="1" t="s">
        <v>100</v>
      </c>
      <c r="R53" s="1">
        <v>2</v>
      </c>
      <c r="S53" s="1">
        <v>0.67600000000000005</v>
      </c>
      <c r="T53" s="1">
        <v>7.4409999999999998</v>
      </c>
      <c r="U53" s="1">
        <v>10</v>
      </c>
      <c r="V53" s="1">
        <v>13</v>
      </c>
      <c r="W53" s="1">
        <v>136</v>
      </c>
    </row>
    <row r="54" spans="1:23" x14ac:dyDescent="0.2">
      <c r="A54" s="1" t="s">
        <v>62</v>
      </c>
      <c r="B54" s="1"/>
      <c r="C54" s="12" t="s">
        <v>126</v>
      </c>
      <c r="D54" s="1" t="s">
        <v>204</v>
      </c>
      <c r="E54" s="12" t="s">
        <v>115</v>
      </c>
      <c r="F54" s="12" t="s">
        <v>117</v>
      </c>
      <c r="G54" s="1" t="s">
        <v>178</v>
      </c>
      <c r="H54" s="8">
        <v>44358</v>
      </c>
      <c r="I54" s="1" t="s">
        <v>63</v>
      </c>
      <c r="J54" s="1">
        <v>4</v>
      </c>
      <c r="K54" s="1">
        <v>88.2</v>
      </c>
      <c r="L54" s="1">
        <v>324</v>
      </c>
      <c r="M54" s="1">
        <v>12</v>
      </c>
      <c r="N54" s="1">
        <v>24</v>
      </c>
      <c r="O54" s="1">
        <v>64</v>
      </c>
      <c r="P54" s="1"/>
      <c r="Q54" s="1"/>
      <c r="R54" s="1"/>
      <c r="S54" s="1"/>
      <c r="T54" s="1"/>
      <c r="U54" s="1"/>
      <c r="V54" s="1"/>
      <c r="W54" s="1"/>
    </row>
    <row r="55" spans="1:23" x14ac:dyDescent="0.2">
      <c r="A55" s="1"/>
      <c r="B55" s="1" t="s">
        <v>101</v>
      </c>
      <c r="C55" s="12" t="s">
        <v>126</v>
      </c>
      <c r="D55" s="1" t="s">
        <v>206</v>
      </c>
      <c r="E55" s="12" t="s">
        <v>115</v>
      </c>
      <c r="F55" s="12" t="s">
        <v>122</v>
      </c>
      <c r="G55" s="1" t="s">
        <v>177</v>
      </c>
      <c r="H55" s="8">
        <v>44358</v>
      </c>
      <c r="I55" s="1"/>
      <c r="J55" s="1"/>
      <c r="K55" s="1"/>
      <c r="L55" s="1"/>
      <c r="M55" s="1"/>
      <c r="N55" s="1"/>
      <c r="O55" s="1"/>
      <c r="P55" s="1" t="s">
        <v>101</v>
      </c>
      <c r="Q55" s="1">
        <v>73</v>
      </c>
      <c r="R55" s="1">
        <v>1</v>
      </c>
      <c r="S55" s="1">
        <v>57</v>
      </c>
      <c r="T55" s="1">
        <v>119</v>
      </c>
      <c r="U55" s="1">
        <v>26</v>
      </c>
      <c r="V55" s="1">
        <v>26</v>
      </c>
      <c r="W55" s="1">
        <v>8</v>
      </c>
    </row>
    <row r="56" spans="1:23" x14ac:dyDescent="0.2">
      <c r="A56" s="1"/>
      <c r="B56" s="1" t="s">
        <v>102</v>
      </c>
      <c r="C56" s="12" t="s">
        <v>114</v>
      </c>
      <c r="D56" s="1" t="s">
        <v>204</v>
      </c>
      <c r="E56" s="12" t="s">
        <v>119</v>
      </c>
      <c r="F56" s="12" t="s">
        <v>113</v>
      </c>
      <c r="G56" s="1" t="s">
        <v>180</v>
      </c>
      <c r="H56" s="8">
        <v>44358</v>
      </c>
      <c r="I56" s="1"/>
      <c r="J56" s="1"/>
      <c r="K56" s="1"/>
      <c r="L56" s="1"/>
      <c r="M56" s="1"/>
      <c r="N56" s="1"/>
      <c r="O56" s="1"/>
      <c r="P56" s="1" t="s">
        <v>102</v>
      </c>
      <c r="Q56" s="1">
        <v>55</v>
      </c>
      <c r="R56" s="1">
        <v>2</v>
      </c>
      <c r="S56" s="1">
        <v>0.18099999999999999</v>
      </c>
      <c r="T56" s="1">
        <v>0.63200000000000001</v>
      </c>
      <c r="U56" s="1">
        <v>25</v>
      </c>
      <c r="V56" s="1">
        <v>25</v>
      </c>
      <c r="W56" s="1">
        <v>20</v>
      </c>
    </row>
    <row r="57" spans="1:23" x14ac:dyDescent="0.2">
      <c r="A57" s="1" t="s">
        <v>64</v>
      </c>
      <c r="B57" s="1" t="s">
        <v>64</v>
      </c>
      <c r="C57" s="12" t="s">
        <v>118</v>
      </c>
      <c r="D57" s="1" t="s">
        <v>206</v>
      </c>
      <c r="E57" s="12" t="s">
        <v>119</v>
      </c>
      <c r="F57" s="12" t="s">
        <v>117</v>
      </c>
      <c r="G57" s="1" t="s">
        <v>179</v>
      </c>
      <c r="H57" s="8">
        <v>44358</v>
      </c>
      <c r="I57" s="1">
        <v>28</v>
      </c>
      <c r="J57" s="1">
        <v>1</v>
      </c>
      <c r="K57" s="1">
        <v>4.1000000000000002E-2</v>
      </c>
      <c r="L57" s="1">
        <v>0.11899999999999999</v>
      </c>
      <c r="M57" s="1">
        <v>28</v>
      </c>
      <c r="N57" s="1">
        <v>28</v>
      </c>
      <c r="O57" s="1">
        <v>72</v>
      </c>
      <c r="P57" s="1" t="s">
        <v>64</v>
      </c>
      <c r="Q57" s="1">
        <v>28</v>
      </c>
      <c r="R57" s="1">
        <v>1</v>
      </c>
      <c r="S57" s="1">
        <v>4.1000000000000002E-2</v>
      </c>
      <c r="T57" s="1">
        <v>0.11899999999999999</v>
      </c>
      <c r="U57" s="1">
        <v>28</v>
      </c>
      <c r="V57" s="1">
        <v>28</v>
      </c>
      <c r="W57" s="1">
        <v>72</v>
      </c>
    </row>
    <row r="58" spans="1:23" x14ac:dyDescent="0.2">
      <c r="A58" s="1" t="s">
        <v>65</v>
      </c>
      <c r="B58" s="1" t="s">
        <v>65</v>
      </c>
      <c r="C58" s="12" t="s">
        <v>114</v>
      </c>
      <c r="D58" s="1" t="s">
        <v>205</v>
      </c>
      <c r="E58" s="12" t="s">
        <v>115</v>
      </c>
      <c r="F58" s="12" t="s">
        <v>122</v>
      </c>
      <c r="G58" s="1" t="s">
        <v>184</v>
      </c>
      <c r="H58" s="8">
        <v>44358</v>
      </c>
      <c r="I58" s="1">
        <v>54</v>
      </c>
      <c r="J58" s="1">
        <v>1</v>
      </c>
      <c r="K58" s="1">
        <v>7.5</v>
      </c>
      <c r="L58" s="1">
        <v>10.9</v>
      </c>
      <c r="M58" s="1">
        <v>25</v>
      </c>
      <c r="N58" s="1">
        <v>25</v>
      </c>
      <c r="O58" s="1">
        <v>8</v>
      </c>
      <c r="P58" s="1" t="s">
        <v>65</v>
      </c>
      <c r="Q58" s="1" t="s">
        <v>90</v>
      </c>
      <c r="R58" s="1">
        <v>2</v>
      </c>
      <c r="S58" s="1">
        <v>2.8</v>
      </c>
      <c r="T58" s="1">
        <v>10.9</v>
      </c>
      <c r="U58" s="1">
        <v>25</v>
      </c>
      <c r="V58" s="1">
        <v>25</v>
      </c>
      <c r="W58" s="1">
        <v>15</v>
      </c>
    </row>
    <row r="59" spans="1:23" x14ac:dyDescent="0.2">
      <c r="A59" s="1" t="s">
        <v>66</v>
      </c>
      <c r="B59" s="1" t="s">
        <v>66</v>
      </c>
      <c r="C59" s="12" t="s">
        <v>126</v>
      </c>
      <c r="D59" s="1" t="s">
        <v>205</v>
      </c>
      <c r="E59" s="12" t="s">
        <v>115</v>
      </c>
      <c r="F59" s="12" t="s">
        <v>122</v>
      </c>
      <c r="G59" s="1" t="s">
        <v>181</v>
      </c>
      <c r="H59" s="8">
        <v>44358</v>
      </c>
      <c r="I59" s="1">
        <v>54</v>
      </c>
      <c r="J59" s="1">
        <v>1</v>
      </c>
      <c r="K59" s="1">
        <v>1.4</v>
      </c>
      <c r="L59" s="1">
        <v>2.7</v>
      </c>
      <c r="M59" s="1">
        <v>25</v>
      </c>
      <c r="N59" s="1">
        <v>25</v>
      </c>
      <c r="O59" s="1">
        <v>8</v>
      </c>
      <c r="P59" s="1" t="s">
        <v>66</v>
      </c>
      <c r="Q59" s="1">
        <v>54</v>
      </c>
      <c r="R59" s="1">
        <v>1</v>
      </c>
      <c r="S59" s="1">
        <v>1.4</v>
      </c>
      <c r="T59" s="1">
        <v>2.7</v>
      </c>
      <c r="U59" s="1">
        <v>25</v>
      </c>
      <c r="V59" s="1">
        <v>25</v>
      </c>
      <c r="W59" s="1">
        <v>8</v>
      </c>
    </row>
    <row r="60" spans="1:23" x14ac:dyDescent="0.2">
      <c r="A60" s="1" t="s">
        <v>67</v>
      </c>
      <c r="B60" s="1" t="s">
        <v>67</v>
      </c>
      <c r="C60" s="12" t="s">
        <v>114</v>
      </c>
      <c r="D60" s="1" t="s">
        <v>204</v>
      </c>
      <c r="E60" s="12" t="s">
        <v>121</v>
      </c>
      <c r="F60" s="12" t="s">
        <v>113</v>
      </c>
      <c r="G60" s="1" t="s">
        <v>182</v>
      </c>
      <c r="H60" s="8">
        <v>44358</v>
      </c>
      <c r="I60" s="1">
        <v>54</v>
      </c>
      <c r="J60" s="1">
        <v>1</v>
      </c>
      <c r="K60" s="1">
        <v>3.3</v>
      </c>
      <c r="L60" s="1">
        <v>6.4</v>
      </c>
      <c r="M60" s="1">
        <v>25</v>
      </c>
      <c r="N60" s="1">
        <v>25</v>
      </c>
      <c r="O60" s="1">
        <v>8</v>
      </c>
      <c r="P60" s="1" t="s">
        <v>67</v>
      </c>
      <c r="Q60" s="1" t="s">
        <v>90</v>
      </c>
      <c r="R60" s="1">
        <v>2</v>
      </c>
      <c r="S60" s="1">
        <v>1.2</v>
      </c>
      <c r="T60" s="1">
        <v>6.4</v>
      </c>
      <c r="U60" s="1">
        <v>25</v>
      </c>
      <c r="V60" s="1">
        <v>25</v>
      </c>
      <c r="W60" s="1">
        <v>15</v>
      </c>
    </row>
    <row r="61" spans="1:23" x14ac:dyDescent="0.2">
      <c r="A61" s="1" t="s">
        <v>68</v>
      </c>
      <c r="B61" s="1" t="s">
        <v>68</v>
      </c>
      <c r="C61" s="12" t="s">
        <v>126</v>
      </c>
      <c r="D61" s="1" t="s">
        <v>204</v>
      </c>
      <c r="E61" s="12" t="s">
        <v>115</v>
      </c>
      <c r="F61" s="12" t="s">
        <v>125</v>
      </c>
      <c r="G61" s="1" t="s">
        <v>183</v>
      </c>
      <c r="H61" s="8">
        <v>44358</v>
      </c>
      <c r="I61" s="1">
        <v>54</v>
      </c>
      <c r="J61" s="1">
        <v>1</v>
      </c>
      <c r="K61" s="1">
        <v>1.01</v>
      </c>
      <c r="L61" s="1">
        <v>1.97</v>
      </c>
      <c r="M61" s="1">
        <v>25</v>
      </c>
      <c r="N61" s="1">
        <v>25</v>
      </c>
      <c r="O61" s="1">
        <v>8</v>
      </c>
      <c r="P61" s="1" t="s">
        <v>68</v>
      </c>
      <c r="Q61" s="1">
        <v>54</v>
      </c>
      <c r="R61" s="1">
        <v>1</v>
      </c>
      <c r="S61" s="1">
        <v>1.01</v>
      </c>
      <c r="T61" s="1">
        <v>1.97</v>
      </c>
      <c r="U61" s="1">
        <v>25</v>
      </c>
      <c r="V61" s="1">
        <v>25</v>
      </c>
      <c r="W61" s="1">
        <v>8</v>
      </c>
    </row>
    <row r="62" spans="1:23" x14ac:dyDescent="0.2">
      <c r="A62" s="1" t="s">
        <v>69</v>
      </c>
      <c r="B62" s="1" t="s">
        <v>69</v>
      </c>
      <c r="C62" s="12" t="s">
        <v>114</v>
      </c>
      <c r="D62" s="1" t="s">
        <v>204</v>
      </c>
      <c r="E62" s="12" t="s">
        <v>115</v>
      </c>
      <c r="F62" s="12" t="s">
        <v>113</v>
      </c>
      <c r="G62" s="10" t="s">
        <v>185</v>
      </c>
      <c r="H62" s="8">
        <v>44358</v>
      </c>
      <c r="I62" s="1">
        <v>54</v>
      </c>
      <c r="J62" s="1">
        <v>1</v>
      </c>
      <c r="K62" s="1">
        <v>3.3</v>
      </c>
      <c r="L62" s="1">
        <v>7</v>
      </c>
      <c r="M62" s="1">
        <v>25</v>
      </c>
      <c r="N62" s="1">
        <v>25</v>
      </c>
      <c r="O62" s="1">
        <v>9</v>
      </c>
      <c r="P62" s="1" t="s">
        <v>69</v>
      </c>
      <c r="Q62" s="1" t="s">
        <v>90</v>
      </c>
      <c r="R62" s="1">
        <v>2</v>
      </c>
      <c r="S62" s="1">
        <v>2.8</v>
      </c>
      <c r="T62" s="1">
        <v>7</v>
      </c>
      <c r="U62" s="1">
        <v>25</v>
      </c>
      <c r="V62" s="1">
        <v>25</v>
      </c>
      <c r="W62" s="1">
        <v>15</v>
      </c>
    </row>
    <row r="63" spans="1:23" x14ac:dyDescent="0.2">
      <c r="A63" s="1"/>
      <c r="B63" s="1" t="s">
        <v>103</v>
      </c>
      <c r="C63" s="12" t="s">
        <v>114</v>
      </c>
      <c r="D63" s="1" t="s">
        <v>204</v>
      </c>
      <c r="E63" s="12" t="s">
        <v>115</v>
      </c>
      <c r="F63" s="12" t="s">
        <v>113</v>
      </c>
      <c r="G63" s="1" t="s">
        <v>187</v>
      </c>
      <c r="H63" s="8">
        <v>44358</v>
      </c>
      <c r="I63" s="1"/>
      <c r="J63" s="1"/>
      <c r="K63" s="1"/>
      <c r="L63" s="1"/>
      <c r="M63" s="1"/>
      <c r="N63" s="1"/>
      <c r="O63" s="1"/>
      <c r="P63" s="1" t="s">
        <v>103</v>
      </c>
      <c r="Q63" s="1">
        <v>52</v>
      </c>
      <c r="R63" s="1">
        <v>1</v>
      </c>
      <c r="S63" s="1">
        <v>5.23</v>
      </c>
      <c r="T63" s="1">
        <v>11.4</v>
      </c>
      <c r="U63" s="1">
        <v>25</v>
      </c>
      <c r="V63" s="1">
        <v>25</v>
      </c>
      <c r="W63" s="1">
        <v>7</v>
      </c>
    </row>
    <row r="64" spans="1:23" x14ac:dyDescent="0.2">
      <c r="A64" s="1" t="s">
        <v>70</v>
      </c>
      <c r="B64" s="1"/>
      <c r="C64" s="12" t="s">
        <v>114</v>
      </c>
      <c r="D64" s="1" t="s">
        <v>204</v>
      </c>
      <c r="E64" s="12" t="s">
        <v>121</v>
      </c>
      <c r="F64" s="12" t="s">
        <v>125</v>
      </c>
      <c r="G64" s="1" t="s">
        <v>186</v>
      </c>
      <c r="H64" s="8">
        <v>44358</v>
      </c>
      <c r="I64" s="1" t="s">
        <v>71</v>
      </c>
      <c r="J64" s="1">
        <v>3</v>
      </c>
      <c r="K64" s="1">
        <v>30</v>
      </c>
      <c r="L64" s="1">
        <v>70.7</v>
      </c>
      <c r="M64" s="1">
        <v>12</v>
      </c>
      <c r="N64" s="1">
        <v>14</v>
      </c>
      <c r="O64" s="1">
        <v>72</v>
      </c>
      <c r="P64" s="1"/>
      <c r="Q64" s="1"/>
      <c r="R64" s="1"/>
      <c r="S64" s="1"/>
      <c r="T64" s="1"/>
      <c r="U64" s="1"/>
      <c r="V64" s="1"/>
      <c r="W64" s="1"/>
    </row>
    <row r="65" spans="1:23" x14ac:dyDescent="0.2">
      <c r="A65" s="1" t="s">
        <v>72</v>
      </c>
      <c r="B65" s="1" t="s">
        <v>72</v>
      </c>
      <c r="C65" s="12" t="s">
        <v>189</v>
      </c>
      <c r="D65" s="1" t="s">
        <v>204</v>
      </c>
      <c r="E65" s="12" t="s">
        <v>115</v>
      </c>
      <c r="F65" s="12" t="s">
        <v>125</v>
      </c>
      <c r="G65" s="1" t="s">
        <v>188</v>
      </c>
      <c r="H65" s="8">
        <v>44358</v>
      </c>
      <c r="I65" s="1" t="s">
        <v>73</v>
      </c>
      <c r="J65" s="1">
        <v>12</v>
      </c>
      <c r="K65" s="1">
        <v>5.3659999999999997</v>
      </c>
      <c r="L65" s="1">
        <v>68.2</v>
      </c>
      <c r="M65" s="1">
        <v>11.5</v>
      </c>
      <c r="N65" s="1">
        <v>15</v>
      </c>
      <c r="O65" s="1">
        <v>550</v>
      </c>
      <c r="P65" s="1" t="s">
        <v>72</v>
      </c>
      <c r="Q65" s="1" t="s">
        <v>104</v>
      </c>
      <c r="R65" s="1">
        <v>11</v>
      </c>
      <c r="S65" s="1">
        <v>5.3659999999999997</v>
      </c>
      <c r="T65" s="1">
        <v>68.2</v>
      </c>
      <c r="U65" s="1">
        <v>11.5</v>
      </c>
      <c r="V65" s="1">
        <v>15</v>
      </c>
      <c r="W65" s="1">
        <v>430</v>
      </c>
    </row>
    <row r="66" spans="1:23" x14ac:dyDescent="0.2">
      <c r="A66" s="1" t="s">
        <v>74</v>
      </c>
      <c r="B66" s="1"/>
      <c r="C66" s="12" t="s">
        <v>114</v>
      </c>
      <c r="D66" s="1" t="s">
        <v>204</v>
      </c>
      <c r="E66" s="12" t="s">
        <v>121</v>
      </c>
      <c r="F66" s="12" t="s">
        <v>125</v>
      </c>
      <c r="G66" s="1" t="s">
        <v>190</v>
      </c>
      <c r="H66" s="8">
        <v>44358</v>
      </c>
      <c r="I66" s="1">
        <v>31</v>
      </c>
      <c r="J66" s="1">
        <v>3</v>
      </c>
      <c r="K66" s="1">
        <v>0.15836249199999999</v>
      </c>
      <c r="L66" s="1">
        <v>0.46239799799999998</v>
      </c>
      <c r="M66" s="1">
        <v>13.3</v>
      </c>
      <c r="N66" s="1">
        <v>13.3</v>
      </c>
      <c r="O66" s="1">
        <v>66</v>
      </c>
      <c r="P66" s="1"/>
      <c r="Q66" s="1"/>
      <c r="R66" s="1"/>
      <c r="S66" s="1"/>
      <c r="T66" s="1"/>
      <c r="U66" s="1"/>
      <c r="V66" s="1"/>
      <c r="W66" s="1"/>
    </row>
    <row r="67" spans="1:23" x14ac:dyDescent="0.2">
      <c r="A67" s="1"/>
      <c r="B67" s="1" t="s">
        <v>105</v>
      </c>
      <c r="C67" s="12" t="s">
        <v>114</v>
      </c>
      <c r="D67" s="1" t="s">
        <v>204</v>
      </c>
      <c r="E67" s="12" t="s">
        <v>115</v>
      </c>
      <c r="F67" s="12" t="s">
        <v>122</v>
      </c>
      <c r="G67" s="1" t="s">
        <v>191</v>
      </c>
      <c r="H67" s="8">
        <v>44358</v>
      </c>
      <c r="I67" s="1"/>
      <c r="J67" s="1"/>
      <c r="K67" s="1"/>
      <c r="L67" s="1"/>
      <c r="M67" s="1"/>
      <c r="N67" s="1"/>
      <c r="O67" s="1"/>
      <c r="P67" s="1" t="s">
        <v>105</v>
      </c>
      <c r="Q67" s="1">
        <v>52</v>
      </c>
      <c r="R67" s="1">
        <v>1</v>
      </c>
      <c r="S67" s="1">
        <v>2.09</v>
      </c>
      <c r="T67" s="1">
        <v>4.1900000000000004</v>
      </c>
      <c r="U67" s="1">
        <v>25</v>
      </c>
      <c r="V67" s="1">
        <v>25</v>
      </c>
      <c r="W67" s="1">
        <v>8</v>
      </c>
    </row>
    <row r="68" spans="1:23" x14ac:dyDescent="0.2">
      <c r="A68" s="1" t="s">
        <v>75</v>
      </c>
      <c r="B68" s="1" t="s">
        <v>75</v>
      </c>
      <c r="C68" s="12" t="s">
        <v>114</v>
      </c>
      <c r="D68" s="1" t="s">
        <v>205</v>
      </c>
      <c r="E68" s="12" t="s">
        <v>115</v>
      </c>
      <c r="F68" s="12" t="s">
        <v>122</v>
      </c>
      <c r="G68" s="1" t="s">
        <v>194</v>
      </c>
      <c r="H68" s="8">
        <v>44358</v>
      </c>
      <c r="I68" s="1">
        <v>54</v>
      </c>
      <c r="J68" s="1">
        <v>1</v>
      </c>
      <c r="K68" s="1">
        <v>7.6</v>
      </c>
      <c r="L68" s="1">
        <v>20.6</v>
      </c>
      <c r="M68" s="1">
        <v>25</v>
      </c>
      <c r="N68" s="1">
        <v>25</v>
      </c>
      <c r="O68" s="1">
        <v>8</v>
      </c>
      <c r="P68" s="1" t="s">
        <v>75</v>
      </c>
      <c r="Q68" s="1" t="s">
        <v>90</v>
      </c>
      <c r="R68" s="1">
        <v>2</v>
      </c>
      <c r="S68" s="1">
        <v>7</v>
      </c>
      <c r="T68" s="1">
        <v>20.6</v>
      </c>
      <c r="U68" s="1">
        <v>25</v>
      </c>
      <c r="V68" s="1">
        <v>25</v>
      </c>
      <c r="W68" s="1">
        <v>15</v>
      </c>
    </row>
    <row r="69" spans="1:23" x14ac:dyDescent="0.2">
      <c r="A69" s="1" t="s">
        <v>76</v>
      </c>
      <c r="B69" s="1" t="s">
        <v>76</v>
      </c>
      <c r="C69" s="12" t="s">
        <v>126</v>
      </c>
      <c r="D69" s="1" t="s">
        <v>205</v>
      </c>
      <c r="E69" s="12" t="s">
        <v>115</v>
      </c>
      <c r="F69" s="12" t="s">
        <v>122</v>
      </c>
      <c r="G69" s="1" t="s">
        <v>192</v>
      </c>
      <c r="H69" s="8">
        <v>44358</v>
      </c>
      <c r="I69" s="1">
        <v>54</v>
      </c>
      <c r="J69" s="1">
        <v>1</v>
      </c>
      <c r="K69" s="1">
        <v>8.8000000000000007</v>
      </c>
      <c r="L69" s="1">
        <v>29.3</v>
      </c>
      <c r="M69" s="1">
        <v>25</v>
      </c>
      <c r="N69" s="1">
        <v>25</v>
      </c>
      <c r="O69" s="1">
        <v>8</v>
      </c>
      <c r="P69" s="1" t="s">
        <v>76</v>
      </c>
      <c r="Q69" s="1">
        <v>54</v>
      </c>
      <c r="R69" s="1">
        <v>1</v>
      </c>
      <c r="S69" s="1">
        <v>8.8000000000000007</v>
      </c>
      <c r="T69" s="1">
        <v>29.3</v>
      </c>
      <c r="U69" s="1">
        <v>25</v>
      </c>
      <c r="V69" s="1">
        <v>25</v>
      </c>
      <c r="W69" s="1">
        <v>8</v>
      </c>
    </row>
    <row r="70" spans="1:23" x14ac:dyDescent="0.2">
      <c r="A70" s="1" t="s">
        <v>77</v>
      </c>
      <c r="B70" s="1" t="s">
        <v>77</v>
      </c>
      <c r="C70" s="12" t="s">
        <v>114</v>
      </c>
      <c r="D70" s="11" t="s">
        <v>207</v>
      </c>
      <c r="E70" s="12" t="s">
        <v>121</v>
      </c>
      <c r="F70" s="12" t="s">
        <v>122</v>
      </c>
      <c r="G70" s="1" t="s">
        <v>193</v>
      </c>
      <c r="H70" s="8">
        <v>44358</v>
      </c>
      <c r="I70" s="1">
        <v>54</v>
      </c>
      <c r="J70" s="1">
        <v>1</v>
      </c>
      <c r="K70" s="1">
        <v>5.9</v>
      </c>
      <c r="L70" s="1">
        <v>10.1</v>
      </c>
      <c r="M70" s="1">
        <v>25</v>
      </c>
      <c r="N70" s="1">
        <v>25</v>
      </c>
      <c r="O70" s="1">
        <v>8</v>
      </c>
      <c r="P70" s="1" t="s">
        <v>77</v>
      </c>
      <c r="Q70" s="1">
        <v>54</v>
      </c>
      <c r="R70" s="1">
        <v>1</v>
      </c>
      <c r="S70" s="1">
        <v>5.9</v>
      </c>
      <c r="T70" s="1">
        <v>10.1</v>
      </c>
      <c r="U70" s="1">
        <v>25</v>
      </c>
      <c r="V70" s="1">
        <v>25</v>
      </c>
      <c r="W70" s="1">
        <v>8</v>
      </c>
    </row>
    <row r="71" spans="1:23" x14ac:dyDescent="0.2">
      <c r="A71" s="1" t="s">
        <v>78</v>
      </c>
      <c r="B71" s="1" t="s">
        <v>78</v>
      </c>
      <c r="C71" s="12" t="s">
        <v>114</v>
      </c>
      <c r="D71" s="1" t="s">
        <v>206</v>
      </c>
      <c r="E71" s="12" t="s">
        <v>121</v>
      </c>
      <c r="F71" s="12" t="s">
        <v>122</v>
      </c>
      <c r="G71" s="1" t="s">
        <v>195</v>
      </c>
      <c r="H71" s="8">
        <v>44358</v>
      </c>
      <c r="I71" s="1">
        <v>54</v>
      </c>
      <c r="J71" s="1">
        <v>1</v>
      </c>
      <c r="K71" s="1">
        <v>5.9</v>
      </c>
      <c r="L71" s="1">
        <v>13.2</v>
      </c>
      <c r="M71" s="1">
        <v>25</v>
      </c>
      <c r="N71" s="1">
        <v>25</v>
      </c>
      <c r="O71" s="1">
        <v>8</v>
      </c>
      <c r="P71" s="1" t="s">
        <v>78</v>
      </c>
      <c r="Q71" s="1">
        <v>54</v>
      </c>
      <c r="R71" s="1">
        <v>1</v>
      </c>
      <c r="S71" s="1">
        <v>5.9</v>
      </c>
      <c r="T71" s="1">
        <v>13.2</v>
      </c>
      <c r="U71" s="1">
        <v>25</v>
      </c>
      <c r="V71" s="1">
        <v>25</v>
      </c>
      <c r="W71" s="1">
        <v>8</v>
      </c>
    </row>
    <row r="72" spans="1:23" x14ac:dyDescent="0.2">
      <c r="A72" s="1" t="s">
        <v>79</v>
      </c>
      <c r="B72" s="1" t="s">
        <v>79</v>
      </c>
      <c r="C72" s="12" t="s">
        <v>114</v>
      </c>
      <c r="D72" s="1" t="s">
        <v>205</v>
      </c>
      <c r="E72" s="12" t="s">
        <v>198</v>
      </c>
      <c r="F72" s="12" t="s">
        <v>129</v>
      </c>
      <c r="G72" s="1" t="s">
        <v>197</v>
      </c>
      <c r="H72" s="8">
        <v>44358</v>
      </c>
      <c r="I72" s="1">
        <v>75</v>
      </c>
      <c r="J72" s="1">
        <v>1</v>
      </c>
      <c r="K72" s="1">
        <v>33400</v>
      </c>
      <c r="L72" s="1">
        <v>126000</v>
      </c>
      <c r="M72" s="1">
        <v>3.8</v>
      </c>
      <c r="N72" s="1">
        <v>5.0999999999999996</v>
      </c>
      <c r="O72" s="1">
        <v>3</v>
      </c>
      <c r="P72" s="1" t="s">
        <v>79</v>
      </c>
      <c r="Q72" s="1">
        <v>75</v>
      </c>
      <c r="R72" s="1">
        <v>1</v>
      </c>
      <c r="S72" s="1">
        <v>40800</v>
      </c>
      <c r="T72" s="1">
        <v>155000</v>
      </c>
      <c r="U72" s="1">
        <v>3.8</v>
      </c>
      <c r="V72" s="1">
        <v>4.9000000000000004</v>
      </c>
      <c r="W72" s="1">
        <v>3</v>
      </c>
    </row>
    <row r="73" spans="1:23" x14ac:dyDescent="0.2">
      <c r="A73" s="1" t="s">
        <v>80</v>
      </c>
      <c r="B73" s="1" t="s">
        <v>80</v>
      </c>
      <c r="C73" s="12" t="s">
        <v>114</v>
      </c>
      <c r="D73" s="1" t="s">
        <v>205</v>
      </c>
      <c r="E73" s="12" t="s">
        <v>115</v>
      </c>
      <c r="F73" s="12" t="s">
        <v>122</v>
      </c>
      <c r="G73" s="1" t="s">
        <v>196</v>
      </c>
      <c r="H73" s="8">
        <v>44358</v>
      </c>
      <c r="I73" s="1">
        <v>54</v>
      </c>
      <c r="J73" s="1">
        <v>1</v>
      </c>
      <c r="K73" s="1">
        <v>10.3</v>
      </c>
      <c r="L73" s="1">
        <v>28.4</v>
      </c>
      <c r="M73" s="1">
        <v>25</v>
      </c>
      <c r="N73" s="1">
        <v>25</v>
      </c>
      <c r="O73" s="1">
        <v>8</v>
      </c>
      <c r="P73" s="1" t="s">
        <v>80</v>
      </c>
      <c r="Q73" s="1" t="s">
        <v>90</v>
      </c>
      <c r="R73" s="1">
        <v>2</v>
      </c>
      <c r="S73" s="1">
        <v>3.76</v>
      </c>
      <c r="T73" s="1">
        <v>28.4</v>
      </c>
      <c r="U73" s="1">
        <v>25</v>
      </c>
      <c r="V73" s="1">
        <v>25</v>
      </c>
      <c r="W73" s="1">
        <v>16</v>
      </c>
    </row>
    <row r="74" spans="1:23" x14ac:dyDescent="0.2">
      <c r="A74" s="1" t="s">
        <v>81</v>
      </c>
      <c r="B74" s="1" t="s">
        <v>81</v>
      </c>
      <c r="C74" s="12" t="s">
        <v>126</v>
      </c>
      <c r="D74" s="1" t="s">
        <v>205</v>
      </c>
      <c r="E74" s="12" t="s">
        <v>121</v>
      </c>
      <c r="F74" s="12" t="s">
        <v>113</v>
      </c>
      <c r="G74" s="1" t="s">
        <v>200</v>
      </c>
      <c r="H74" s="8">
        <v>44358</v>
      </c>
      <c r="I74" s="1">
        <v>54</v>
      </c>
      <c r="J74" s="1">
        <v>1</v>
      </c>
      <c r="K74" s="1">
        <v>11</v>
      </c>
      <c r="L74" s="1">
        <v>19.5</v>
      </c>
      <c r="M74" s="1">
        <v>25</v>
      </c>
      <c r="N74" s="1">
        <v>25</v>
      </c>
      <c r="O74" s="1">
        <v>8</v>
      </c>
      <c r="P74" s="1" t="s">
        <v>81</v>
      </c>
      <c r="Q74" s="1">
        <v>54</v>
      </c>
      <c r="R74" s="1">
        <v>1</v>
      </c>
      <c r="S74" s="1">
        <v>11</v>
      </c>
      <c r="T74" s="1">
        <v>19.5</v>
      </c>
      <c r="U74" s="1">
        <v>25</v>
      </c>
      <c r="V74" s="1">
        <v>25</v>
      </c>
      <c r="W74" s="1">
        <v>8</v>
      </c>
    </row>
    <row r="75" spans="1:23" x14ac:dyDescent="0.2">
      <c r="A75" s="1" t="s">
        <v>82</v>
      </c>
      <c r="B75" s="1" t="s">
        <v>82</v>
      </c>
      <c r="C75" s="12" t="s">
        <v>118</v>
      </c>
      <c r="D75" s="1" t="s">
        <v>204</v>
      </c>
      <c r="E75" s="12" t="s">
        <v>121</v>
      </c>
      <c r="F75" s="12" t="s">
        <v>117</v>
      </c>
      <c r="G75" s="1" t="s">
        <v>199</v>
      </c>
      <c r="H75" s="8">
        <v>44358</v>
      </c>
      <c r="I75" s="1">
        <v>1</v>
      </c>
      <c r="J75" s="1">
        <v>5</v>
      </c>
      <c r="K75" s="1">
        <v>0.45100000000000001</v>
      </c>
      <c r="L75" s="1">
        <v>19.454999999999998</v>
      </c>
      <c r="M75" s="1">
        <v>15</v>
      </c>
      <c r="N75" s="1">
        <v>15</v>
      </c>
      <c r="O75" s="1">
        <v>340</v>
      </c>
      <c r="P75" s="1" t="s">
        <v>82</v>
      </c>
      <c r="Q75" s="1">
        <v>1</v>
      </c>
      <c r="R75" s="1">
        <v>5</v>
      </c>
      <c r="S75" s="1">
        <v>0.45100000000000001</v>
      </c>
      <c r="T75" s="1">
        <v>19.454999999999998</v>
      </c>
      <c r="U75" s="1">
        <v>15</v>
      </c>
      <c r="V75" s="1">
        <v>15</v>
      </c>
      <c r="W75" s="1">
        <v>340</v>
      </c>
    </row>
    <row r="76" spans="1:23" x14ac:dyDescent="0.2">
      <c r="A76" s="1" t="s">
        <v>83</v>
      </c>
      <c r="B76" s="1" t="s">
        <v>83</v>
      </c>
      <c r="C76" s="12" t="s">
        <v>118</v>
      </c>
      <c r="D76" s="1" t="s">
        <v>204</v>
      </c>
      <c r="E76" s="12" t="s">
        <v>115</v>
      </c>
      <c r="F76" s="12" t="s">
        <v>117</v>
      </c>
      <c r="G76" s="1" t="s">
        <v>201</v>
      </c>
      <c r="H76" s="8">
        <v>44358</v>
      </c>
      <c r="I76" s="1">
        <v>34</v>
      </c>
      <c r="J76" s="1">
        <v>1</v>
      </c>
      <c r="K76" s="1">
        <v>0.93700000000000006</v>
      </c>
      <c r="L76" s="1">
        <v>1.923</v>
      </c>
      <c r="M76" s="1">
        <v>29</v>
      </c>
      <c r="N76" s="1">
        <v>29</v>
      </c>
      <c r="O76" s="1">
        <v>15</v>
      </c>
      <c r="P76" s="1" t="s">
        <v>83</v>
      </c>
      <c r="Q76" s="1">
        <v>34</v>
      </c>
      <c r="R76" s="1">
        <v>1</v>
      </c>
      <c r="S76" s="1">
        <v>0.93700000000000006</v>
      </c>
      <c r="T76" s="1">
        <v>1.923</v>
      </c>
      <c r="U76" s="1">
        <v>29</v>
      </c>
      <c r="V76" s="1">
        <v>29</v>
      </c>
      <c r="W76" s="1">
        <v>15</v>
      </c>
    </row>
    <row r="77" spans="1:23" x14ac:dyDescent="0.2">
      <c r="A77" s="1" t="s">
        <v>84</v>
      </c>
      <c r="B77" s="1"/>
      <c r="C77" s="12" t="s">
        <v>126</v>
      </c>
      <c r="D77" s="1" t="s">
        <v>204</v>
      </c>
      <c r="E77" s="12" t="s">
        <v>131</v>
      </c>
      <c r="F77" s="12" t="s">
        <v>117</v>
      </c>
      <c r="G77" s="1" t="s">
        <v>202</v>
      </c>
      <c r="H77" s="8">
        <v>44358</v>
      </c>
      <c r="I77" s="1">
        <v>41</v>
      </c>
      <c r="J77" s="1">
        <v>2</v>
      </c>
      <c r="K77" s="1">
        <v>22.3</v>
      </c>
      <c r="L77" s="1">
        <v>57.9</v>
      </c>
      <c r="M77" s="1">
        <v>0</v>
      </c>
      <c r="N77" s="1">
        <v>1</v>
      </c>
      <c r="O77" s="1">
        <v>16</v>
      </c>
      <c r="P77" s="1"/>
      <c r="Q77" s="1"/>
      <c r="R77" s="1"/>
      <c r="S77" s="1"/>
      <c r="T77" s="1"/>
      <c r="U77" s="1"/>
      <c r="V77" s="1"/>
      <c r="W77" s="1"/>
    </row>
    <row r="78" spans="1:23" x14ac:dyDescent="0.2">
      <c r="A78" s="1" t="s">
        <v>85</v>
      </c>
      <c r="B78" s="1" t="s">
        <v>85</v>
      </c>
      <c r="C78" s="12" t="s">
        <v>126</v>
      </c>
      <c r="D78" s="1" t="s">
        <v>205</v>
      </c>
      <c r="E78" s="12" t="s">
        <v>115</v>
      </c>
      <c r="F78" s="12" t="s">
        <v>122</v>
      </c>
      <c r="G78" s="1" t="s">
        <v>203</v>
      </c>
      <c r="H78" s="8">
        <v>44358</v>
      </c>
      <c r="I78" s="1" t="s">
        <v>86</v>
      </c>
      <c r="J78" s="1">
        <v>3</v>
      </c>
      <c r="K78" s="1">
        <v>3.6</v>
      </c>
      <c r="L78" s="1">
        <v>11.6</v>
      </c>
      <c r="M78" s="1">
        <v>15</v>
      </c>
      <c r="N78" s="1">
        <v>25</v>
      </c>
      <c r="O78" s="1">
        <v>33</v>
      </c>
      <c r="P78" s="1" t="s">
        <v>85</v>
      </c>
      <c r="Q78" s="1">
        <v>54</v>
      </c>
      <c r="R78" s="1">
        <v>1</v>
      </c>
      <c r="S78" s="1">
        <v>4.7</v>
      </c>
      <c r="T78" s="1">
        <v>11.6</v>
      </c>
      <c r="U78" s="1">
        <v>25</v>
      </c>
      <c r="V78" s="1">
        <v>25</v>
      </c>
      <c r="W78" s="1">
        <v>7</v>
      </c>
    </row>
    <row r="79" spans="1:23" x14ac:dyDescent="0.2">
      <c r="A79" s="1" t="s">
        <v>87</v>
      </c>
      <c r="B79" s="1" t="s">
        <v>87</v>
      </c>
      <c r="C79" s="12" t="s">
        <v>114</v>
      </c>
      <c r="D79" s="1" t="s">
        <v>204</v>
      </c>
      <c r="E79" s="12" t="s">
        <v>115</v>
      </c>
      <c r="F79" s="12" t="s">
        <v>122</v>
      </c>
      <c r="G79" s="1" t="s">
        <v>212</v>
      </c>
      <c r="H79" s="8">
        <v>44358</v>
      </c>
      <c r="I79" s="1">
        <v>54</v>
      </c>
      <c r="J79" s="1">
        <v>1</v>
      </c>
      <c r="K79" s="1">
        <v>4.8</v>
      </c>
      <c r="L79" s="1">
        <v>10.5</v>
      </c>
      <c r="M79" s="1">
        <v>25</v>
      </c>
      <c r="N79" s="1">
        <v>25</v>
      </c>
      <c r="O79" s="1">
        <v>8</v>
      </c>
      <c r="P79" s="1" t="s">
        <v>87</v>
      </c>
      <c r="Q79" s="1" t="s">
        <v>90</v>
      </c>
      <c r="R79" s="1">
        <v>2</v>
      </c>
      <c r="S79" s="1">
        <v>4.8</v>
      </c>
      <c r="T79" s="1">
        <v>13.39</v>
      </c>
      <c r="U79" s="1">
        <v>25</v>
      </c>
      <c r="V79" s="1">
        <v>25</v>
      </c>
      <c r="W79" s="1">
        <v>14</v>
      </c>
    </row>
  </sheetData>
  <mergeCells count="2">
    <mergeCell ref="A1:O1"/>
    <mergeCell ref="P1:W1"/>
  </mergeCells>
  <hyperlinks>
    <hyperlink ref="G62" r:id="rId1" xr:uid="{94FD3ADD-423B-C448-B10B-EA6C18C8F15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1AA8-0795-BE4E-8473-36079C6C19BD}">
  <dimension ref="A1:Q79"/>
  <sheetViews>
    <sheetView zoomScale="113" zoomScaleNormal="150" workbookViewId="0">
      <selection activeCell="A52" sqref="A52"/>
    </sheetView>
  </sheetViews>
  <sheetFormatPr baseColWidth="10" defaultRowHeight="16" x14ac:dyDescent="0.2"/>
  <cols>
    <col min="1" max="2" width="29" style="1" bestFit="1" customWidth="1"/>
    <col min="4" max="4" width="29.5" bestFit="1" customWidth="1"/>
    <col min="5" max="5" width="16.33203125" style="22" customWidth="1"/>
    <col min="6" max="6" width="60.6640625" style="1" bestFit="1" customWidth="1"/>
    <col min="7" max="7" width="16.1640625" style="25" customWidth="1"/>
    <col min="8" max="8" width="25.5" style="1" customWidth="1"/>
    <col min="9" max="9" width="45.83203125" style="20" customWidth="1"/>
    <col min="10" max="10" width="20" style="19" bestFit="1" customWidth="1"/>
    <col min="11" max="11" width="20" style="1" customWidth="1"/>
    <col min="12" max="12" width="54.1640625" customWidth="1"/>
    <col min="13" max="13" width="16.1640625" style="19" customWidth="1"/>
    <col min="14" max="14" width="20" style="1" customWidth="1"/>
    <col min="15" max="15" width="32.33203125" style="44" customWidth="1"/>
    <col min="16" max="16" width="29.33203125" style="20" customWidth="1"/>
    <col min="17" max="17" width="29.5" bestFit="1" customWidth="1"/>
    <col min="18" max="16384" width="10.83203125" style="1"/>
  </cols>
  <sheetData>
    <row r="1" spans="1:17" ht="17" thickBot="1" x14ac:dyDescent="0.25"/>
    <row r="2" spans="1:17" s="35" customFormat="1" ht="34" customHeight="1" x14ac:dyDescent="0.2">
      <c r="A2" s="33" t="s">
        <v>0</v>
      </c>
      <c r="B2" s="34" t="s">
        <v>0</v>
      </c>
      <c r="E2" s="158" t="s">
        <v>167</v>
      </c>
      <c r="F2" s="160" t="s">
        <v>228</v>
      </c>
      <c r="G2" s="26" t="s">
        <v>111</v>
      </c>
      <c r="H2" s="54" t="s">
        <v>224</v>
      </c>
      <c r="I2" s="28"/>
      <c r="J2" s="43" t="s">
        <v>110</v>
      </c>
      <c r="K2" s="162" t="s">
        <v>215</v>
      </c>
      <c r="L2" s="162"/>
      <c r="M2" s="27" t="s">
        <v>109</v>
      </c>
      <c r="N2" s="156" t="s">
        <v>225</v>
      </c>
      <c r="O2" s="28"/>
      <c r="P2" s="28" t="s">
        <v>108</v>
      </c>
    </row>
    <row r="3" spans="1:17" s="30" customFormat="1" ht="73" customHeight="1" thickBot="1" x14ac:dyDescent="0.25">
      <c r="A3" s="36" t="s">
        <v>213</v>
      </c>
      <c r="B3" s="37" t="s">
        <v>214</v>
      </c>
      <c r="D3" s="30" t="s">
        <v>0</v>
      </c>
      <c r="E3" s="159"/>
      <c r="F3" s="161"/>
      <c r="G3" s="29" t="s">
        <v>227</v>
      </c>
      <c r="H3" s="53" t="s">
        <v>226</v>
      </c>
      <c r="I3" s="32" t="s">
        <v>216</v>
      </c>
      <c r="J3" s="31" t="s">
        <v>210</v>
      </c>
      <c r="K3" s="53" t="s">
        <v>217</v>
      </c>
      <c r="L3" s="23" t="s">
        <v>216</v>
      </c>
      <c r="M3" s="50" t="s">
        <v>209</v>
      </c>
      <c r="N3" s="157"/>
      <c r="O3" s="23" t="s">
        <v>216</v>
      </c>
      <c r="P3" s="23" t="s">
        <v>216</v>
      </c>
      <c r="Q3" s="30" t="s">
        <v>0</v>
      </c>
    </row>
    <row r="4" spans="1:17" x14ac:dyDescent="0.2">
      <c r="B4" s="1" t="s">
        <v>88</v>
      </c>
      <c r="D4" s="1" t="s">
        <v>88</v>
      </c>
      <c r="E4" s="21">
        <v>44358</v>
      </c>
      <c r="F4" s="1" t="s">
        <v>112</v>
      </c>
      <c r="G4" s="24" t="s">
        <v>114</v>
      </c>
      <c r="H4" s="12" t="str">
        <f>G4</f>
        <v>benthopelagic</v>
      </c>
      <c r="I4" s="18"/>
      <c r="J4" s="19" t="s">
        <v>204</v>
      </c>
      <c r="K4" s="1" t="str">
        <f t="shared" ref="K4" si="0">J4</f>
        <v>fusiform</v>
      </c>
      <c r="M4" s="17" t="s">
        <v>115</v>
      </c>
      <c r="N4" s="1" t="str">
        <f t="shared" ref="N4:N35" si="1">M4</f>
        <v>Subtropical</v>
      </c>
      <c r="P4" s="18" t="s">
        <v>113</v>
      </c>
      <c r="Q4" s="1" t="s">
        <v>88</v>
      </c>
    </row>
    <row r="5" spans="1:17" x14ac:dyDescent="0.2">
      <c r="A5" s="1" t="s">
        <v>8</v>
      </c>
      <c r="B5" s="1" t="s">
        <v>8</v>
      </c>
      <c r="D5" s="1" t="s">
        <v>8</v>
      </c>
      <c r="E5" s="21">
        <v>44358</v>
      </c>
      <c r="F5" s="1" t="s">
        <v>116</v>
      </c>
      <c r="G5" s="24" t="s">
        <v>118</v>
      </c>
      <c r="H5" s="12" t="str">
        <f t="shared" ref="H5:H68" si="2">G5</f>
        <v>reef-associated</v>
      </c>
      <c r="I5" s="18"/>
      <c r="J5" s="19" t="s">
        <v>206</v>
      </c>
      <c r="K5" s="1" t="str">
        <f>J5</f>
        <v>short/deep</v>
      </c>
      <c r="M5" s="17" t="s">
        <v>119</v>
      </c>
      <c r="N5" s="1" t="str">
        <f t="shared" si="1"/>
        <v>Tropical</v>
      </c>
      <c r="P5" s="18" t="s">
        <v>117</v>
      </c>
      <c r="Q5" s="1" t="s">
        <v>8</v>
      </c>
    </row>
    <row r="6" spans="1:17" x14ac:dyDescent="0.2">
      <c r="A6" s="1" t="s">
        <v>10</v>
      </c>
      <c r="B6" s="1" t="s">
        <v>10</v>
      </c>
      <c r="D6" s="1" t="s">
        <v>10</v>
      </c>
      <c r="E6" s="21">
        <v>44358</v>
      </c>
      <c r="F6" s="1" t="s">
        <v>120</v>
      </c>
      <c r="G6" s="25" t="s">
        <v>114</v>
      </c>
      <c r="H6" s="12" t="str">
        <f t="shared" si="2"/>
        <v>benthopelagic</v>
      </c>
      <c r="J6" s="19" t="s">
        <v>205</v>
      </c>
      <c r="K6" s="1" t="str">
        <f t="shared" ref="K6" si="3">J6</f>
        <v>elongated</v>
      </c>
      <c r="M6" s="19" t="s">
        <v>121</v>
      </c>
      <c r="N6" s="1" t="str">
        <f t="shared" si="1"/>
        <v>Temperate</v>
      </c>
      <c r="P6" s="18" t="s">
        <v>122</v>
      </c>
      <c r="Q6" s="1" t="s">
        <v>10</v>
      </c>
    </row>
    <row r="7" spans="1:17" x14ac:dyDescent="0.2">
      <c r="A7" s="1" t="s">
        <v>11</v>
      </c>
      <c r="D7" s="1" t="s">
        <v>11</v>
      </c>
      <c r="E7" s="21">
        <v>44358</v>
      </c>
      <c r="F7" s="1" t="s">
        <v>123</v>
      </c>
      <c r="G7" s="24" t="s">
        <v>118</v>
      </c>
      <c r="H7" s="12" t="str">
        <f t="shared" si="2"/>
        <v>reef-associated</v>
      </c>
      <c r="I7" s="18"/>
      <c r="J7" s="19" t="s">
        <v>206</v>
      </c>
      <c r="K7" s="1" t="str">
        <f>J7</f>
        <v>short/deep</v>
      </c>
      <c r="M7" s="17" t="s">
        <v>119</v>
      </c>
      <c r="N7" s="1" t="str">
        <f t="shared" si="1"/>
        <v>Tropical</v>
      </c>
      <c r="P7" s="18" t="s">
        <v>117</v>
      </c>
      <c r="Q7" s="1" t="s">
        <v>11</v>
      </c>
    </row>
    <row r="8" spans="1:17" x14ac:dyDescent="0.2">
      <c r="A8" s="1" t="s">
        <v>12</v>
      </c>
      <c r="D8" s="1" t="s">
        <v>12</v>
      </c>
      <c r="E8" s="21">
        <v>44358</v>
      </c>
      <c r="F8" s="1" t="s">
        <v>124</v>
      </c>
      <c r="G8" s="24" t="s">
        <v>118</v>
      </c>
      <c r="H8" s="12" t="str">
        <f t="shared" si="2"/>
        <v>reef-associated</v>
      </c>
      <c r="I8" s="18"/>
      <c r="J8" s="19" t="s">
        <v>204</v>
      </c>
      <c r="K8" s="1" t="str">
        <f t="shared" ref="K8:K72" si="4">J8</f>
        <v>fusiform</v>
      </c>
      <c r="M8" s="17" t="s">
        <v>119</v>
      </c>
      <c r="N8" s="1" t="str">
        <f t="shared" si="1"/>
        <v>Tropical</v>
      </c>
      <c r="P8" s="18" t="s">
        <v>117</v>
      </c>
      <c r="Q8" s="1" t="s">
        <v>12</v>
      </c>
    </row>
    <row r="9" spans="1:17" x14ac:dyDescent="0.2">
      <c r="A9" s="1" t="s">
        <v>13</v>
      </c>
      <c r="D9" s="1" t="s">
        <v>13</v>
      </c>
      <c r="E9" s="21">
        <v>44358</v>
      </c>
      <c r="F9" s="1" t="s">
        <v>128</v>
      </c>
      <c r="G9" s="24" t="s">
        <v>126</v>
      </c>
      <c r="H9" s="12" t="str">
        <f t="shared" si="2"/>
        <v>demersal</v>
      </c>
      <c r="I9" s="18"/>
      <c r="J9" s="19" t="s">
        <v>208</v>
      </c>
      <c r="K9" s="1" t="str">
        <f t="shared" si="4"/>
        <v>eel-like</v>
      </c>
      <c r="M9" s="17" t="s">
        <v>121</v>
      </c>
      <c r="N9" s="1" t="str">
        <f t="shared" si="1"/>
        <v>Temperate</v>
      </c>
      <c r="P9" s="18" t="s">
        <v>125</v>
      </c>
      <c r="Q9" s="1" t="s">
        <v>13</v>
      </c>
    </row>
    <row r="10" spans="1:17" x14ac:dyDescent="0.2">
      <c r="A10" s="1" t="s">
        <v>14</v>
      </c>
      <c r="D10" s="1" t="s">
        <v>14</v>
      </c>
      <c r="E10" s="21">
        <v>44358</v>
      </c>
      <c r="F10" s="1" t="s">
        <v>127</v>
      </c>
      <c r="G10" s="24" t="s">
        <v>126</v>
      </c>
      <c r="H10" s="12" t="str">
        <f t="shared" si="2"/>
        <v>demersal</v>
      </c>
      <c r="I10" s="18"/>
      <c r="J10" s="19" t="s">
        <v>204</v>
      </c>
      <c r="K10" s="1" t="str">
        <f t="shared" si="4"/>
        <v>fusiform</v>
      </c>
      <c r="M10" s="17" t="s">
        <v>121</v>
      </c>
      <c r="N10" s="1" t="str">
        <f t="shared" si="1"/>
        <v>Temperate</v>
      </c>
      <c r="P10" s="18" t="s">
        <v>117</v>
      </c>
      <c r="Q10" s="1" t="s">
        <v>14</v>
      </c>
    </row>
    <row r="11" spans="1:17" x14ac:dyDescent="0.2">
      <c r="A11" s="1" t="s">
        <v>15</v>
      </c>
      <c r="B11" s="1" t="s">
        <v>15</v>
      </c>
      <c r="D11" s="1" t="s">
        <v>15</v>
      </c>
      <c r="E11" s="21">
        <v>44358</v>
      </c>
      <c r="F11" s="1" t="s">
        <v>130</v>
      </c>
      <c r="G11" s="24" t="s">
        <v>126</v>
      </c>
      <c r="H11" s="12" t="str">
        <f t="shared" si="2"/>
        <v>demersal</v>
      </c>
      <c r="I11" s="18"/>
      <c r="J11" s="19" t="s">
        <v>205</v>
      </c>
      <c r="K11" s="1" t="str">
        <f t="shared" si="4"/>
        <v>elongated</v>
      </c>
      <c r="M11" s="17" t="s">
        <v>131</v>
      </c>
      <c r="N11" s="1" t="str">
        <f t="shared" si="1"/>
        <v>Polar</v>
      </c>
      <c r="P11" s="18" t="s">
        <v>129</v>
      </c>
      <c r="Q11" s="1" t="s">
        <v>15</v>
      </c>
    </row>
    <row r="12" spans="1:17" x14ac:dyDescent="0.2">
      <c r="A12" s="1" t="s">
        <v>16</v>
      </c>
      <c r="B12" s="1" t="s">
        <v>16</v>
      </c>
      <c r="D12" s="1" t="s">
        <v>16</v>
      </c>
      <c r="E12" s="21">
        <v>44358</v>
      </c>
      <c r="F12" s="1" t="s">
        <v>132</v>
      </c>
      <c r="G12" s="24" t="s">
        <v>114</v>
      </c>
      <c r="H12" s="12" t="str">
        <f t="shared" si="2"/>
        <v>benthopelagic</v>
      </c>
      <c r="I12" s="18"/>
      <c r="J12" s="19" t="s">
        <v>204</v>
      </c>
      <c r="K12" s="1" t="str">
        <f t="shared" si="4"/>
        <v>fusiform</v>
      </c>
      <c r="M12" s="17" t="s">
        <v>115</v>
      </c>
      <c r="N12" s="1" t="str">
        <f t="shared" si="1"/>
        <v>Subtropical</v>
      </c>
      <c r="P12" s="18" t="s">
        <v>113</v>
      </c>
      <c r="Q12" s="1" t="s">
        <v>16</v>
      </c>
    </row>
    <row r="13" spans="1:17" x14ac:dyDescent="0.2">
      <c r="A13" s="1" t="s">
        <v>18</v>
      </c>
      <c r="B13" s="1" t="s">
        <v>18</v>
      </c>
      <c r="D13" s="1" t="s">
        <v>18</v>
      </c>
      <c r="E13" s="21">
        <v>44358</v>
      </c>
      <c r="F13" s="1" t="s">
        <v>133</v>
      </c>
      <c r="G13" s="24" t="s">
        <v>114</v>
      </c>
      <c r="H13" s="12" t="str">
        <f t="shared" si="2"/>
        <v>benthopelagic</v>
      </c>
      <c r="I13" s="18"/>
      <c r="J13" s="19" t="s">
        <v>205</v>
      </c>
      <c r="K13" s="1" t="str">
        <f t="shared" si="4"/>
        <v>elongated</v>
      </c>
      <c r="M13" s="17" t="s">
        <v>115</v>
      </c>
      <c r="N13" s="1" t="str">
        <f t="shared" si="1"/>
        <v>Subtropical</v>
      </c>
      <c r="P13" s="18" t="s">
        <v>122</v>
      </c>
      <c r="Q13" s="1" t="s">
        <v>18</v>
      </c>
    </row>
    <row r="14" spans="1:17" x14ac:dyDescent="0.2">
      <c r="A14" s="1" t="s">
        <v>19</v>
      </c>
      <c r="B14" s="1" t="s">
        <v>21</v>
      </c>
      <c r="D14" s="1" t="s">
        <v>19</v>
      </c>
      <c r="E14" s="21">
        <v>44358</v>
      </c>
      <c r="F14" s="1" t="s">
        <v>134</v>
      </c>
      <c r="G14" s="24" t="s">
        <v>114</v>
      </c>
      <c r="H14" s="12" t="str">
        <f t="shared" si="2"/>
        <v>benthopelagic</v>
      </c>
      <c r="I14" s="18"/>
      <c r="J14" s="19" t="s">
        <v>206</v>
      </c>
      <c r="K14" s="1" t="str">
        <f t="shared" si="4"/>
        <v>short/deep</v>
      </c>
      <c r="M14" s="17" t="s">
        <v>115</v>
      </c>
      <c r="N14" s="1" t="str">
        <f t="shared" si="1"/>
        <v>Subtropical</v>
      </c>
      <c r="P14" s="18" t="s">
        <v>113</v>
      </c>
      <c r="Q14" s="1" t="s">
        <v>19</v>
      </c>
    </row>
    <row r="15" spans="1:17" x14ac:dyDescent="0.2">
      <c r="A15" s="1" t="s">
        <v>20</v>
      </c>
      <c r="D15" s="1" t="s">
        <v>20</v>
      </c>
      <c r="E15" s="21">
        <v>44358</v>
      </c>
      <c r="F15" s="1" t="s">
        <v>135</v>
      </c>
      <c r="G15" s="24" t="s">
        <v>114</v>
      </c>
      <c r="H15" s="12" t="str">
        <f t="shared" si="2"/>
        <v>benthopelagic</v>
      </c>
      <c r="I15" s="18"/>
      <c r="J15" s="19" t="s">
        <v>205</v>
      </c>
      <c r="K15" s="1" t="str">
        <f t="shared" si="4"/>
        <v>elongated</v>
      </c>
      <c r="M15" s="17" t="s">
        <v>115</v>
      </c>
      <c r="N15" s="1" t="str">
        <f t="shared" si="1"/>
        <v>Subtropical</v>
      </c>
      <c r="P15" s="18" t="s">
        <v>122</v>
      </c>
      <c r="Q15" s="1" t="s">
        <v>20</v>
      </c>
    </row>
    <row r="16" spans="1:17" x14ac:dyDescent="0.2">
      <c r="A16" s="1" t="s">
        <v>21</v>
      </c>
      <c r="D16" s="1" t="s">
        <v>21</v>
      </c>
      <c r="E16" s="21">
        <v>44358</v>
      </c>
      <c r="F16" s="1" t="s">
        <v>134</v>
      </c>
      <c r="G16" s="24" t="s">
        <v>114</v>
      </c>
      <c r="H16" s="12" t="str">
        <f t="shared" si="2"/>
        <v>benthopelagic</v>
      </c>
      <c r="I16" s="18"/>
      <c r="J16" s="19" t="s">
        <v>204</v>
      </c>
      <c r="K16" s="1" t="str">
        <f t="shared" si="4"/>
        <v>fusiform</v>
      </c>
      <c r="M16" s="17" t="s">
        <v>115</v>
      </c>
      <c r="N16" s="1" t="str">
        <f t="shared" si="1"/>
        <v>Subtropical</v>
      </c>
      <c r="P16" s="18" t="s">
        <v>113</v>
      </c>
      <c r="Q16" s="1" t="s">
        <v>21</v>
      </c>
    </row>
    <row r="17" spans="1:17" x14ac:dyDescent="0.2">
      <c r="A17" s="1" t="s">
        <v>22</v>
      </c>
      <c r="B17" s="1" t="s">
        <v>22</v>
      </c>
      <c r="D17" s="1" t="s">
        <v>22</v>
      </c>
      <c r="E17" s="21">
        <v>44358</v>
      </c>
      <c r="F17" s="1" t="s">
        <v>136</v>
      </c>
      <c r="G17" s="24" t="s">
        <v>114</v>
      </c>
      <c r="H17" s="12" t="str">
        <f t="shared" si="2"/>
        <v>benthopelagic</v>
      </c>
      <c r="I17" s="18"/>
      <c r="J17" s="19" t="s">
        <v>204</v>
      </c>
      <c r="K17" s="1" t="str">
        <f t="shared" si="4"/>
        <v>fusiform</v>
      </c>
      <c r="M17" s="17" t="s">
        <v>115</v>
      </c>
      <c r="N17" s="1" t="str">
        <f t="shared" si="1"/>
        <v>Subtropical</v>
      </c>
      <c r="P17" s="18" t="s">
        <v>113</v>
      </c>
      <c r="Q17" s="1" t="s">
        <v>22</v>
      </c>
    </row>
    <row r="18" spans="1:17" x14ac:dyDescent="0.2">
      <c r="A18" s="1" t="s">
        <v>23</v>
      </c>
      <c r="B18" s="1" t="s">
        <v>23</v>
      </c>
      <c r="D18" s="1" t="s">
        <v>23</v>
      </c>
      <c r="E18" s="21">
        <v>44358</v>
      </c>
      <c r="F18" s="1" t="s">
        <v>137</v>
      </c>
      <c r="G18" s="24" t="s">
        <v>126</v>
      </c>
      <c r="H18" s="12" t="str">
        <f t="shared" si="2"/>
        <v>demersal</v>
      </c>
      <c r="I18" s="18"/>
      <c r="J18" s="19" t="s">
        <v>204</v>
      </c>
      <c r="K18" s="1" t="str">
        <f t="shared" si="4"/>
        <v>fusiform</v>
      </c>
      <c r="M18" s="17" t="s">
        <v>115</v>
      </c>
      <c r="N18" s="1" t="str">
        <f t="shared" si="1"/>
        <v>Subtropical</v>
      </c>
      <c r="P18" s="18" t="s">
        <v>125</v>
      </c>
      <c r="Q18" s="1" t="s">
        <v>23</v>
      </c>
    </row>
    <row r="19" spans="1:17" x14ac:dyDescent="0.2">
      <c r="A19" s="1" t="s">
        <v>24</v>
      </c>
      <c r="B19" s="1" t="s">
        <v>24</v>
      </c>
      <c r="D19" s="1" t="s">
        <v>24</v>
      </c>
      <c r="E19" s="21">
        <v>44358</v>
      </c>
      <c r="F19" s="1" t="s">
        <v>138</v>
      </c>
      <c r="G19" s="24" t="s">
        <v>114</v>
      </c>
      <c r="H19" s="12" t="str">
        <f t="shared" si="2"/>
        <v>benthopelagic</v>
      </c>
      <c r="I19" s="18"/>
      <c r="J19" s="19" t="s">
        <v>205</v>
      </c>
      <c r="K19" s="1" t="str">
        <f t="shared" si="4"/>
        <v>elongated</v>
      </c>
      <c r="M19" s="17" t="s">
        <v>115</v>
      </c>
      <c r="N19" s="1" t="str">
        <f t="shared" si="1"/>
        <v>Subtropical</v>
      </c>
      <c r="P19" s="18" t="s">
        <v>122</v>
      </c>
      <c r="Q19" s="1" t="s">
        <v>24</v>
      </c>
    </row>
    <row r="20" spans="1:17" x14ac:dyDescent="0.2">
      <c r="A20" s="1" t="s">
        <v>25</v>
      </c>
      <c r="B20" s="1" t="s">
        <v>25</v>
      </c>
      <c r="D20" s="1" t="s">
        <v>25</v>
      </c>
      <c r="E20" s="21">
        <v>44358</v>
      </c>
      <c r="F20" s="1" t="s">
        <v>139</v>
      </c>
      <c r="G20" s="24" t="s">
        <v>114</v>
      </c>
      <c r="H20" s="12" t="str">
        <f t="shared" si="2"/>
        <v>benthopelagic</v>
      </c>
      <c r="I20" s="18"/>
      <c r="J20" s="19" t="s">
        <v>204</v>
      </c>
      <c r="K20" s="1" t="str">
        <f t="shared" si="4"/>
        <v>fusiform</v>
      </c>
      <c r="M20" s="17" t="s">
        <v>119</v>
      </c>
      <c r="N20" s="1" t="str">
        <f t="shared" si="1"/>
        <v>Tropical</v>
      </c>
      <c r="P20" s="18" t="s">
        <v>122</v>
      </c>
      <c r="Q20" s="1" t="s">
        <v>25</v>
      </c>
    </row>
    <row r="21" spans="1:17" x14ac:dyDescent="0.2">
      <c r="A21" s="1" t="s">
        <v>26</v>
      </c>
      <c r="D21" s="1" t="s">
        <v>26</v>
      </c>
      <c r="E21" s="21">
        <v>44358</v>
      </c>
      <c r="F21" s="1" t="s">
        <v>140</v>
      </c>
      <c r="G21" s="24" t="s">
        <v>114</v>
      </c>
      <c r="H21" s="12" t="str">
        <f t="shared" si="2"/>
        <v>benthopelagic</v>
      </c>
      <c r="I21" s="18"/>
      <c r="J21" s="19" t="s">
        <v>205</v>
      </c>
      <c r="K21" s="1" t="str">
        <f t="shared" si="4"/>
        <v>elongated</v>
      </c>
      <c r="M21" s="17" t="s">
        <v>121</v>
      </c>
      <c r="N21" s="1" t="str">
        <f t="shared" si="1"/>
        <v>Temperate</v>
      </c>
      <c r="P21" s="18" t="s">
        <v>117</v>
      </c>
      <c r="Q21" s="1" t="s">
        <v>26</v>
      </c>
    </row>
    <row r="22" spans="1:17" x14ac:dyDescent="0.2">
      <c r="A22" s="1" t="s">
        <v>28</v>
      </c>
      <c r="D22" s="1" t="s">
        <v>28</v>
      </c>
      <c r="E22" s="21">
        <v>44358</v>
      </c>
      <c r="F22" s="1" t="s">
        <v>141</v>
      </c>
      <c r="G22" s="24" t="s">
        <v>114</v>
      </c>
      <c r="H22" s="12" t="str">
        <f t="shared" si="2"/>
        <v>benthopelagic</v>
      </c>
      <c r="I22" s="18"/>
      <c r="J22" s="19" t="s">
        <v>204</v>
      </c>
      <c r="K22" s="1" t="str">
        <f t="shared" si="4"/>
        <v>fusiform</v>
      </c>
      <c r="M22" s="17" t="s">
        <v>121</v>
      </c>
      <c r="N22" s="1" t="str">
        <f t="shared" si="1"/>
        <v>Temperate</v>
      </c>
      <c r="P22" s="18" t="s">
        <v>129</v>
      </c>
      <c r="Q22" s="1" t="s">
        <v>28</v>
      </c>
    </row>
    <row r="23" spans="1:17" x14ac:dyDescent="0.2">
      <c r="A23" s="1" t="s">
        <v>29</v>
      </c>
      <c r="B23" s="1" t="s">
        <v>29</v>
      </c>
      <c r="D23" s="1" t="s">
        <v>29</v>
      </c>
      <c r="E23" s="21">
        <v>44358</v>
      </c>
      <c r="F23" s="1" t="s">
        <v>142</v>
      </c>
      <c r="G23" s="24" t="s">
        <v>114</v>
      </c>
      <c r="H23" s="12" t="str">
        <f t="shared" si="2"/>
        <v>benthopelagic</v>
      </c>
      <c r="I23" s="18"/>
      <c r="J23" s="19" t="s">
        <v>204</v>
      </c>
      <c r="K23" s="1" t="str">
        <f t="shared" si="4"/>
        <v>fusiform</v>
      </c>
      <c r="M23" s="17" t="s">
        <v>115</v>
      </c>
      <c r="N23" s="1" t="str">
        <f t="shared" si="1"/>
        <v>Subtropical</v>
      </c>
      <c r="P23" s="18" t="s">
        <v>113</v>
      </c>
      <c r="Q23" s="1" t="s">
        <v>29</v>
      </c>
    </row>
    <row r="24" spans="1:17" x14ac:dyDescent="0.2">
      <c r="A24" s="1" t="s">
        <v>30</v>
      </c>
      <c r="B24" s="1" t="s">
        <v>30</v>
      </c>
      <c r="D24" s="1" t="s">
        <v>30</v>
      </c>
      <c r="E24" s="21">
        <v>44358</v>
      </c>
      <c r="F24" s="1" t="s">
        <v>143</v>
      </c>
      <c r="G24" s="24" t="s">
        <v>114</v>
      </c>
      <c r="H24" s="12" t="str">
        <f t="shared" si="2"/>
        <v>benthopelagic</v>
      </c>
      <c r="I24" s="18"/>
      <c r="J24" s="19" t="s">
        <v>204</v>
      </c>
      <c r="K24" s="1" t="str">
        <f t="shared" si="4"/>
        <v>fusiform</v>
      </c>
      <c r="M24" s="17" t="s">
        <v>115</v>
      </c>
      <c r="N24" s="1" t="str">
        <f t="shared" si="1"/>
        <v>Subtropical</v>
      </c>
      <c r="P24" s="18" t="s">
        <v>125</v>
      </c>
      <c r="Q24" s="1" t="s">
        <v>30</v>
      </c>
    </row>
    <row r="25" spans="1:17" ht="61" customHeight="1" x14ac:dyDescent="0.2">
      <c r="A25" s="1" t="s">
        <v>32</v>
      </c>
      <c r="B25" s="1" t="s">
        <v>32</v>
      </c>
      <c r="D25" s="1" t="s">
        <v>32</v>
      </c>
      <c r="E25" s="21">
        <v>44358</v>
      </c>
      <c r="F25" s="1" t="s">
        <v>144</v>
      </c>
      <c r="G25" s="24" t="s">
        <v>114</v>
      </c>
      <c r="H25" s="12" t="str">
        <f t="shared" si="2"/>
        <v>benthopelagic</v>
      </c>
      <c r="I25" s="18"/>
      <c r="J25" s="45" t="s">
        <v>204</v>
      </c>
      <c r="K25" s="42" t="s">
        <v>219</v>
      </c>
      <c r="L25" s="47" t="s">
        <v>220</v>
      </c>
      <c r="M25" s="17" t="s">
        <v>121</v>
      </c>
      <c r="N25" s="1" t="str">
        <f t="shared" si="1"/>
        <v>Temperate</v>
      </c>
      <c r="P25" s="18" t="s">
        <v>122</v>
      </c>
      <c r="Q25" s="1" t="s">
        <v>32</v>
      </c>
    </row>
    <row r="26" spans="1:17" x14ac:dyDescent="0.2">
      <c r="A26" s="1" t="s">
        <v>33</v>
      </c>
      <c r="B26" s="1" t="s">
        <v>33</v>
      </c>
      <c r="D26" s="1" t="s">
        <v>33</v>
      </c>
      <c r="E26" s="21">
        <v>44358</v>
      </c>
      <c r="F26" s="1" t="s">
        <v>145</v>
      </c>
      <c r="G26" s="24" t="s">
        <v>118</v>
      </c>
      <c r="H26" s="12" t="str">
        <f t="shared" si="2"/>
        <v>reef-associated</v>
      </c>
      <c r="I26" s="18"/>
      <c r="J26" s="19" t="s">
        <v>204</v>
      </c>
      <c r="K26" s="1" t="str">
        <f t="shared" si="4"/>
        <v>fusiform</v>
      </c>
      <c r="M26" s="17" t="s">
        <v>119</v>
      </c>
      <c r="N26" s="1" t="str">
        <f t="shared" si="1"/>
        <v>Tropical</v>
      </c>
      <c r="P26" s="18" t="s">
        <v>117</v>
      </c>
      <c r="Q26" s="1" t="s">
        <v>33</v>
      </c>
    </row>
    <row r="27" spans="1:17" x14ac:dyDescent="0.2">
      <c r="A27" s="1" t="s">
        <v>34</v>
      </c>
      <c r="B27" s="1" t="s">
        <v>34</v>
      </c>
      <c r="D27" s="1" t="s">
        <v>34</v>
      </c>
      <c r="E27" s="21">
        <v>44358</v>
      </c>
      <c r="F27" s="1" t="s">
        <v>146</v>
      </c>
      <c r="G27" s="24" t="s">
        <v>118</v>
      </c>
      <c r="H27" s="12" t="str">
        <f t="shared" si="2"/>
        <v>reef-associated</v>
      </c>
      <c r="I27" s="18"/>
      <c r="J27" s="19" t="s">
        <v>204</v>
      </c>
      <c r="K27" s="1" t="str">
        <f t="shared" si="4"/>
        <v>fusiform</v>
      </c>
      <c r="M27" s="17" t="s">
        <v>119</v>
      </c>
      <c r="N27" s="1" t="str">
        <f t="shared" si="1"/>
        <v>Tropical</v>
      </c>
      <c r="P27" s="18" t="s">
        <v>117</v>
      </c>
      <c r="Q27" s="1" t="s">
        <v>34</v>
      </c>
    </row>
    <row r="28" spans="1:17" x14ac:dyDescent="0.2">
      <c r="A28" s="1" t="s">
        <v>35</v>
      </c>
      <c r="B28" s="1" t="s">
        <v>35</v>
      </c>
      <c r="D28" s="1" t="s">
        <v>35</v>
      </c>
      <c r="E28" s="21">
        <v>44358</v>
      </c>
      <c r="F28" s="1" t="s">
        <v>147</v>
      </c>
      <c r="G28" s="24" t="s">
        <v>126</v>
      </c>
      <c r="H28" s="12" t="str">
        <f t="shared" si="2"/>
        <v>demersal</v>
      </c>
      <c r="I28" s="18"/>
      <c r="J28" s="19" t="s">
        <v>205</v>
      </c>
      <c r="K28" s="1" t="str">
        <f t="shared" si="4"/>
        <v>elongated</v>
      </c>
      <c r="M28" s="17" t="s">
        <v>121</v>
      </c>
      <c r="N28" s="1" t="str">
        <f t="shared" si="1"/>
        <v>Temperate</v>
      </c>
      <c r="P28" s="18" t="s">
        <v>122</v>
      </c>
      <c r="Q28" s="1" t="s">
        <v>35</v>
      </c>
    </row>
    <row r="29" spans="1:17" x14ac:dyDescent="0.2">
      <c r="A29" s="1" t="s">
        <v>36</v>
      </c>
      <c r="B29" s="1" t="s">
        <v>36</v>
      </c>
      <c r="D29" s="1" t="s">
        <v>36</v>
      </c>
      <c r="E29" s="21">
        <v>44358</v>
      </c>
      <c r="F29" s="1" t="s">
        <v>148</v>
      </c>
      <c r="G29" s="24" t="s">
        <v>114</v>
      </c>
      <c r="H29" s="12" t="str">
        <f t="shared" si="2"/>
        <v>benthopelagic</v>
      </c>
      <c r="I29" s="18"/>
      <c r="J29" s="19" t="s">
        <v>204</v>
      </c>
      <c r="K29" s="1" t="str">
        <f t="shared" si="4"/>
        <v>fusiform</v>
      </c>
      <c r="M29" s="17" t="s">
        <v>121</v>
      </c>
      <c r="N29" s="1" t="str">
        <f t="shared" si="1"/>
        <v>Temperate</v>
      </c>
      <c r="P29" s="18" t="s">
        <v>122</v>
      </c>
      <c r="Q29" s="1" t="s">
        <v>36</v>
      </c>
    </row>
    <row r="30" spans="1:17" x14ac:dyDescent="0.2">
      <c r="B30" s="1" t="s">
        <v>92</v>
      </c>
      <c r="D30" s="1" t="s">
        <v>92</v>
      </c>
      <c r="E30" s="21">
        <v>44358</v>
      </c>
      <c r="F30" s="1" t="s">
        <v>149</v>
      </c>
      <c r="G30" s="24" t="s">
        <v>114</v>
      </c>
      <c r="H30" s="12" t="str">
        <f t="shared" si="2"/>
        <v>benthopelagic</v>
      </c>
      <c r="I30" s="18"/>
      <c r="J30" s="19" t="s">
        <v>204</v>
      </c>
      <c r="K30" s="1" t="str">
        <f t="shared" si="4"/>
        <v>fusiform</v>
      </c>
      <c r="M30" s="17" t="s">
        <v>119</v>
      </c>
      <c r="N30" s="1" t="str">
        <f t="shared" si="1"/>
        <v>Tropical</v>
      </c>
      <c r="P30" s="18" t="s">
        <v>113</v>
      </c>
      <c r="Q30" s="1" t="s">
        <v>92</v>
      </c>
    </row>
    <row r="31" spans="1:17" x14ac:dyDescent="0.2">
      <c r="A31" s="1" t="s">
        <v>37</v>
      </c>
      <c r="B31" s="1" t="s">
        <v>37</v>
      </c>
      <c r="D31" s="1" t="s">
        <v>37</v>
      </c>
      <c r="E31" s="21">
        <v>44358</v>
      </c>
      <c r="F31" s="1" t="s">
        <v>150</v>
      </c>
      <c r="G31" s="24" t="s">
        <v>114</v>
      </c>
      <c r="H31" s="12" t="str">
        <f t="shared" si="2"/>
        <v>benthopelagic</v>
      </c>
      <c r="I31" s="18"/>
      <c r="J31" s="19" t="s">
        <v>204</v>
      </c>
      <c r="K31" s="1" t="str">
        <f t="shared" si="4"/>
        <v>fusiform</v>
      </c>
      <c r="M31" s="17" t="s">
        <v>115</v>
      </c>
      <c r="N31" s="1" t="str">
        <f t="shared" si="1"/>
        <v>Subtropical</v>
      </c>
      <c r="P31" s="18" t="s">
        <v>113</v>
      </c>
      <c r="Q31" s="1" t="s">
        <v>37</v>
      </c>
    </row>
    <row r="32" spans="1:17" x14ac:dyDescent="0.2">
      <c r="A32" s="1" t="s">
        <v>38</v>
      </c>
      <c r="B32" s="1" t="s">
        <v>38</v>
      </c>
      <c r="D32" s="1" t="s">
        <v>38</v>
      </c>
      <c r="E32" s="21">
        <v>44358</v>
      </c>
      <c r="F32" s="1" t="s">
        <v>151</v>
      </c>
      <c r="G32" s="24" t="s">
        <v>114</v>
      </c>
      <c r="H32" s="12" t="str">
        <f t="shared" si="2"/>
        <v>benthopelagic</v>
      </c>
      <c r="I32" s="18"/>
      <c r="J32" s="19" t="s">
        <v>204</v>
      </c>
      <c r="K32" s="1" t="str">
        <f t="shared" si="4"/>
        <v>fusiform</v>
      </c>
      <c r="M32" s="17" t="s">
        <v>121</v>
      </c>
      <c r="N32" s="1" t="str">
        <f t="shared" si="1"/>
        <v>Temperate</v>
      </c>
      <c r="P32" s="18" t="s">
        <v>113</v>
      </c>
      <c r="Q32" s="1" t="s">
        <v>38</v>
      </c>
    </row>
    <row r="33" spans="1:17" x14ac:dyDescent="0.2">
      <c r="A33" s="1" t="s">
        <v>39</v>
      </c>
      <c r="B33" s="1" t="s">
        <v>39</v>
      </c>
      <c r="D33" s="1" t="s">
        <v>39</v>
      </c>
      <c r="E33" s="21">
        <v>44358</v>
      </c>
      <c r="F33" s="1" t="s">
        <v>152</v>
      </c>
      <c r="G33" s="24" t="s">
        <v>126</v>
      </c>
      <c r="H33" s="12" t="str">
        <f t="shared" si="2"/>
        <v>demersal</v>
      </c>
      <c r="I33" s="18"/>
      <c r="J33" s="19" t="s">
        <v>204</v>
      </c>
      <c r="K33" s="1" t="str">
        <f t="shared" si="4"/>
        <v>fusiform</v>
      </c>
      <c r="M33" s="17" t="s">
        <v>119</v>
      </c>
      <c r="N33" s="1" t="str">
        <f t="shared" si="1"/>
        <v>Tropical</v>
      </c>
      <c r="P33" s="18" t="s">
        <v>125</v>
      </c>
      <c r="Q33" s="1" t="s">
        <v>39</v>
      </c>
    </row>
    <row r="34" spans="1:17" x14ac:dyDescent="0.2">
      <c r="A34" s="1" t="s">
        <v>41</v>
      </c>
      <c r="B34" s="1" t="s">
        <v>41</v>
      </c>
      <c r="D34" s="1" t="s">
        <v>41</v>
      </c>
      <c r="E34" s="21">
        <v>44358</v>
      </c>
      <c r="F34" s="1" t="s">
        <v>153</v>
      </c>
      <c r="G34" s="24" t="s">
        <v>126</v>
      </c>
      <c r="H34" s="12" t="str">
        <f t="shared" si="2"/>
        <v>demersal</v>
      </c>
      <c r="I34" s="18"/>
      <c r="J34" s="19" t="s">
        <v>204</v>
      </c>
      <c r="K34" s="1" t="str">
        <f t="shared" si="4"/>
        <v>fusiform</v>
      </c>
      <c r="M34" s="17" t="s">
        <v>119</v>
      </c>
      <c r="N34" s="1" t="str">
        <f t="shared" si="1"/>
        <v>Tropical</v>
      </c>
      <c r="P34" s="18" t="s">
        <v>122</v>
      </c>
      <c r="Q34" s="1" t="s">
        <v>41</v>
      </c>
    </row>
    <row r="35" spans="1:17" ht="47" customHeight="1" x14ac:dyDescent="0.2">
      <c r="A35" s="1" t="s">
        <v>43</v>
      </c>
      <c r="B35" s="1" t="s">
        <v>43</v>
      </c>
      <c r="D35" s="1" t="s">
        <v>43</v>
      </c>
      <c r="E35" s="21">
        <v>44358</v>
      </c>
      <c r="F35" s="1" t="s">
        <v>154</v>
      </c>
      <c r="G35" s="24" t="s">
        <v>114</v>
      </c>
      <c r="H35" s="12" t="str">
        <f t="shared" si="2"/>
        <v>benthopelagic</v>
      </c>
      <c r="I35" s="18"/>
      <c r="J35" s="45" t="s">
        <v>207</v>
      </c>
      <c r="K35" s="38" t="s">
        <v>206</v>
      </c>
      <c r="L35" s="48" t="s">
        <v>221</v>
      </c>
      <c r="M35" s="17" t="s">
        <v>115</v>
      </c>
      <c r="N35" s="1" t="str">
        <f t="shared" si="1"/>
        <v>Subtropical</v>
      </c>
      <c r="P35" s="18" t="s">
        <v>122</v>
      </c>
      <c r="Q35" s="1" t="s">
        <v>43</v>
      </c>
    </row>
    <row r="36" spans="1:17" x14ac:dyDescent="0.2">
      <c r="A36" s="1" t="s">
        <v>44</v>
      </c>
      <c r="B36" s="1" t="s">
        <v>44</v>
      </c>
      <c r="D36" s="1" t="s">
        <v>44</v>
      </c>
      <c r="E36" s="21">
        <v>44358</v>
      </c>
      <c r="F36" s="1" t="s">
        <v>155</v>
      </c>
      <c r="G36" s="24" t="s">
        <v>126</v>
      </c>
      <c r="H36" s="12" t="str">
        <f t="shared" si="2"/>
        <v>demersal</v>
      </c>
      <c r="I36" s="18"/>
      <c r="J36" s="19" t="s">
        <v>205</v>
      </c>
      <c r="K36" s="1" t="str">
        <f t="shared" si="4"/>
        <v>elongated</v>
      </c>
      <c r="M36" s="17" t="s">
        <v>121</v>
      </c>
      <c r="N36" s="1" t="str">
        <f t="shared" ref="N36:N67" si="5">M36</f>
        <v>Temperate</v>
      </c>
      <c r="P36" s="18" t="s">
        <v>122</v>
      </c>
      <c r="Q36" s="1" t="s">
        <v>44</v>
      </c>
    </row>
    <row r="37" spans="1:17" x14ac:dyDescent="0.2">
      <c r="A37" s="1" t="s">
        <v>45</v>
      </c>
      <c r="D37" s="1" t="s">
        <v>45</v>
      </c>
      <c r="E37" s="21">
        <v>44358</v>
      </c>
      <c r="F37" s="1" t="s">
        <v>156</v>
      </c>
      <c r="G37" s="24" t="s">
        <v>126</v>
      </c>
      <c r="H37" s="12" t="str">
        <f t="shared" si="2"/>
        <v>demersal</v>
      </c>
      <c r="I37" s="18"/>
      <c r="J37" s="19" t="s">
        <v>205</v>
      </c>
      <c r="K37" s="1" t="str">
        <f t="shared" si="4"/>
        <v>elongated</v>
      </c>
      <c r="M37" s="17" t="s">
        <v>115</v>
      </c>
      <c r="N37" s="1" t="str">
        <f t="shared" si="5"/>
        <v>Subtropical</v>
      </c>
      <c r="P37" s="18" t="s">
        <v>113</v>
      </c>
      <c r="Q37" s="1" t="s">
        <v>45</v>
      </c>
    </row>
    <row r="38" spans="1:17" x14ac:dyDescent="0.2">
      <c r="A38" s="1" t="s">
        <v>46</v>
      </c>
      <c r="B38" s="1" t="s">
        <v>46</v>
      </c>
      <c r="D38" s="1" t="s">
        <v>46</v>
      </c>
      <c r="E38" s="21">
        <v>44358</v>
      </c>
      <c r="F38" s="1" t="s">
        <v>157</v>
      </c>
      <c r="G38" s="24" t="s">
        <v>126</v>
      </c>
      <c r="H38" s="12" t="str">
        <f t="shared" si="2"/>
        <v>demersal</v>
      </c>
      <c r="I38" s="18"/>
      <c r="J38" s="19" t="s">
        <v>204</v>
      </c>
      <c r="K38" s="1" t="str">
        <f t="shared" si="4"/>
        <v>fusiform</v>
      </c>
      <c r="M38" s="17" t="s">
        <v>115</v>
      </c>
      <c r="N38" s="1" t="str">
        <f t="shared" si="5"/>
        <v>Subtropical</v>
      </c>
      <c r="P38" s="18" t="s">
        <v>113</v>
      </c>
      <c r="Q38" s="1" t="s">
        <v>46</v>
      </c>
    </row>
    <row r="39" spans="1:17" x14ac:dyDescent="0.2">
      <c r="A39" s="1" t="s">
        <v>48</v>
      </c>
      <c r="B39" s="1" t="s">
        <v>48</v>
      </c>
      <c r="D39" s="1" t="s">
        <v>48</v>
      </c>
      <c r="E39" s="21">
        <v>44358</v>
      </c>
      <c r="F39" s="1" t="s">
        <v>158</v>
      </c>
      <c r="G39" s="24" t="s">
        <v>126</v>
      </c>
      <c r="H39" s="12" t="str">
        <f t="shared" si="2"/>
        <v>demersal</v>
      </c>
      <c r="I39" s="18"/>
      <c r="J39" s="19" t="s">
        <v>204</v>
      </c>
      <c r="K39" s="1" t="str">
        <f t="shared" si="4"/>
        <v>fusiform</v>
      </c>
      <c r="M39" s="17" t="s">
        <v>115</v>
      </c>
      <c r="N39" s="1" t="str">
        <f t="shared" si="5"/>
        <v>Subtropical</v>
      </c>
      <c r="P39" s="18" t="s">
        <v>122</v>
      </c>
      <c r="Q39" s="1" t="s">
        <v>48</v>
      </c>
    </row>
    <row r="40" spans="1:17" x14ac:dyDescent="0.2">
      <c r="A40" s="1" t="s">
        <v>49</v>
      </c>
      <c r="B40" s="1" t="s">
        <v>49</v>
      </c>
      <c r="D40" s="1" t="s">
        <v>49</v>
      </c>
      <c r="E40" s="21">
        <v>44358</v>
      </c>
      <c r="F40" s="1" t="s">
        <v>159</v>
      </c>
      <c r="G40" s="24" t="s">
        <v>126</v>
      </c>
      <c r="H40" s="12" t="str">
        <f t="shared" si="2"/>
        <v>demersal</v>
      </c>
      <c r="I40" s="18"/>
      <c r="J40" s="19" t="s">
        <v>204</v>
      </c>
      <c r="K40" s="1" t="str">
        <f t="shared" si="4"/>
        <v>fusiform</v>
      </c>
      <c r="M40" s="17" t="s">
        <v>121</v>
      </c>
      <c r="N40" s="1" t="str">
        <f t="shared" si="5"/>
        <v>Temperate</v>
      </c>
      <c r="P40" s="18" t="s">
        <v>125</v>
      </c>
      <c r="Q40" s="1" t="s">
        <v>49</v>
      </c>
    </row>
    <row r="41" spans="1:17" x14ac:dyDescent="0.2">
      <c r="A41" s="1" t="s">
        <v>50</v>
      </c>
      <c r="D41" s="1" t="s">
        <v>50</v>
      </c>
      <c r="E41" s="21">
        <v>44358</v>
      </c>
      <c r="F41" s="1" t="s">
        <v>160</v>
      </c>
      <c r="G41" s="24" t="s">
        <v>126</v>
      </c>
      <c r="H41" s="12" t="str">
        <f t="shared" si="2"/>
        <v>demersal</v>
      </c>
      <c r="I41" s="18"/>
      <c r="J41" s="19" t="s">
        <v>204</v>
      </c>
      <c r="K41" s="1" t="str">
        <f t="shared" si="4"/>
        <v>fusiform</v>
      </c>
      <c r="M41" s="17" t="s">
        <v>131</v>
      </c>
      <c r="N41" s="1" t="str">
        <f t="shared" si="5"/>
        <v>Polar</v>
      </c>
      <c r="P41" s="18" t="s">
        <v>117</v>
      </c>
      <c r="Q41" s="1" t="s">
        <v>50</v>
      </c>
    </row>
    <row r="42" spans="1:17" x14ac:dyDescent="0.2">
      <c r="A42" s="1" t="s">
        <v>51</v>
      </c>
      <c r="B42" s="1" t="s">
        <v>51</v>
      </c>
      <c r="D42" s="1" t="s">
        <v>51</v>
      </c>
      <c r="E42" s="21">
        <v>44358</v>
      </c>
      <c r="F42" s="1" t="s">
        <v>162</v>
      </c>
      <c r="G42" s="24" t="s">
        <v>161</v>
      </c>
      <c r="H42" s="12" t="str">
        <f t="shared" si="2"/>
        <v>pelagic</v>
      </c>
      <c r="I42" s="40"/>
      <c r="J42" s="19" t="s">
        <v>204</v>
      </c>
      <c r="K42" s="1" t="str">
        <f t="shared" si="4"/>
        <v>fusiform</v>
      </c>
      <c r="M42" s="17" t="s">
        <v>115</v>
      </c>
      <c r="N42" s="1" t="str">
        <f t="shared" si="5"/>
        <v>Subtropical</v>
      </c>
      <c r="P42" s="18" t="s">
        <v>125</v>
      </c>
      <c r="Q42" s="1" t="s">
        <v>51</v>
      </c>
    </row>
    <row r="43" spans="1:17" x14ac:dyDescent="0.2">
      <c r="A43" s="1" t="s">
        <v>52</v>
      </c>
      <c r="B43" s="1" t="s">
        <v>52</v>
      </c>
      <c r="D43" s="1" t="s">
        <v>52</v>
      </c>
      <c r="E43" s="21">
        <v>44358</v>
      </c>
      <c r="F43" s="1" t="s">
        <v>163</v>
      </c>
      <c r="G43" s="24" t="s">
        <v>114</v>
      </c>
      <c r="H43" s="12" t="str">
        <f t="shared" si="2"/>
        <v>benthopelagic</v>
      </c>
      <c r="I43" s="18"/>
      <c r="J43" s="19" t="s">
        <v>204</v>
      </c>
      <c r="K43" s="1" t="str">
        <f t="shared" si="4"/>
        <v>fusiform</v>
      </c>
      <c r="M43" s="17" t="s">
        <v>115</v>
      </c>
      <c r="N43" s="1" t="str">
        <f t="shared" si="5"/>
        <v>Subtropical</v>
      </c>
      <c r="P43" s="18" t="s">
        <v>125</v>
      </c>
      <c r="Q43" s="1" t="s">
        <v>52</v>
      </c>
    </row>
    <row r="44" spans="1:17" ht="48" customHeight="1" x14ac:dyDescent="0.2">
      <c r="A44" s="1" t="s">
        <v>54</v>
      </c>
      <c r="B44" s="1" t="s">
        <v>54</v>
      </c>
      <c r="D44" s="1" t="s">
        <v>54</v>
      </c>
      <c r="E44" s="21">
        <v>44358</v>
      </c>
      <c r="F44" s="1" t="s">
        <v>164</v>
      </c>
      <c r="G44" s="39" t="s">
        <v>165</v>
      </c>
      <c r="H44" s="38" t="s">
        <v>161</v>
      </c>
      <c r="I44" s="41" t="s">
        <v>218</v>
      </c>
      <c r="J44" s="19" t="s">
        <v>204</v>
      </c>
      <c r="K44" s="1" t="str">
        <f t="shared" si="4"/>
        <v>fusiform</v>
      </c>
      <c r="M44" s="17" t="s">
        <v>121</v>
      </c>
      <c r="N44" s="1" t="str">
        <f t="shared" si="5"/>
        <v>Temperate</v>
      </c>
      <c r="P44" s="18" t="s">
        <v>125</v>
      </c>
      <c r="Q44" s="1" t="s">
        <v>54</v>
      </c>
    </row>
    <row r="45" spans="1:17" x14ac:dyDescent="0.2">
      <c r="A45" s="1" t="s">
        <v>55</v>
      </c>
      <c r="B45" s="1" t="s">
        <v>55</v>
      </c>
      <c r="D45" s="1" t="s">
        <v>55</v>
      </c>
      <c r="E45" s="21">
        <v>44358</v>
      </c>
      <c r="F45" s="1" t="s">
        <v>166</v>
      </c>
      <c r="G45" s="24" t="s">
        <v>114</v>
      </c>
      <c r="H45" s="12" t="str">
        <f t="shared" si="2"/>
        <v>benthopelagic</v>
      </c>
      <c r="I45" s="18"/>
      <c r="J45" s="19" t="s">
        <v>204</v>
      </c>
      <c r="K45" s="1" t="str">
        <f t="shared" si="4"/>
        <v>fusiform</v>
      </c>
      <c r="M45" s="17" t="s">
        <v>115</v>
      </c>
      <c r="N45" s="1" t="str">
        <f t="shared" si="5"/>
        <v>Subtropical</v>
      </c>
      <c r="P45" s="18" t="s">
        <v>125</v>
      </c>
      <c r="Q45" s="1" t="s">
        <v>55</v>
      </c>
    </row>
    <row r="46" spans="1:17" x14ac:dyDescent="0.2">
      <c r="B46" s="1" t="s">
        <v>95</v>
      </c>
      <c r="D46" s="1" t="s">
        <v>95</v>
      </c>
      <c r="E46" s="21">
        <v>44358</v>
      </c>
      <c r="F46" s="1" t="s">
        <v>168</v>
      </c>
      <c r="G46" s="24" t="s">
        <v>114</v>
      </c>
      <c r="H46" s="12" t="str">
        <f t="shared" si="2"/>
        <v>benthopelagic</v>
      </c>
      <c r="I46" s="18"/>
      <c r="J46" s="19" t="s">
        <v>205</v>
      </c>
      <c r="K46" s="1" t="str">
        <f t="shared" si="4"/>
        <v>elongated</v>
      </c>
      <c r="M46" s="17" t="s">
        <v>115</v>
      </c>
      <c r="N46" s="1" t="str">
        <f t="shared" si="5"/>
        <v>Subtropical</v>
      </c>
      <c r="P46" s="18" t="s">
        <v>122</v>
      </c>
      <c r="Q46" s="1" t="s">
        <v>95</v>
      </c>
    </row>
    <row r="47" spans="1:17" x14ac:dyDescent="0.2">
      <c r="B47" s="1" t="s">
        <v>96</v>
      </c>
      <c r="D47" s="1" t="s">
        <v>96</v>
      </c>
      <c r="E47" s="21">
        <v>44358</v>
      </c>
      <c r="F47" s="1" t="s">
        <v>169</v>
      </c>
      <c r="G47" s="24" t="s">
        <v>114</v>
      </c>
      <c r="H47" s="12" t="str">
        <f t="shared" si="2"/>
        <v>benthopelagic</v>
      </c>
      <c r="I47" s="18"/>
      <c r="J47" s="19" t="s">
        <v>204</v>
      </c>
      <c r="K47" s="1" t="str">
        <f t="shared" si="4"/>
        <v>fusiform</v>
      </c>
      <c r="M47" s="17" t="s">
        <v>121</v>
      </c>
      <c r="N47" s="1" t="str">
        <f t="shared" si="5"/>
        <v>Temperate</v>
      </c>
      <c r="P47" s="18" t="s">
        <v>122</v>
      </c>
      <c r="Q47" s="1" t="s">
        <v>96</v>
      </c>
    </row>
    <row r="48" spans="1:17" x14ac:dyDescent="0.2">
      <c r="B48" s="1" t="s">
        <v>97</v>
      </c>
      <c r="D48" s="1" t="s">
        <v>97</v>
      </c>
      <c r="E48" s="21">
        <v>44358</v>
      </c>
      <c r="F48" s="1" t="s">
        <v>170</v>
      </c>
      <c r="G48" s="24" t="s">
        <v>114</v>
      </c>
      <c r="H48" s="12" t="str">
        <f t="shared" si="2"/>
        <v>benthopelagic</v>
      </c>
      <c r="I48" s="18"/>
      <c r="J48" s="19" t="s">
        <v>204</v>
      </c>
      <c r="K48" s="1" t="str">
        <f t="shared" si="4"/>
        <v>fusiform</v>
      </c>
      <c r="M48" s="17" t="s">
        <v>171</v>
      </c>
      <c r="N48" s="1" t="str">
        <f t="shared" si="5"/>
        <v>tropical</v>
      </c>
      <c r="P48" s="18" t="s">
        <v>113</v>
      </c>
      <c r="Q48" s="1" t="s">
        <v>97</v>
      </c>
    </row>
    <row r="49" spans="1:17" x14ac:dyDescent="0.2">
      <c r="B49" s="1" t="s">
        <v>98</v>
      </c>
      <c r="D49" s="1" t="s">
        <v>98</v>
      </c>
      <c r="E49" s="21">
        <v>44358</v>
      </c>
      <c r="F49" s="1" t="s">
        <v>173</v>
      </c>
      <c r="G49" s="24" t="s">
        <v>114</v>
      </c>
      <c r="H49" s="12" t="str">
        <f t="shared" si="2"/>
        <v>benthopelagic</v>
      </c>
      <c r="I49" s="18"/>
      <c r="J49" s="19" t="s">
        <v>206</v>
      </c>
      <c r="K49" s="1" t="str">
        <f t="shared" si="4"/>
        <v>short/deep</v>
      </c>
      <c r="M49" s="17" t="s">
        <v>121</v>
      </c>
      <c r="N49" s="1" t="str">
        <f t="shared" si="5"/>
        <v>Temperate</v>
      </c>
      <c r="P49" s="18" t="s">
        <v>113</v>
      </c>
      <c r="Q49" s="1" t="s">
        <v>98</v>
      </c>
    </row>
    <row r="50" spans="1:17" x14ac:dyDescent="0.2">
      <c r="A50" s="1" t="s">
        <v>56</v>
      </c>
      <c r="B50" s="1" t="s">
        <v>56</v>
      </c>
      <c r="D50" s="1" t="s">
        <v>56</v>
      </c>
      <c r="E50" s="21">
        <v>44358</v>
      </c>
      <c r="F50" s="1" t="s">
        <v>172</v>
      </c>
      <c r="G50" s="24" t="s">
        <v>126</v>
      </c>
      <c r="H50" s="12" t="str">
        <f t="shared" si="2"/>
        <v>demersal</v>
      </c>
      <c r="I50" s="18"/>
      <c r="J50" s="19" t="s">
        <v>204</v>
      </c>
      <c r="K50" s="1" t="str">
        <f t="shared" si="4"/>
        <v>fusiform</v>
      </c>
      <c r="M50" s="17" t="s">
        <v>115</v>
      </c>
      <c r="N50" s="1" t="str">
        <f t="shared" si="5"/>
        <v>Subtropical</v>
      </c>
      <c r="P50" s="18" t="s">
        <v>117</v>
      </c>
      <c r="Q50" s="1" t="s">
        <v>56</v>
      </c>
    </row>
    <row r="51" spans="1:17" x14ac:dyDescent="0.2">
      <c r="A51" s="1" t="s">
        <v>57</v>
      </c>
      <c r="B51" s="1" t="s">
        <v>57</v>
      </c>
      <c r="D51" s="1" t="s">
        <v>57</v>
      </c>
      <c r="E51" s="21">
        <v>44358</v>
      </c>
      <c r="F51" s="1" t="s">
        <v>175</v>
      </c>
      <c r="G51" s="24" t="s">
        <v>126</v>
      </c>
      <c r="H51" s="12" t="str">
        <f t="shared" si="2"/>
        <v>demersal</v>
      </c>
      <c r="I51" s="18"/>
      <c r="J51" s="19" t="s">
        <v>204</v>
      </c>
      <c r="K51" s="1" t="str">
        <f t="shared" si="4"/>
        <v>fusiform</v>
      </c>
      <c r="M51" s="17" t="s">
        <v>121</v>
      </c>
      <c r="N51" s="1" t="str">
        <f t="shared" si="5"/>
        <v>Temperate</v>
      </c>
      <c r="P51" s="18" t="s">
        <v>113</v>
      </c>
      <c r="Q51" s="1" t="s">
        <v>57</v>
      </c>
    </row>
    <row r="52" spans="1:17" x14ac:dyDescent="0.2">
      <c r="A52" s="1" t="s">
        <v>59</v>
      </c>
      <c r="B52" s="1" t="s">
        <v>59</v>
      </c>
      <c r="D52" s="1" t="s">
        <v>59</v>
      </c>
      <c r="E52" s="21">
        <v>44358</v>
      </c>
      <c r="F52" s="1" t="s">
        <v>174</v>
      </c>
      <c r="G52" s="24" t="s">
        <v>114</v>
      </c>
      <c r="H52" s="12" t="str">
        <f t="shared" si="2"/>
        <v>benthopelagic</v>
      </c>
      <c r="I52" s="18"/>
      <c r="J52" s="19" t="s">
        <v>205</v>
      </c>
      <c r="K52" s="1" t="str">
        <f t="shared" si="4"/>
        <v>elongated</v>
      </c>
      <c r="M52" s="17" t="s">
        <v>115</v>
      </c>
      <c r="N52" s="1" t="str">
        <f t="shared" si="5"/>
        <v>Subtropical</v>
      </c>
      <c r="P52" s="18" t="s">
        <v>122</v>
      </c>
      <c r="Q52" s="1" t="s">
        <v>59</v>
      </c>
    </row>
    <row r="53" spans="1:17" x14ac:dyDescent="0.2">
      <c r="A53" s="1" t="s">
        <v>60</v>
      </c>
      <c r="B53" s="1" t="s">
        <v>60</v>
      </c>
      <c r="D53" s="1" t="s">
        <v>60</v>
      </c>
      <c r="E53" s="21">
        <v>44358</v>
      </c>
      <c r="F53" s="1" t="s">
        <v>176</v>
      </c>
      <c r="G53" s="24" t="s">
        <v>126</v>
      </c>
      <c r="H53" s="12" t="str">
        <f t="shared" si="2"/>
        <v>demersal</v>
      </c>
      <c r="I53" s="18"/>
      <c r="J53" s="19" t="s">
        <v>204</v>
      </c>
      <c r="K53" s="1" t="str">
        <f t="shared" si="4"/>
        <v>fusiform</v>
      </c>
      <c r="M53" s="17" t="s">
        <v>121</v>
      </c>
      <c r="N53" s="1" t="str">
        <f t="shared" si="5"/>
        <v>Temperate</v>
      </c>
      <c r="P53" s="18" t="s">
        <v>113</v>
      </c>
      <c r="Q53" s="1" t="s">
        <v>60</v>
      </c>
    </row>
    <row r="54" spans="1:17" x14ac:dyDescent="0.2">
      <c r="A54" s="1" t="s">
        <v>62</v>
      </c>
      <c r="D54" s="1" t="s">
        <v>62</v>
      </c>
      <c r="E54" s="21">
        <v>44358</v>
      </c>
      <c r="F54" s="1" t="s">
        <v>178</v>
      </c>
      <c r="G54" s="24" t="s">
        <v>126</v>
      </c>
      <c r="H54" s="12" t="str">
        <f t="shared" si="2"/>
        <v>demersal</v>
      </c>
      <c r="I54" s="18"/>
      <c r="J54" s="19" t="s">
        <v>204</v>
      </c>
      <c r="K54" s="1" t="str">
        <f t="shared" si="4"/>
        <v>fusiform</v>
      </c>
      <c r="M54" s="17" t="s">
        <v>115</v>
      </c>
      <c r="N54" s="1" t="str">
        <f t="shared" si="5"/>
        <v>Subtropical</v>
      </c>
      <c r="P54" s="18" t="s">
        <v>117</v>
      </c>
      <c r="Q54" s="1" t="s">
        <v>62</v>
      </c>
    </row>
    <row r="55" spans="1:17" x14ac:dyDescent="0.2">
      <c r="B55" s="1" t="s">
        <v>101</v>
      </c>
      <c r="D55" s="1" t="s">
        <v>101</v>
      </c>
      <c r="E55" s="21">
        <v>44358</v>
      </c>
      <c r="F55" s="1" t="s">
        <v>177</v>
      </c>
      <c r="G55" s="24" t="s">
        <v>126</v>
      </c>
      <c r="H55" s="12" t="str">
        <f t="shared" si="2"/>
        <v>demersal</v>
      </c>
      <c r="I55" s="18"/>
      <c r="J55" s="19" t="s">
        <v>206</v>
      </c>
      <c r="K55" s="1" t="str">
        <f t="shared" si="4"/>
        <v>short/deep</v>
      </c>
      <c r="M55" s="17" t="s">
        <v>115</v>
      </c>
      <c r="N55" s="1" t="str">
        <f t="shared" si="5"/>
        <v>Subtropical</v>
      </c>
      <c r="P55" s="18" t="s">
        <v>122</v>
      </c>
      <c r="Q55" s="1" t="s">
        <v>101</v>
      </c>
    </row>
    <row r="56" spans="1:17" x14ac:dyDescent="0.2">
      <c r="B56" s="1" t="s">
        <v>102</v>
      </c>
      <c r="D56" s="1" t="s">
        <v>102</v>
      </c>
      <c r="E56" s="21">
        <v>44358</v>
      </c>
      <c r="F56" s="1" t="s">
        <v>180</v>
      </c>
      <c r="G56" s="24" t="s">
        <v>114</v>
      </c>
      <c r="H56" s="12" t="str">
        <f t="shared" si="2"/>
        <v>benthopelagic</v>
      </c>
      <c r="I56" s="18"/>
      <c r="J56" s="19" t="s">
        <v>204</v>
      </c>
      <c r="K56" s="1" t="str">
        <f t="shared" si="4"/>
        <v>fusiform</v>
      </c>
      <c r="M56" s="17" t="s">
        <v>119</v>
      </c>
      <c r="N56" s="1" t="str">
        <f t="shared" si="5"/>
        <v>Tropical</v>
      </c>
      <c r="P56" s="18" t="s">
        <v>113</v>
      </c>
      <c r="Q56" s="1" t="s">
        <v>102</v>
      </c>
    </row>
    <row r="57" spans="1:17" x14ac:dyDescent="0.2">
      <c r="A57" s="1" t="s">
        <v>64</v>
      </c>
      <c r="B57" s="1" t="s">
        <v>64</v>
      </c>
      <c r="D57" s="1" t="s">
        <v>64</v>
      </c>
      <c r="E57" s="21">
        <v>44358</v>
      </c>
      <c r="F57" s="1" t="s">
        <v>179</v>
      </c>
      <c r="G57" s="24" t="s">
        <v>118</v>
      </c>
      <c r="H57" s="12" t="str">
        <f t="shared" si="2"/>
        <v>reef-associated</v>
      </c>
      <c r="I57" s="18"/>
      <c r="J57" s="19" t="s">
        <v>206</v>
      </c>
      <c r="K57" s="1" t="str">
        <f t="shared" si="4"/>
        <v>short/deep</v>
      </c>
      <c r="M57" s="17" t="s">
        <v>119</v>
      </c>
      <c r="N57" s="1" t="str">
        <f t="shared" si="5"/>
        <v>Tropical</v>
      </c>
      <c r="P57" s="18" t="s">
        <v>117</v>
      </c>
      <c r="Q57" s="1" t="s">
        <v>64</v>
      </c>
    </row>
    <row r="58" spans="1:17" x14ac:dyDescent="0.2">
      <c r="A58" s="1" t="s">
        <v>65</v>
      </c>
      <c r="B58" s="1" t="s">
        <v>65</v>
      </c>
      <c r="D58" s="1" t="s">
        <v>65</v>
      </c>
      <c r="E58" s="21">
        <v>44358</v>
      </c>
      <c r="F58" s="1" t="s">
        <v>184</v>
      </c>
      <c r="G58" s="24" t="s">
        <v>114</v>
      </c>
      <c r="H58" s="12" t="str">
        <f t="shared" si="2"/>
        <v>benthopelagic</v>
      </c>
      <c r="I58" s="18"/>
      <c r="J58" s="19" t="s">
        <v>205</v>
      </c>
      <c r="K58" s="1" t="str">
        <f t="shared" si="4"/>
        <v>elongated</v>
      </c>
      <c r="M58" s="17" t="s">
        <v>115</v>
      </c>
      <c r="N58" s="1" t="str">
        <f t="shared" si="5"/>
        <v>Subtropical</v>
      </c>
      <c r="P58" s="18" t="s">
        <v>122</v>
      </c>
      <c r="Q58" s="1" t="s">
        <v>65</v>
      </c>
    </row>
    <row r="59" spans="1:17" x14ac:dyDescent="0.2">
      <c r="A59" s="1" t="s">
        <v>66</v>
      </c>
      <c r="B59" s="1" t="s">
        <v>66</v>
      </c>
      <c r="D59" s="1" t="s">
        <v>66</v>
      </c>
      <c r="E59" s="21">
        <v>44358</v>
      </c>
      <c r="F59" s="1" t="s">
        <v>181</v>
      </c>
      <c r="G59" s="24" t="s">
        <v>126</v>
      </c>
      <c r="H59" s="12" t="str">
        <f t="shared" si="2"/>
        <v>demersal</v>
      </c>
      <c r="I59" s="18"/>
      <c r="J59" s="19" t="s">
        <v>205</v>
      </c>
      <c r="K59" s="1" t="str">
        <f t="shared" si="4"/>
        <v>elongated</v>
      </c>
      <c r="M59" s="17" t="s">
        <v>115</v>
      </c>
      <c r="N59" s="1" t="str">
        <f t="shared" si="5"/>
        <v>Subtropical</v>
      </c>
      <c r="P59" s="18" t="s">
        <v>122</v>
      </c>
      <c r="Q59" s="1" t="s">
        <v>66</v>
      </c>
    </row>
    <row r="60" spans="1:17" x14ac:dyDescent="0.2">
      <c r="A60" s="1" t="s">
        <v>67</v>
      </c>
      <c r="B60" s="1" t="s">
        <v>67</v>
      </c>
      <c r="D60" s="1" t="s">
        <v>67</v>
      </c>
      <c r="E60" s="21">
        <v>44358</v>
      </c>
      <c r="F60" s="1" t="s">
        <v>182</v>
      </c>
      <c r="G60" s="24" t="s">
        <v>114</v>
      </c>
      <c r="H60" s="12" t="str">
        <f t="shared" si="2"/>
        <v>benthopelagic</v>
      </c>
      <c r="I60" s="18"/>
      <c r="J60" s="19" t="s">
        <v>204</v>
      </c>
      <c r="K60" s="1" t="str">
        <f t="shared" si="4"/>
        <v>fusiform</v>
      </c>
      <c r="M60" s="17" t="s">
        <v>121</v>
      </c>
      <c r="N60" s="1" t="str">
        <f t="shared" si="5"/>
        <v>Temperate</v>
      </c>
      <c r="P60" s="18" t="s">
        <v>113</v>
      </c>
      <c r="Q60" s="1" t="s">
        <v>67</v>
      </c>
    </row>
    <row r="61" spans="1:17" x14ac:dyDescent="0.2">
      <c r="A61" s="1" t="s">
        <v>68</v>
      </c>
      <c r="B61" s="1" t="s">
        <v>68</v>
      </c>
      <c r="D61" s="1" t="s">
        <v>68</v>
      </c>
      <c r="E61" s="21">
        <v>44358</v>
      </c>
      <c r="F61" s="1" t="s">
        <v>183</v>
      </c>
      <c r="G61" s="24" t="s">
        <v>126</v>
      </c>
      <c r="H61" s="12" t="str">
        <f t="shared" si="2"/>
        <v>demersal</v>
      </c>
      <c r="I61" s="18"/>
      <c r="J61" s="19" t="s">
        <v>204</v>
      </c>
      <c r="K61" s="1" t="str">
        <f t="shared" si="4"/>
        <v>fusiform</v>
      </c>
      <c r="M61" s="17" t="s">
        <v>115</v>
      </c>
      <c r="N61" s="1" t="str">
        <f t="shared" si="5"/>
        <v>Subtropical</v>
      </c>
      <c r="P61" s="18" t="s">
        <v>125</v>
      </c>
      <c r="Q61" s="1" t="s">
        <v>68</v>
      </c>
    </row>
    <row r="62" spans="1:17" x14ac:dyDescent="0.2">
      <c r="A62" s="1" t="s">
        <v>69</v>
      </c>
      <c r="B62" s="1" t="s">
        <v>69</v>
      </c>
      <c r="D62" s="1" t="s">
        <v>69</v>
      </c>
      <c r="E62" s="21">
        <v>44358</v>
      </c>
      <c r="F62" s="10" t="s">
        <v>185</v>
      </c>
      <c r="G62" s="24" t="s">
        <v>114</v>
      </c>
      <c r="H62" s="12" t="str">
        <f t="shared" si="2"/>
        <v>benthopelagic</v>
      </c>
      <c r="I62" s="18"/>
      <c r="J62" s="19" t="s">
        <v>204</v>
      </c>
      <c r="K62" s="1" t="str">
        <f t="shared" si="4"/>
        <v>fusiform</v>
      </c>
      <c r="M62" s="17" t="s">
        <v>115</v>
      </c>
      <c r="N62" s="1" t="str">
        <f t="shared" si="5"/>
        <v>Subtropical</v>
      </c>
      <c r="P62" s="18" t="s">
        <v>113</v>
      </c>
      <c r="Q62" s="1" t="s">
        <v>69</v>
      </c>
    </row>
    <row r="63" spans="1:17" x14ac:dyDescent="0.2">
      <c r="B63" s="1" t="s">
        <v>103</v>
      </c>
      <c r="D63" s="1" t="s">
        <v>103</v>
      </c>
      <c r="E63" s="21">
        <v>44358</v>
      </c>
      <c r="F63" s="1" t="s">
        <v>187</v>
      </c>
      <c r="G63" s="24" t="s">
        <v>114</v>
      </c>
      <c r="H63" s="12" t="str">
        <f t="shared" si="2"/>
        <v>benthopelagic</v>
      </c>
      <c r="I63" s="18"/>
      <c r="J63" s="19" t="s">
        <v>204</v>
      </c>
      <c r="K63" s="1" t="str">
        <f t="shared" si="4"/>
        <v>fusiform</v>
      </c>
      <c r="M63" s="17" t="s">
        <v>115</v>
      </c>
      <c r="N63" s="1" t="str">
        <f t="shared" si="5"/>
        <v>Subtropical</v>
      </c>
      <c r="P63" s="18" t="s">
        <v>113</v>
      </c>
      <c r="Q63" s="1" t="s">
        <v>103</v>
      </c>
    </row>
    <row r="64" spans="1:17" x14ac:dyDescent="0.2">
      <c r="A64" s="1" t="s">
        <v>70</v>
      </c>
      <c r="D64" s="1" t="s">
        <v>70</v>
      </c>
      <c r="E64" s="21">
        <v>44358</v>
      </c>
      <c r="F64" s="1" t="s">
        <v>186</v>
      </c>
      <c r="G64" s="24" t="s">
        <v>114</v>
      </c>
      <c r="H64" s="12" t="str">
        <f t="shared" si="2"/>
        <v>benthopelagic</v>
      </c>
      <c r="I64" s="18"/>
      <c r="J64" s="19" t="s">
        <v>204</v>
      </c>
      <c r="K64" s="1" t="str">
        <f t="shared" si="4"/>
        <v>fusiform</v>
      </c>
      <c r="M64" s="17" t="s">
        <v>121</v>
      </c>
      <c r="N64" s="1" t="str">
        <f t="shared" si="5"/>
        <v>Temperate</v>
      </c>
      <c r="P64" s="18" t="s">
        <v>125</v>
      </c>
      <c r="Q64" s="1" t="s">
        <v>70</v>
      </c>
    </row>
    <row r="65" spans="1:17" ht="51" x14ac:dyDescent="0.2">
      <c r="A65" s="1" t="s">
        <v>72</v>
      </c>
      <c r="B65" s="1" t="s">
        <v>72</v>
      </c>
      <c r="D65" s="1" t="s">
        <v>72</v>
      </c>
      <c r="E65" s="21">
        <v>44358</v>
      </c>
      <c r="F65" s="1" t="s">
        <v>188</v>
      </c>
      <c r="G65" s="39" t="s">
        <v>189</v>
      </c>
      <c r="H65" s="38" t="s">
        <v>161</v>
      </c>
      <c r="I65" s="41" t="s">
        <v>218</v>
      </c>
      <c r="J65" s="19" t="s">
        <v>204</v>
      </c>
      <c r="K65" s="1" t="str">
        <f t="shared" si="4"/>
        <v>fusiform</v>
      </c>
      <c r="M65" s="17" t="s">
        <v>115</v>
      </c>
      <c r="N65" s="1" t="str">
        <f t="shared" si="5"/>
        <v>Subtropical</v>
      </c>
      <c r="P65" s="18" t="s">
        <v>125</v>
      </c>
      <c r="Q65" s="1" t="s">
        <v>72</v>
      </c>
    </row>
    <row r="66" spans="1:17" x14ac:dyDescent="0.2">
      <c r="A66" s="1" t="s">
        <v>74</v>
      </c>
      <c r="D66" s="1" t="s">
        <v>74</v>
      </c>
      <c r="E66" s="21">
        <v>44358</v>
      </c>
      <c r="F66" s="1" t="s">
        <v>190</v>
      </c>
      <c r="G66" s="24" t="s">
        <v>114</v>
      </c>
      <c r="H66" s="12" t="str">
        <f t="shared" si="2"/>
        <v>benthopelagic</v>
      </c>
      <c r="I66" s="18"/>
      <c r="J66" s="19" t="s">
        <v>204</v>
      </c>
      <c r="K66" s="1" t="str">
        <f t="shared" si="4"/>
        <v>fusiform</v>
      </c>
      <c r="M66" s="17" t="s">
        <v>121</v>
      </c>
      <c r="N66" s="1" t="str">
        <f t="shared" si="5"/>
        <v>Temperate</v>
      </c>
      <c r="P66" s="18" t="s">
        <v>125</v>
      </c>
      <c r="Q66" s="1" t="s">
        <v>74</v>
      </c>
    </row>
    <row r="67" spans="1:17" x14ac:dyDescent="0.2">
      <c r="B67" s="1" t="s">
        <v>105</v>
      </c>
      <c r="D67" s="1" t="s">
        <v>105</v>
      </c>
      <c r="E67" s="21">
        <v>44358</v>
      </c>
      <c r="F67" s="1" t="s">
        <v>191</v>
      </c>
      <c r="G67" s="24" t="s">
        <v>114</v>
      </c>
      <c r="H67" s="12" t="str">
        <f t="shared" si="2"/>
        <v>benthopelagic</v>
      </c>
      <c r="I67" s="18"/>
      <c r="J67" s="19" t="s">
        <v>204</v>
      </c>
      <c r="K67" s="1" t="str">
        <f t="shared" si="4"/>
        <v>fusiform</v>
      </c>
      <c r="M67" s="17" t="s">
        <v>115</v>
      </c>
      <c r="N67" s="1" t="str">
        <f t="shared" si="5"/>
        <v>Subtropical</v>
      </c>
      <c r="P67" s="18" t="s">
        <v>122</v>
      </c>
      <c r="Q67" s="1" t="s">
        <v>105</v>
      </c>
    </row>
    <row r="68" spans="1:17" x14ac:dyDescent="0.2">
      <c r="A68" s="1" t="s">
        <v>75</v>
      </c>
      <c r="B68" s="1" t="s">
        <v>75</v>
      </c>
      <c r="D68" s="1" t="s">
        <v>75</v>
      </c>
      <c r="E68" s="21">
        <v>44358</v>
      </c>
      <c r="F68" s="1" t="s">
        <v>194</v>
      </c>
      <c r="G68" s="24" t="s">
        <v>114</v>
      </c>
      <c r="H68" s="12" t="str">
        <f t="shared" si="2"/>
        <v>benthopelagic</v>
      </c>
      <c r="I68" s="18"/>
      <c r="J68" s="19" t="s">
        <v>205</v>
      </c>
      <c r="K68" s="1" t="str">
        <f t="shared" si="4"/>
        <v>elongated</v>
      </c>
      <c r="M68" s="17" t="s">
        <v>115</v>
      </c>
      <c r="N68" s="1" t="str">
        <f t="shared" ref="N68:N71" si="6">M68</f>
        <v>Subtropical</v>
      </c>
      <c r="P68" s="18" t="s">
        <v>122</v>
      </c>
      <c r="Q68" s="1" t="s">
        <v>75</v>
      </c>
    </row>
    <row r="69" spans="1:17" x14ac:dyDescent="0.2">
      <c r="A69" s="1" t="s">
        <v>76</v>
      </c>
      <c r="B69" s="1" t="s">
        <v>76</v>
      </c>
      <c r="D69" s="1" t="s">
        <v>76</v>
      </c>
      <c r="E69" s="21">
        <v>44358</v>
      </c>
      <c r="F69" s="1" t="s">
        <v>192</v>
      </c>
      <c r="G69" s="24" t="s">
        <v>126</v>
      </c>
      <c r="H69" s="12" t="str">
        <f t="shared" ref="H69:H79" si="7">G69</f>
        <v>demersal</v>
      </c>
      <c r="I69" s="18"/>
      <c r="J69" s="19" t="s">
        <v>205</v>
      </c>
      <c r="K69" s="1" t="str">
        <f t="shared" si="4"/>
        <v>elongated</v>
      </c>
      <c r="M69" s="17" t="s">
        <v>115</v>
      </c>
      <c r="N69" s="1" t="str">
        <f t="shared" si="6"/>
        <v>Subtropical</v>
      </c>
      <c r="P69" s="18" t="s">
        <v>122</v>
      </c>
      <c r="Q69" s="1" t="s">
        <v>76</v>
      </c>
    </row>
    <row r="70" spans="1:17" ht="52" customHeight="1" x14ac:dyDescent="0.2">
      <c r="A70" s="1" t="s">
        <v>77</v>
      </c>
      <c r="B70" s="1" t="s">
        <v>77</v>
      </c>
      <c r="D70" s="1" t="s">
        <v>77</v>
      </c>
      <c r="E70" s="21">
        <v>44358</v>
      </c>
      <c r="F70" s="1" t="s">
        <v>193</v>
      </c>
      <c r="G70" s="24" t="s">
        <v>114</v>
      </c>
      <c r="H70" s="12" t="str">
        <f t="shared" si="7"/>
        <v>benthopelagic</v>
      </c>
      <c r="I70" s="18"/>
      <c r="J70" s="46" t="s">
        <v>207</v>
      </c>
      <c r="K70" s="42" t="s">
        <v>204</v>
      </c>
      <c r="L70" s="49" t="s">
        <v>222</v>
      </c>
      <c r="M70" s="17" t="s">
        <v>121</v>
      </c>
      <c r="N70" s="1" t="str">
        <f t="shared" si="6"/>
        <v>Temperate</v>
      </c>
      <c r="P70" s="18" t="s">
        <v>122</v>
      </c>
      <c r="Q70" s="1" t="s">
        <v>77</v>
      </c>
    </row>
    <row r="71" spans="1:17" x14ac:dyDescent="0.2">
      <c r="A71" s="1" t="s">
        <v>78</v>
      </c>
      <c r="B71" s="1" t="s">
        <v>78</v>
      </c>
      <c r="D71" s="1" t="s">
        <v>78</v>
      </c>
      <c r="E71" s="21">
        <v>44358</v>
      </c>
      <c r="F71" s="1" t="s">
        <v>195</v>
      </c>
      <c r="G71" s="24" t="s">
        <v>114</v>
      </c>
      <c r="H71" s="12" t="str">
        <f t="shared" si="7"/>
        <v>benthopelagic</v>
      </c>
      <c r="I71" s="18"/>
      <c r="J71" s="19" t="s">
        <v>206</v>
      </c>
      <c r="K71" s="1" t="str">
        <f t="shared" si="4"/>
        <v>short/deep</v>
      </c>
      <c r="M71" s="17" t="s">
        <v>121</v>
      </c>
      <c r="N71" s="1" t="str">
        <f t="shared" si="6"/>
        <v>Temperate</v>
      </c>
      <c r="P71" s="18" t="s">
        <v>122</v>
      </c>
      <c r="Q71" s="1" t="s">
        <v>78</v>
      </c>
    </row>
    <row r="72" spans="1:17" ht="61" customHeight="1" x14ac:dyDescent="0.2">
      <c r="A72" s="1" t="s">
        <v>79</v>
      </c>
      <c r="B72" s="1" t="s">
        <v>79</v>
      </c>
      <c r="D72" s="1" t="s">
        <v>79</v>
      </c>
      <c r="E72" s="21">
        <v>44358</v>
      </c>
      <c r="F72" s="1" t="s">
        <v>197</v>
      </c>
      <c r="G72" s="24" t="s">
        <v>114</v>
      </c>
      <c r="H72" s="12" t="str">
        <f t="shared" si="7"/>
        <v>benthopelagic</v>
      </c>
      <c r="I72" s="18"/>
      <c r="J72" s="19" t="s">
        <v>205</v>
      </c>
      <c r="K72" s="1" t="str">
        <f t="shared" si="4"/>
        <v>elongated</v>
      </c>
      <c r="M72" s="52" t="s">
        <v>198</v>
      </c>
      <c r="N72" s="38" t="s">
        <v>131</v>
      </c>
      <c r="O72" s="51" t="s">
        <v>223</v>
      </c>
      <c r="P72" s="18" t="s">
        <v>129</v>
      </c>
      <c r="Q72" s="1" t="s">
        <v>79</v>
      </c>
    </row>
    <row r="73" spans="1:17" x14ac:dyDescent="0.2">
      <c r="A73" s="1" t="s">
        <v>80</v>
      </c>
      <c r="B73" s="1" t="s">
        <v>80</v>
      </c>
      <c r="D73" s="1" t="s">
        <v>80</v>
      </c>
      <c r="E73" s="21">
        <v>44358</v>
      </c>
      <c r="F73" s="1" t="s">
        <v>196</v>
      </c>
      <c r="G73" s="24" t="s">
        <v>114</v>
      </c>
      <c r="H73" s="12" t="str">
        <f t="shared" si="7"/>
        <v>benthopelagic</v>
      </c>
      <c r="I73" s="18"/>
      <c r="J73" s="19" t="s">
        <v>205</v>
      </c>
      <c r="K73" s="1" t="str">
        <f t="shared" ref="K73:K79" si="8">J73</f>
        <v>elongated</v>
      </c>
      <c r="M73" s="17" t="s">
        <v>115</v>
      </c>
      <c r="N73" s="1" t="str">
        <f t="shared" ref="N73:N79" si="9">M73</f>
        <v>Subtropical</v>
      </c>
      <c r="P73" s="18" t="s">
        <v>122</v>
      </c>
      <c r="Q73" s="1" t="s">
        <v>80</v>
      </c>
    </row>
    <row r="74" spans="1:17" x14ac:dyDescent="0.2">
      <c r="A74" s="1" t="s">
        <v>81</v>
      </c>
      <c r="B74" s="1" t="s">
        <v>81</v>
      </c>
      <c r="D74" s="1" t="s">
        <v>81</v>
      </c>
      <c r="E74" s="21">
        <v>44358</v>
      </c>
      <c r="F74" s="1" t="s">
        <v>200</v>
      </c>
      <c r="G74" s="24" t="s">
        <v>126</v>
      </c>
      <c r="H74" s="12" t="str">
        <f t="shared" si="7"/>
        <v>demersal</v>
      </c>
      <c r="I74" s="18"/>
      <c r="J74" s="19" t="s">
        <v>205</v>
      </c>
      <c r="K74" s="1" t="str">
        <f t="shared" si="8"/>
        <v>elongated</v>
      </c>
      <c r="M74" s="17" t="s">
        <v>121</v>
      </c>
      <c r="N74" s="1" t="str">
        <f t="shared" si="9"/>
        <v>Temperate</v>
      </c>
      <c r="P74" s="18" t="s">
        <v>113</v>
      </c>
      <c r="Q74" s="1" t="s">
        <v>81</v>
      </c>
    </row>
    <row r="75" spans="1:17" x14ac:dyDescent="0.2">
      <c r="A75" s="1" t="s">
        <v>82</v>
      </c>
      <c r="B75" s="1" t="s">
        <v>82</v>
      </c>
      <c r="D75" s="1" t="s">
        <v>82</v>
      </c>
      <c r="E75" s="21">
        <v>44358</v>
      </c>
      <c r="F75" s="1" t="s">
        <v>199</v>
      </c>
      <c r="G75" s="24" t="s">
        <v>118</v>
      </c>
      <c r="H75" s="12" t="str">
        <f t="shared" si="7"/>
        <v>reef-associated</v>
      </c>
      <c r="I75" s="18"/>
      <c r="J75" s="19" t="s">
        <v>204</v>
      </c>
      <c r="K75" s="1" t="str">
        <f t="shared" si="8"/>
        <v>fusiform</v>
      </c>
      <c r="M75" s="17" t="s">
        <v>121</v>
      </c>
      <c r="N75" s="1" t="str">
        <f t="shared" si="9"/>
        <v>Temperate</v>
      </c>
      <c r="P75" s="18" t="s">
        <v>117</v>
      </c>
      <c r="Q75" s="1" t="s">
        <v>82</v>
      </c>
    </row>
    <row r="76" spans="1:17" x14ac:dyDescent="0.2">
      <c r="A76" s="1" t="s">
        <v>83</v>
      </c>
      <c r="B76" s="1" t="s">
        <v>83</v>
      </c>
      <c r="D76" s="1" t="s">
        <v>83</v>
      </c>
      <c r="E76" s="21">
        <v>44358</v>
      </c>
      <c r="F76" s="1" t="s">
        <v>201</v>
      </c>
      <c r="G76" s="24" t="s">
        <v>118</v>
      </c>
      <c r="H76" s="12" t="str">
        <f t="shared" si="7"/>
        <v>reef-associated</v>
      </c>
      <c r="I76" s="18"/>
      <c r="J76" s="19" t="s">
        <v>204</v>
      </c>
      <c r="K76" s="1" t="str">
        <f t="shared" si="8"/>
        <v>fusiform</v>
      </c>
      <c r="M76" s="17" t="s">
        <v>115</v>
      </c>
      <c r="N76" s="1" t="str">
        <f t="shared" si="9"/>
        <v>Subtropical</v>
      </c>
      <c r="P76" s="18" t="s">
        <v>117</v>
      </c>
      <c r="Q76" s="1" t="s">
        <v>83</v>
      </c>
    </row>
    <row r="77" spans="1:17" x14ac:dyDescent="0.2">
      <c r="A77" s="1" t="s">
        <v>84</v>
      </c>
      <c r="D77" s="1" t="s">
        <v>84</v>
      </c>
      <c r="E77" s="21">
        <v>44358</v>
      </c>
      <c r="F77" s="1" t="s">
        <v>202</v>
      </c>
      <c r="G77" s="24" t="s">
        <v>126</v>
      </c>
      <c r="H77" s="12" t="str">
        <f t="shared" si="7"/>
        <v>demersal</v>
      </c>
      <c r="I77" s="18"/>
      <c r="J77" s="19" t="s">
        <v>204</v>
      </c>
      <c r="K77" s="1" t="str">
        <f t="shared" si="8"/>
        <v>fusiform</v>
      </c>
      <c r="M77" s="17" t="s">
        <v>131</v>
      </c>
      <c r="N77" s="1" t="str">
        <f t="shared" si="9"/>
        <v>Polar</v>
      </c>
      <c r="P77" s="18" t="s">
        <v>117</v>
      </c>
      <c r="Q77" s="1" t="s">
        <v>84</v>
      </c>
    </row>
    <row r="78" spans="1:17" x14ac:dyDescent="0.2">
      <c r="A78" s="1" t="s">
        <v>85</v>
      </c>
      <c r="B78" s="1" t="s">
        <v>85</v>
      </c>
      <c r="D78" s="1" t="s">
        <v>85</v>
      </c>
      <c r="E78" s="21">
        <v>44358</v>
      </c>
      <c r="F78" s="1" t="s">
        <v>203</v>
      </c>
      <c r="G78" s="24" t="s">
        <v>126</v>
      </c>
      <c r="H78" s="12" t="str">
        <f t="shared" si="7"/>
        <v>demersal</v>
      </c>
      <c r="I78" s="18"/>
      <c r="J78" s="19" t="s">
        <v>205</v>
      </c>
      <c r="K78" s="1" t="str">
        <f t="shared" si="8"/>
        <v>elongated</v>
      </c>
      <c r="M78" s="17" t="s">
        <v>115</v>
      </c>
      <c r="N78" s="1" t="str">
        <f t="shared" si="9"/>
        <v>Subtropical</v>
      </c>
      <c r="P78" s="18" t="s">
        <v>122</v>
      </c>
      <c r="Q78" s="1" t="s">
        <v>85</v>
      </c>
    </row>
    <row r="79" spans="1:17" x14ac:dyDescent="0.2">
      <c r="A79" s="1" t="s">
        <v>87</v>
      </c>
      <c r="B79" s="1" t="s">
        <v>87</v>
      </c>
      <c r="D79" s="1" t="s">
        <v>87</v>
      </c>
      <c r="E79" s="21">
        <v>44358</v>
      </c>
      <c r="F79" s="1" t="s">
        <v>212</v>
      </c>
      <c r="G79" s="24" t="s">
        <v>114</v>
      </c>
      <c r="H79" s="12" t="str">
        <f t="shared" si="7"/>
        <v>benthopelagic</v>
      </c>
      <c r="I79" s="18"/>
      <c r="J79" s="19" t="s">
        <v>204</v>
      </c>
      <c r="K79" s="1" t="str">
        <f t="shared" si="8"/>
        <v>fusiform</v>
      </c>
      <c r="M79" s="17" t="s">
        <v>115</v>
      </c>
      <c r="N79" s="1" t="str">
        <f t="shared" si="9"/>
        <v>Subtropical</v>
      </c>
      <c r="P79" s="18" t="s">
        <v>122</v>
      </c>
      <c r="Q79" s="1" t="s">
        <v>87</v>
      </c>
    </row>
  </sheetData>
  <mergeCells count="4">
    <mergeCell ref="E2:E3"/>
    <mergeCell ref="K2:L2"/>
    <mergeCell ref="N2:N3"/>
    <mergeCell ref="F2:F3"/>
  </mergeCells>
  <hyperlinks>
    <hyperlink ref="F62" r:id="rId1" xr:uid="{3667190B-9A7B-E048-B7D4-8F4744A9C27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export.fishbase</vt:lpstr>
      <vt:lpstr>to.csv</vt:lpstr>
      <vt:lpstr>review.curate</vt:lpstr>
      <vt:lpstr>suppl.material</vt:lpstr>
      <vt:lpstr>archive.misc</vt:lpstr>
      <vt:lpstr>archive.suppl.CJFAS</vt:lpstr>
      <vt:lpstr>archive.Sheet2</vt:lpstr>
      <vt:lpstr>archive.Sheet1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2021-06-11T22:39:59Z</dcterms:created>
  <dcterms:modified xsi:type="dcterms:W3CDTF">2023-03-14T14:46:03Z</dcterms:modified>
</cp:coreProperties>
</file>