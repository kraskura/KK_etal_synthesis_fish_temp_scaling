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ristakraskura/Github_repositories/KK_etal_synthesis_fish_temp_scaling/Data_exports/"/>
    </mc:Choice>
  </mc:AlternateContent>
  <xr:revisionPtr revIDLastSave="0" documentId="13_ncr:1_{0C4A76CB-4917-BA4E-93DF-BBFAC75D2E8E}" xr6:coauthVersionLast="47" xr6:coauthVersionMax="47" xr10:uidLastSave="{00000000-0000-0000-0000-000000000000}"/>
  <bookViews>
    <workbookView xWindow="0" yWindow="620" windowWidth="28800" windowHeight="17380" activeTab="1" xr2:uid="{B3FBD4CA-75DB-D748-9A95-2029329DF2D8}"/>
  </bookViews>
  <sheets>
    <sheet name="Sheet1" sheetId="1" r:id="rId1"/>
    <sheet name="Sheet3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2" l="1"/>
  <c r="K3" i="2"/>
  <c r="K10" i="2"/>
  <c r="K9" i="2"/>
  <c r="K8" i="2"/>
  <c r="K7" i="2"/>
  <c r="K6" i="2"/>
  <c r="K5" i="2"/>
  <c r="K4" i="2"/>
  <c r="J4" i="2"/>
  <c r="J5" i="2"/>
  <c r="J6" i="2"/>
  <c r="J7" i="2"/>
  <c r="J8" i="2"/>
  <c r="J9" i="2"/>
  <c r="J10" i="2"/>
  <c r="J3" i="2"/>
</calcChain>
</file>

<file path=xl/sharedStrings.xml><?xml version="1.0" encoding="utf-8"?>
<sst xmlns="http://schemas.openxmlformats.org/spreadsheetml/2006/main" count="416" uniqueCount="70">
  <si>
    <t>var</t>
  </si>
  <si>
    <t>test.categ</t>
  </si>
  <si>
    <t>ecol</t>
  </si>
  <si>
    <t>AS</t>
  </si>
  <si>
    <t>opt</t>
  </si>
  <si>
    <t>DemersPelag</t>
  </si>
  <si>
    <t>tempTest</t>
  </si>
  <si>
    <t>BodyShapeI</t>
  </si>
  <si>
    <t>Climate</t>
  </si>
  <si>
    <t>salintyComb</t>
  </si>
  <si>
    <t>warm</t>
  </si>
  <si>
    <t>FAS</t>
  </si>
  <si>
    <t>RMR</t>
  </si>
  <si>
    <t>MMR</t>
  </si>
  <si>
    <t>lnBWg:tempTest</t>
  </si>
  <si>
    <t>fusiform_ecol_relev</t>
  </si>
  <si>
    <t>fusiform_warm</t>
  </si>
  <si>
    <t>Subtropical_ecol_relev</t>
  </si>
  <si>
    <t>Subtropical_warm</t>
  </si>
  <si>
    <t>Temperate_ecol_relev</t>
  </si>
  <si>
    <t>Temperate_warm</t>
  </si>
  <si>
    <t>benthopelagic_ecol_relev</t>
  </si>
  <si>
    <t>benthopelagic_warm</t>
  </si>
  <si>
    <t>demersal_ecol_relev</t>
  </si>
  <si>
    <t>demersal_warm</t>
  </si>
  <si>
    <t>reef-associated_ecol_relev</t>
  </si>
  <si>
    <t>reef-associated_warm</t>
  </si>
  <si>
    <t>Marine_ecol_relev</t>
  </si>
  <si>
    <t>Marine_warm</t>
  </si>
  <si>
    <t>Marine; freshwater; brackish_ecol_relev</t>
  </si>
  <si>
    <t>Marine; freshwater; brackish_warm</t>
  </si>
  <si>
    <t xml:space="preserve">OPTIMAL </t>
  </si>
  <si>
    <t>WARM</t>
  </si>
  <si>
    <t xml:space="preserve">is MMR warm &gt; MMR optimal </t>
  </si>
  <si>
    <t xml:space="preserve">same </t>
  </si>
  <si>
    <t xml:space="preserve">is RMR warm &gt; RMR optimal </t>
  </si>
  <si>
    <t>df</t>
  </si>
  <si>
    <t>BIC</t>
  </si>
  <si>
    <t>delta</t>
  </si>
  <si>
    <t>models</t>
  </si>
  <si>
    <t>ecol.model.null</t>
  </si>
  <si>
    <t>ecol.model</t>
  </si>
  <si>
    <t xml:space="preserve">BODY SHAPE </t>
  </si>
  <si>
    <t>OPT</t>
  </si>
  <si>
    <t>CLIMATE</t>
  </si>
  <si>
    <t>SALINITY</t>
  </si>
  <si>
    <t>LIFESTYLE</t>
  </si>
  <si>
    <t>RMR, MMR</t>
  </si>
  <si>
    <t>FAS, RMR, MMR</t>
  </si>
  <si>
    <t>poly(tempTest)</t>
  </si>
  <si>
    <r>
      <rPr>
        <i/>
        <sz val="12"/>
        <color theme="1"/>
        <rFont val="Aptos Narrow"/>
        <scheme val="minor"/>
      </rPr>
      <t>ln</t>
    </r>
    <r>
      <rPr>
        <sz val="12"/>
        <color theme="1"/>
        <rFont val="Aptos Narrow"/>
        <family val="2"/>
        <scheme val="minor"/>
      </rPr>
      <t>BWg</t>
    </r>
  </si>
  <si>
    <t>BIC significant models</t>
  </si>
  <si>
    <t>Chi Square</t>
  </si>
  <si>
    <t>Temperature category</t>
  </si>
  <si>
    <t xml:space="preserve">Species subgroup </t>
  </si>
  <si>
    <t>MR performance</t>
  </si>
  <si>
    <t>P value</t>
  </si>
  <si>
    <t>Predictor Variable</t>
  </si>
  <si>
    <t>Body Shape</t>
  </si>
  <si>
    <t>Lifestyle</t>
  </si>
  <si>
    <t>Salinity</t>
  </si>
  <si>
    <t>&lt; 0.0001</t>
  </si>
  <si>
    <t>EcolGroup</t>
  </si>
  <si>
    <t xml:space="preserve">optimal </t>
  </si>
  <si>
    <t>Old primary submission</t>
  </si>
  <si>
    <t xml:space="preserve">REVIEW- updated data ∆BIC &lt; 7 </t>
  </si>
  <si>
    <t xml:space="preserve">REVIEW- updated data ∆BIC &gt; 7 </t>
  </si>
  <si>
    <t>FAS, RMR</t>
  </si>
  <si>
    <t>AS, MMR</t>
  </si>
  <si>
    <t>FAS, RMR,MMR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</si>
</sst>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3" x14ac:knownFonts="1">
    <font>
      <sz val="12"/>
      <color theme="1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theme="5"/>
      <name val="Aptos Narrow"/>
      <family val="2"/>
      <scheme val="minor"/>
    </font>
    <font>
      <i/>
      <sz val="12"/>
      <color theme="1"/>
      <name val="Aptos Narrow"/>
      <scheme val="minor"/>
    </font>
    <font>
      <i/>
      <sz val="12"/>
      <color theme="5"/>
      <name val="Aptos Narrow"/>
      <scheme val="minor"/>
    </font>
    <font>
      <b/>
      <sz val="12"/>
      <color theme="1"/>
      <name val="Aptos Narrow"/>
      <scheme val="minor"/>
    </font>
    <font>
      <b/>
      <u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b/>
      <i/>
      <sz val="12"/>
      <color rgb="FFFF0000"/>
      <name val="Aptos Narrow"/>
      <scheme val="minor"/>
    </font>
    <font>
      <b/>
      <i/>
      <sz val="12"/>
      <color theme="9"/>
      <name val="Aptos Narrow"/>
      <scheme val="minor"/>
    </font>
    <font>
      <sz val="12"/>
      <color theme="5" tint="-0.499984740745262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8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 applyAlignment="1">
      <alignment horizontal="right"/>
    </xf>
    <xf numFmtId="0" fontId="0" fillId="3" borderId="0" xfId="0" applyFill="1"/>
    <xf numFmtId="0" fontId="0" fillId="3" borderId="1" xfId="0" applyFill="1" applyBorder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4" fillId="3" borderId="0" xfId="0" applyFont="1" applyFill="1"/>
    <xf numFmtId="0" fontId="0" fillId="0" borderId="0" xfId="0" applyAlignment="1">
      <alignment wrapText="1"/>
    </xf>
    <xf numFmtId="2" fontId="0" fillId="0" borderId="20" xfId="0" applyNumberFormat="1" applyBorder="1" applyAlignment="1">
      <alignment horizontal="center" vertical="center"/>
    </xf>
    <xf numFmtId="2" fontId="0" fillId="0" borderId="23" xfId="0" applyNumberFormat="1" applyBorder="1" applyAlignment="1">
      <alignment horizontal="center" vertical="center"/>
    </xf>
    <xf numFmtId="2" fontId="0" fillId="0" borderId="28" xfId="0" applyNumberFormat="1" applyBorder="1" applyAlignment="1">
      <alignment horizontal="center" vertical="center"/>
    </xf>
    <xf numFmtId="2" fontId="0" fillId="0" borderId="29" xfId="0" applyNumberFormat="1" applyBorder="1" applyAlignment="1">
      <alignment horizontal="center" vertical="center"/>
    </xf>
    <xf numFmtId="2" fontId="0" fillId="0" borderId="25" xfId="0" applyNumberFormat="1" applyBorder="1" applyAlignment="1">
      <alignment horizontal="center" vertical="center"/>
    </xf>
    <xf numFmtId="2" fontId="0" fillId="0" borderId="26" xfId="0" applyNumberFormat="1" applyBorder="1" applyAlignment="1">
      <alignment horizontal="center" vertical="center"/>
    </xf>
    <xf numFmtId="2" fontId="0" fillId="0" borderId="30" xfId="0" applyNumberFormat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2" fontId="0" fillId="0" borderId="31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164" fontId="0" fillId="0" borderId="32" xfId="0" applyNumberFormat="1" applyBorder="1" applyAlignment="1">
      <alignment horizontal="center" vertical="center"/>
    </xf>
    <xf numFmtId="164" fontId="0" fillId="0" borderId="33" xfId="0" applyNumberFormat="1" applyBorder="1" applyAlignment="1">
      <alignment horizontal="center" vertical="center"/>
    </xf>
    <xf numFmtId="164" fontId="0" fillId="0" borderId="34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164" fontId="6" fillId="0" borderId="33" xfId="0" applyNumberFormat="1" applyFont="1" applyBorder="1" applyAlignment="1">
      <alignment horizontal="center" vertical="center"/>
    </xf>
    <xf numFmtId="164" fontId="7" fillId="0" borderId="18" xfId="0" applyNumberFormat="1" applyFont="1" applyBorder="1" applyAlignment="1">
      <alignment horizontal="center" vertical="center"/>
    </xf>
    <xf numFmtId="164" fontId="0" fillId="0" borderId="21" xfId="0" applyNumberFormat="1" applyBorder="1" applyAlignment="1">
      <alignment horizontal="center" vertical="center"/>
    </xf>
    <xf numFmtId="164" fontId="7" fillId="0" borderId="2" xfId="0" applyNumberFormat="1" applyFon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8" fillId="0" borderId="35" xfId="0" applyNumberFormat="1" applyFont="1" applyBorder="1" applyAlignment="1">
      <alignment horizontal="center" vertical="center"/>
    </xf>
    <xf numFmtId="2" fontId="0" fillId="0" borderId="36" xfId="0" applyNumberFormat="1" applyBorder="1" applyAlignment="1">
      <alignment horizontal="center" vertical="center"/>
    </xf>
    <xf numFmtId="2" fontId="0" fillId="0" borderId="37" xfId="0" applyNumberFormat="1" applyBorder="1" applyAlignment="1">
      <alignment horizontal="center" vertical="center"/>
    </xf>
    <xf numFmtId="2" fontId="0" fillId="0" borderId="38" xfId="0" applyNumberFormat="1" applyBorder="1" applyAlignment="1">
      <alignment horizontal="center" vertical="center"/>
    </xf>
    <xf numFmtId="2" fontId="8" fillId="0" borderId="39" xfId="0" applyNumberFormat="1" applyFont="1" applyBorder="1" applyAlignment="1">
      <alignment horizontal="center" vertical="center"/>
    </xf>
    <xf numFmtId="2" fontId="0" fillId="0" borderId="40" xfId="0" applyNumberFormat="1" applyBorder="1" applyAlignment="1">
      <alignment horizontal="center" vertical="center"/>
    </xf>
    <xf numFmtId="2" fontId="8" fillId="0" borderId="23" xfId="0" applyNumberFormat="1" applyFont="1" applyBorder="1" applyAlignment="1">
      <alignment horizontal="center" vertical="center"/>
    </xf>
    <xf numFmtId="2" fontId="8" fillId="0" borderId="19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41" xfId="0" applyBorder="1" applyAlignment="1">
      <alignment horizontal="center" wrapText="1"/>
    </xf>
    <xf numFmtId="0" fontId="0" fillId="0" borderId="5" xfId="0" applyBorder="1" applyAlignment="1">
      <alignment wrapText="1"/>
    </xf>
    <xf numFmtId="2" fontId="0" fillId="0" borderId="2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  <xf numFmtId="2" fontId="0" fillId="0" borderId="23" xfId="0" applyNumberFormat="1" applyBorder="1" applyAlignment="1">
      <alignment horizontal="center" vertical="center"/>
    </xf>
    <xf numFmtId="2" fontId="0" fillId="0" borderId="25" xfId="0" applyNumberFormat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2" fontId="0" fillId="0" borderId="24" xfId="0" applyNumberFormat="1" applyBorder="1" applyAlignment="1">
      <alignment horizontal="center" vertical="center"/>
    </xf>
    <xf numFmtId="2" fontId="0" fillId="0" borderId="27" xfId="0" applyNumberFormat="1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0" fontId="0" fillId="0" borderId="0" xfId="0" applyFill="1"/>
    <xf numFmtId="0" fontId="1" fillId="0" borderId="0" xfId="1" applyFill="1"/>
    <xf numFmtId="0" fontId="0" fillId="0" borderId="1" xfId="0" applyFill="1" applyBorder="1"/>
    <xf numFmtId="0" fontId="0" fillId="0" borderId="8" xfId="0" applyFill="1" applyBorder="1"/>
    <xf numFmtId="0" fontId="7" fillId="0" borderId="9" xfId="0" applyFont="1" applyFill="1" applyBorder="1" applyAlignment="1">
      <alignment horizontal="center"/>
    </xf>
    <xf numFmtId="0" fontId="7" fillId="0" borderId="10" xfId="0" applyFont="1" applyFill="1" applyBorder="1" applyAlignment="1">
      <alignment horizontal="center"/>
    </xf>
    <xf numFmtId="0" fontId="0" fillId="0" borderId="12" xfId="0" applyFill="1" applyBorder="1"/>
    <xf numFmtId="0" fontId="0" fillId="0" borderId="0" xfId="0" applyFill="1" applyAlignment="1">
      <alignment horizontal="center"/>
    </xf>
    <xf numFmtId="0" fontId="0" fillId="0" borderId="13" xfId="0" applyFill="1" applyBorder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10" fillId="0" borderId="0" xfId="0" applyFont="1" applyFill="1" applyBorder="1"/>
    <xf numFmtId="0" fontId="11" fillId="0" borderId="1" xfId="0" applyFont="1" applyFill="1" applyBorder="1"/>
    <xf numFmtId="0" fontId="12" fillId="0" borderId="0" xfId="0" applyFont="1" applyFill="1"/>
    <xf numFmtId="0" fontId="9" fillId="3" borderId="0" xfId="1" applyFont="1" applyFill="1"/>
    <xf numFmtId="0" fontId="1" fillId="3" borderId="0" xfId="1" applyFill="1"/>
    <xf numFmtId="0" fontId="0" fillId="4" borderId="0" xfId="0" applyFill="1"/>
    <xf numFmtId="0" fontId="0" fillId="4" borderId="1" xfId="0" applyFill="1" applyBorder="1"/>
    <xf numFmtId="0" fontId="0" fillId="4" borderId="8" xfId="0" applyFill="1" applyBorder="1"/>
    <xf numFmtId="0" fontId="7" fillId="4" borderId="9" xfId="0" applyFont="1" applyFill="1" applyBorder="1" applyAlignment="1">
      <alignment horizontal="center"/>
    </xf>
    <xf numFmtId="0" fontId="7" fillId="4" borderId="10" xfId="0" applyFont="1" applyFill="1" applyBorder="1" applyAlignment="1">
      <alignment horizontal="center"/>
    </xf>
    <xf numFmtId="0" fontId="0" fillId="5" borderId="8" xfId="0" applyFill="1" applyBorder="1"/>
    <xf numFmtId="0" fontId="7" fillId="5" borderId="9" xfId="0" applyFont="1" applyFill="1" applyBorder="1" applyAlignment="1">
      <alignment horizontal="center"/>
    </xf>
    <xf numFmtId="0" fontId="7" fillId="5" borderId="10" xfId="0" applyFont="1" applyFill="1" applyBorder="1" applyAlignment="1">
      <alignment horizont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BEEAF-56E5-8347-860E-C228CBA812A8}">
  <dimension ref="A1:K35"/>
  <sheetViews>
    <sheetView workbookViewId="0">
      <selection activeCell="J13" sqref="J13"/>
    </sheetView>
  </sheetViews>
  <sheetFormatPr baseColWidth="10" defaultRowHeight="16" x14ac:dyDescent="0.2"/>
  <cols>
    <col min="2" max="2" width="11.83203125" customWidth="1"/>
    <col min="4" max="4" width="25.1640625" bestFit="1" customWidth="1"/>
    <col min="5" max="5" width="12.6640625" bestFit="1" customWidth="1"/>
    <col min="6" max="6" width="11" bestFit="1" customWidth="1"/>
    <col min="7" max="7" width="10.6640625" customWidth="1"/>
    <col min="9" max="9" width="12" bestFit="1" customWidth="1"/>
    <col min="10" max="10" width="13.83203125" bestFit="1" customWidth="1"/>
  </cols>
  <sheetData>
    <row r="1" spans="1:11" s="9" customFormat="1" ht="47" customHeight="1" thickBot="1" x14ac:dyDescent="0.25">
      <c r="A1" s="40" t="s">
        <v>54</v>
      </c>
      <c r="B1" s="41" t="s">
        <v>55</v>
      </c>
      <c r="C1" s="41" t="s">
        <v>53</v>
      </c>
      <c r="D1" s="41" t="s">
        <v>57</v>
      </c>
      <c r="E1" s="41" t="s">
        <v>52</v>
      </c>
      <c r="F1" s="41" t="s">
        <v>36</v>
      </c>
      <c r="G1" s="42" t="s">
        <v>56</v>
      </c>
      <c r="H1" s="43"/>
    </row>
    <row r="2" spans="1:11" s="4" customFormat="1" x14ac:dyDescent="0.2">
      <c r="A2" s="52" t="s">
        <v>58</v>
      </c>
      <c r="B2" s="46" t="s">
        <v>3</v>
      </c>
      <c r="C2" s="49" t="s">
        <v>10</v>
      </c>
      <c r="D2" s="32" t="s">
        <v>50</v>
      </c>
      <c r="E2" s="10">
        <v>524.45594168543005</v>
      </c>
      <c r="F2" s="16">
        <v>1</v>
      </c>
      <c r="G2" s="29" t="s">
        <v>61</v>
      </c>
      <c r="H2" s="20">
        <v>4.5404682568363502E-116</v>
      </c>
      <c r="I2" s="8" t="s">
        <v>51</v>
      </c>
    </row>
    <row r="3" spans="1:11" s="4" customFormat="1" x14ac:dyDescent="0.2">
      <c r="A3" s="47"/>
      <c r="B3" s="44"/>
      <c r="C3" s="50"/>
      <c r="D3" s="33" t="s">
        <v>49</v>
      </c>
      <c r="E3" s="11">
        <v>26.515618264341501</v>
      </c>
      <c r="F3" s="17">
        <v>2</v>
      </c>
      <c r="G3" s="24" t="s">
        <v>61</v>
      </c>
      <c r="H3" s="21">
        <v>1.74665307089102E-6</v>
      </c>
      <c r="I3"/>
      <c r="J3" s="7" t="s">
        <v>43</v>
      </c>
      <c r="K3" s="7" t="s">
        <v>32</v>
      </c>
    </row>
    <row r="4" spans="1:11" s="4" customFormat="1" ht="17" thickBot="1" x14ac:dyDescent="0.25">
      <c r="A4" s="47"/>
      <c r="B4" s="44"/>
      <c r="C4" s="50"/>
      <c r="D4" s="35" t="s">
        <v>62</v>
      </c>
      <c r="E4" s="14">
        <v>1.7741380674221101</v>
      </c>
      <c r="F4" s="18">
        <v>2</v>
      </c>
      <c r="G4" s="26">
        <v>0.41186113652671802</v>
      </c>
      <c r="H4" s="22">
        <v>0.41186113652671802</v>
      </c>
      <c r="I4" t="s">
        <v>42</v>
      </c>
      <c r="J4" s="6" t="s">
        <v>47</v>
      </c>
      <c r="K4" s="6" t="s">
        <v>3</v>
      </c>
    </row>
    <row r="5" spans="1:11" s="4" customFormat="1" x14ac:dyDescent="0.2">
      <c r="A5" s="47" t="s">
        <v>8</v>
      </c>
      <c r="B5" s="44" t="s">
        <v>11</v>
      </c>
      <c r="C5" s="50" t="s">
        <v>63</v>
      </c>
      <c r="D5" s="36" t="s">
        <v>50</v>
      </c>
      <c r="E5" s="15">
        <v>0.35252027638081102</v>
      </c>
      <c r="F5" s="19">
        <v>1</v>
      </c>
      <c r="G5" s="25">
        <v>0.55268991831347603</v>
      </c>
      <c r="H5" s="23">
        <v>0.55268991831347603</v>
      </c>
      <c r="I5" t="s">
        <v>44</v>
      </c>
      <c r="J5" s="6" t="s">
        <v>48</v>
      </c>
      <c r="K5" s="6"/>
    </row>
    <row r="6" spans="1:11" s="4" customFormat="1" x14ac:dyDescent="0.2">
      <c r="A6" s="47"/>
      <c r="B6" s="44"/>
      <c r="C6" s="50"/>
      <c r="D6" s="33" t="s">
        <v>6</v>
      </c>
      <c r="E6" s="11">
        <v>97.234826974528801</v>
      </c>
      <c r="F6" s="17">
        <v>1</v>
      </c>
      <c r="G6" s="24" t="s">
        <v>61</v>
      </c>
      <c r="H6" s="21">
        <v>6.1574045637317301E-23</v>
      </c>
      <c r="I6" t="s">
        <v>45</v>
      </c>
      <c r="J6" s="6" t="s">
        <v>47</v>
      </c>
      <c r="K6" s="6"/>
    </row>
    <row r="7" spans="1:11" s="4" customFormat="1" ht="17" thickBot="1" x14ac:dyDescent="0.25">
      <c r="A7" s="47"/>
      <c r="B7" s="44"/>
      <c r="C7" s="50"/>
      <c r="D7" s="35" t="s">
        <v>62</v>
      </c>
      <c r="E7" s="14">
        <v>39.111342981543203</v>
      </c>
      <c r="F7" s="18">
        <v>3</v>
      </c>
      <c r="G7" s="28" t="s">
        <v>61</v>
      </c>
      <c r="H7" s="22">
        <v>1.6439086917710601E-8</v>
      </c>
      <c r="I7" t="s">
        <v>46</v>
      </c>
      <c r="J7" s="6" t="s">
        <v>47</v>
      </c>
      <c r="K7" s="6"/>
    </row>
    <row r="8" spans="1:11" s="4" customFormat="1" x14ac:dyDescent="0.2">
      <c r="A8" s="47" t="s">
        <v>59</v>
      </c>
      <c r="B8" s="44" t="s">
        <v>12</v>
      </c>
      <c r="C8" s="50"/>
      <c r="D8" s="36" t="s">
        <v>50</v>
      </c>
      <c r="E8" s="15">
        <v>2872.4103877487</v>
      </c>
      <c r="F8" s="19">
        <v>1</v>
      </c>
      <c r="G8" s="25" t="s">
        <v>61</v>
      </c>
      <c r="H8" s="23">
        <v>0</v>
      </c>
    </row>
    <row r="9" spans="1:11" s="4" customFormat="1" x14ac:dyDescent="0.2">
      <c r="A9" s="47"/>
      <c r="B9" s="44"/>
      <c r="C9" s="50"/>
      <c r="D9" s="33" t="s">
        <v>6</v>
      </c>
      <c r="E9" s="11">
        <v>1374.8223866486101</v>
      </c>
      <c r="F9" s="17">
        <v>1</v>
      </c>
      <c r="G9" s="24" t="s">
        <v>61</v>
      </c>
      <c r="H9" s="21">
        <v>6.21746552161211E-301</v>
      </c>
    </row>
    <row r="10" spans="1:11" s="4" customFormat="1" ht="17" thickBot="1" x14ac:dyDescent="0.25">
      <c r="A10" s="47"/>
      <c r="B10" s="44"/>
      <c r="C10" s="50"/>
      <c r="D10" s="35" t="s">
        <v>62</v>
      </c>
      <c r="E10" s="14">
        <v>10.4742668653591</v>
      </c>
      <c r="F10" s="18">
        <v>3</v>
      </c>
      <c r="G10" s="28">
        <v>1.4936479738363199E-2</v>
      </c>
      <c r="H10" s="22">
        <v>1.4936479738363199E-2</v>
      </c>
    </row>
    <row r="11" spans="1:11" s="4" customFormat="1" x14ac:dyDescent="0.2">
      <c r="A11" s="47" t="s">
        <v>58</v>
      </c>
      <c r="B11" s="44"/>
      <c r="C11" s="50"/>
      <c r="D11" s="36" t="s">
        <v>50</v>
      </c>
      <c r="E11" s="15">
        <v>2770.5576305362902</v>
      </c>
      <c r="F11" s="19">
        <v>1</v>
      </c>
      <c r="G11" s="25" t="s">
        <v>61</v>
      </c>
      <c r="H11" s="23">
        <v>0</v>
      </c>
    </row>
    <row r="12" spans="1:11" s="4" customFormat="1" x14ac:dyDescent="0.2">
      <c r="A12" s="47"/>
      <c r="B12" s="44"/>
      <c r="C12" s="50"/>
      <c r="D12" s="33" t="s">
        <v>6</v>
      </c>
      <c r="E12" s="11">
        <v>1370.95951269636</v>
      </c>
      <c r="F12" s="17">
        <v>1</v>
      </c>
      <c r="G12" s="24" t="s">
        <v>61</v>
      </c>
      <c r="H12" s="21">
        <v>4.29571937488022E-300</v>
      </c>
    </row>
    <row r="13" spans="1:11" s="4" customFormat="1" ht="17" thickBot="1" x14ac:dyDescent="0.25">
      <c r="A13" s="47"/>
      <c r="B13" s="44"/>
      <c r="C13" s="50"/>
      <c r="D13" s="35" t="s">
        <v>62</v>
      </c>
      <c r="E13" s="14">
        <v>21.121519856631899</v>
      </c>
      <c r="F13" s="18">
        <v>4</v>
      </c>
      <c r="G13" s="28">
        <v>2.9957572644237501E-4</v>
      </c>
      <c r="H13" s="22">
        <v>2.9957572644237501E-4</v>
      </c>
    </row>
    <row r="14" spans="1:11" s="4" customFormat="1" x14ac:dyDescent="0.2">
      <c r="A14" s="47" t="s">
        <v>8</v>
      </c>
      <c r="B14" s="44"/>
      <c r="C14" s="50"/>
      <c r="D14" s="36" t="s">
        <v>50</v>
      </c>
      <c r="E14" s="15">
        <v>2805.1164650886499</v>
      </c>
      <c r="F14" s="19">
        <v>1</v>
      </c>
      <c r="G14" s="25" t="s">
        <v>61</v>
      </c>
      <c r="H14" s="23">
        <v>0</v>
      </c>
    </row>
    <row r="15" spans="1:11" s="4" customFormat="1" x14ac:dyDescent="0.2">
      <c r="A15" s="47"/>
      <c r="B15" s="44"/>
      <c r="C15" s="50"/>
      <c r="D15" s="33" t="s">
        <v>6</v>
      </c>
      <c r="E15" s="11">
        <v>1357.2600880606101</v>
      </c>
      <c r="F15" s="17">
        <v>1</v>
      </c>
      <c r="G15" s="24" t="s">
        <v>61</v>
      </c>
      <c r="H15" s="21">
        <v>4.0738567585327699E-297</v>
      </c>
    </row>
    <row r="16" spans="1:11" s="4" customFormat="1" ht="17" thickBot="1" x14ac:dyDescent="0.25">
      <c r="A16" s="47"/>
      <c r="B16" s="44"/>
      <c r="C16" s="50"/>
      <c r="D16" s="35" t="s">
        <v>62</v>
      </c>
      <c r="E16" s="14">
        <v>1.9840534192986099</v>
      </c>
      <c r="F16" s="18">
        <v>3</v>
      </c>
      <c r="G16" s="26">
        <v>0.57572306563768605</v>
      </c>
      <c r="H16" s="22">
        <v>0.57572306563768605</v>
      </c>
    </row>
    <row r="17" spans="1:8" s="4" customFormat="1" x14ac:dyDescent="0.2">
      <c r="A17" s="47" t="s">
        <v>60</v>
      </c>
      <c r="B17" s="44"/>
      <c r="C17" s="50"/>
      <c r="D17" s="36" t="s">
        <v>50</v>
      </c>
      <c r="E17" s="15">
        <v>2810.8728930510702</v>
      </c>
      <c r="F17" s="19">
        <v>1</v>
      </c>
      <c r="G17" s="25" t="s">
        <v>61</v>
      </c>
      <c r="H17" s="23">
        <v>0</v>
      </c>
    </row>
    <row r="18" spans="1:8" s="4" customFormat="1" x14ac:dyDescent="0.2">
      <c r="A18" s="47"/>
      <c r="B18" s="44"/>
      <c r="C18" s="50"/>
      <c r="D18" s="33" t="s">
        <v>6</v>
      </c>
      <c r="E18" s="11">
        <v>1349.7624537464999</v>
      </c>
      <c r="F18" s="17">
        <v>1</v>
      </c>
      <c r="G18" s="24" t="s">
        <v>61</v>
      </c>
      <c r="H18" s="21">
        <v>1.7349919187394899E-295</v>
      </c>
    </row>
    <row r="19" spans="1:8" s="4" customFormat="1" ht="17" thickBot="1" x14ac:dyDescent="0.25">
      <c r="A19" s="47"/>
      <c r="B19" s="44"/>
      <c r="C19" s="50"/>
      <c r="D19" s="35" t="s">
        <v>62</v>
      </c>
      <c r="E19" s="14">
        <v>1.01647501460154</v>
      </c>
      <c r="F19" s="18">
        <v>4</v>
      </c>
      <c r="G19" s="26">
        <v>0.90728763440189597</v>
      </c>
      <c r="H19" s="22">
        <v>0.90728763440189597</v>
      </c>
    </row>
    <row r="20" spans="1:8" s="4" customFormat="1" x14ac:dyDescent="0.2">
      <c r="A20" s="47" t="s">
        <v>59</v>
      </c>
      <c r="B20" s="44" t="s">
        <v>13</v>
      </c>
      <c r="C20" s="50"/>
      <c r="D20" s="36" t="s">
        <v>50</v>
      </c>
      <c r="E20" s="10">
        <v>993.37931948195501</v>
      </c>
      <c r="F20" s="16">
        <v>1</v>
      </c>
      <c r="G20" s="29" t="s">
        <v>61</v>
      </c>
      <c r="H20" s="20">
        <v>4.9359183411887004E-218</v>
      </c>
    </row>
    <row r="21" spans="1:8" s="4" customFormat="1" x14ac:dyDescent="0.2">
      <c r="A21" s="47"/>
      <c r="B21" s="44"/>
      <c r="C21" s="50"/>
      <c r="D21" s="33" t="s">
        <v>6</v>
      </c>
      <c r="E21" s="11">
        <v>186.01256926129099</v>
      </c>
      <c r="F21" s="17">
        <v>1</v>
      </c>
      <c r="G21" s="24" t="s">
        <v>61</v>
      </c>
      <c r="H21" s="21">
        <v>2.3591118761285099E-42</v>
      </c>
    </row>
    <row r="22" spans="1:8" s="4" customFormat="1" x14ac:dyDescent="0.2">
      <c r="A22" s="47"/>
      <c r="B22" s="44"/>
      <c r="C22" s="50"/>
      <c r="D22" s="33" t="s">
        <v>62</v>
      </c>
      <c r="E22" s="38">
        <v>13.7759024151218</v>
      </c>
      <c r="F22" s="39">
        <v>3</v>
      </c>
      <c r="G22" s="30">
        <v>3.2266145360817502E-3</v>
      </c>
      <c r="H22" s="27">
        <v>3.2266145360817502E-3</v>
      </c>
    </row>
    <row r="23" spans="1:8" s="4" customFormat="1" ht="17" thickBot="1" x14ac:dyDescent="0.25">
      <c r="A23" s="47"/>
      <c r="B23" s="44"/>
      <c r="C23" s="50"/>
      <c r="D23" s="37" t="s">
        <v>14</v>
      </c>
      <c r="E23" s="14">
        <v>16.923663354455002</v>
      </c>
      <c r="F23" s="18">
        <v>1</v>
      </c>
      <c r="G23" s="26" t="s">
        <v>61</v>
      </c>
      <c r="H23" s="22">
        <v>3.8913451800605003E-5</v>
      </c>
    </row>
    <row r="24" spans="1:8" s="4" customFormat="1" x14ac:dyDescent="0.2">
      <c r="A24" s="47" t="s">
        <v>58</v>
      </c>
      <c r="B24" s="44"/>
      <c r="C24" s="50"/>
      <c r="D24" s="32" t="s">
        <v>50</v>
      </c>
      <c r="E24" s="31">
        <v>892.90135785107202</v>
      </c>
      <c r="F24" s="19">
        <v>1</v>
      </c>
      <c r="G24" s="25" t="s">
        <v>61</v>
      </c>
      <c r="H24" s="23">
        <v>3.4275751780307598E-196</v>
      </c>
    </row>
    <row r="25" spans="1:8" s="4" customFormat="1" x14ac:dyDescent="0.2">
      <c r="A25" s="47"/>
      <c r="B25" s="44"/>
      <c r="C25" s="50"/>
      <c r="D25" s="33" t="s">
        <v>6</v>
      </c>
      <c r="E25" s="12">
        <v>180.805075919366</v>
      </c>
      <c r="F25" s="17">
        <v>1</v>
      </c>
      <c r="G25" s="24" t="s">
        <v>61</v>
      </c>
      <c r="H25" s="21">
        <v>3.2332679917935E-41</v>
      </c>
    </row>
    <row r="26" spans="1:8" s="4" customFormat="1" x14ac:dyDescent="0.2">
      <c r="A26" s="47"/>
      <c r="B26" s="44"/>
      <c r="C26" s="50"/>
      <c r="D26" s="34" t="s">
        <v>62</v>
      </c>
      <c r="E26" s="12">
        <v>0.364611395997813</v>
      </c>
      <c r="F26" s="17">
        <v>2</v>
      </c>
      <c r="G26" s="24">
        <v>0.83334654910066597</v>
      </c>
      <c r="H26" s="21">
        <v>0.83334654910066597</v>
      </c>
    </row>
    <row r="27" spans="1:8" s="4" customFormat="1" ht="17" thickBot="1" x14ac:dyDescent="0.25">
      <c r="A27" s="47"/>
      <c r="B27" s="44"/>
      <c r="C27" s="50"/>
      <c r="D27" s="35" t="s">
        <v>14</v>
      </c>
      <c r="E27" s="13">
        <v>19.955690515711701</v>
      </c>
      <c r="F27" s="18">
        <v>1</v>
      </c>
      <c r="G27" s="26" t="s">
        <v>61</v>
      </c>
      <c r="H27" s="22">
        <v>7.9257714665042108E-6</v>
      </c>
    </row>
    <row r="28" spans="1:8" s="4" customFormat="1" x14ac:dyDescent="0.2">
      <c r="A28" s="47" t="s">
        <v>8</v>
      </c>
      <c r="B28" s="44"/>
      <c r="C28" s="50"/>
      <c r="D28" s="32" t="s">
        <v>50</v>
      </c>
      <c r="E28" s="31">
        <v>894.15646796556996</v>
      </c>
      <c r="F28" s="19">
        <v>1</v>
      </c>
      <c r="G28" s="25" t="s">
        <v>61</v>
      </c>
      <c r="H28" s="23">
        <v>1.8286852000422501E-196</v>
      </c>
    </row>
    <row r="29" spans="1:8" s="4" customFormat="1" x14ac:dyDescent="0.2">
      <c r="A29" s="47"/>
      <c r="B29" s="44"/>
      <c r="C29" s="50"/>
      <c r="D29" s="33" t="s">
        <v>6</v>
      </c>
      <c r="E29" s="12">
        <v>177.94975124336401</v>
      </c>
      <c r="F29" s="17">
        <v>1</v>
      </c>
      <c r="G29" s="24" t="s">
        <v>61</v>
      </c>
      <c r="H29" s="21">
        <v>1.3585845941920599E-40</v>
      </c>
    </row>
    <row r="30" spans="1:8" s="4" customFormat="1" x14ac:dyDescent="0.2">
      <c r="A30" s="47"/>
      <c r="B30" s="44"/>
      <c r="C30" s="50"/>
      <c r="D30" s="33" t="s">
        <v>62</v>
      </c>
      <c r="E30" s="12">
        <v>1.71666784231765</v>
      </c>
      <c r="F30" s="17">
        <v>3</v>
      </c>
      <c r="G30" s="24">
        <v>0.63323453282499498</v>
      </c>
      <c r="H30" s="21">
        <v>0.63323453282499498</v>
      </c>
    </row>
    <row r="31" spans="1:8" s="4" customFormat="1" ht="17" thickBot="1" x14ac:dyDescent="0.25">
      <c r="A31" s="47"/>
      <c r="B31" s="44"/>
      <c r="C31" s="50"/>
      <c r="D31" s="35" t="s">
        <v>14</v>
      </c>
      <c r="E31" s="13">
        <v>19.972166163846499</v>
      </c>
      <c r="F31" s="18">
        <v>1</v>
      </c>
      <c r="G31" s="26" t="s">
        <v>61</v>
      </c>
      <c r="H31" s="22">
        <v>7.8577698908667496E-6</v>
      </c>
    </row>
    <row r="32" spans="1:8" s="4" customFormat="1" x14ac:dyDescent="0.2">
      <c r="A32" s="47" t="s">
        <v>60</v>
      </c>
      <c r="B32" s="44"/>
      <c r="C32" s="50"/>
      <c r="D32" s="32" t="s">
        <v>50</v>
      </c>
      <c r="E32" s="31">
        <v>1013.62879138711</v>
      </c>
      <c r="F32" s="19">
        <v>1</v>
      </c>
      <c r="G32" s="25" t="s">
        <v>61</v>
      </c>
      <c r="H32" s="23">
        <v>1.9582935350914199E-222</v>
      </c>
    </row>
    <row r="33" spans="1:8" s="4" customFormat="1" x14ac:dyDescent="0.2">
      <c r="A33" s="47"/>
      <c r="B33" s="44"/>
      <c r="C33" s="50"/>
      <c r="D33" s="33" t="s">
        <v>6</v>
      </c>
      <c r="E33" s="12">
        <v>186.039159002134</v>
      </c>
      <c r="F33" s="17">
        <v>1</v>
      </c>
      <c r="G33" s="24" t="s">
        <v>61</v>
      </c>
      <c r="H33" s="21">
        <v>2.3277907335654199E-42</v>
      </c>
    </row>
    <row r="34" spans="1:8" s="4" customFormat="1" x14ac:dyDescent="0.2">
      <c r="A34" s="47"/>
      <c r="B34" s="44"/>
      <c r="C34" s="50"/>
      <c r="D34" s="33" t="s">
        <v>62</v>
      </c>
      <c r="E34" s="12">
        <v>8.7698547258539197</v>
      </c>
      <c r="F34" s="17">
        <v>4</v>
      </c>
      <c r="G34" s="24">
        <v>6.7116622313608598E-2</v>
      </c>
      <c r="H34" s="21">
        <v>6.7116622313608598E-2</v>
      </c>
    </row>
    <row r="35" spans="1:8" s="4" customFormat="1" ht="17" thickBot="1" x14ac:dyDescent="0.25">
      <c r="A35" s="48"/>
      <c r="B35" s="45"/>
      <c r="C35" s="51"/>
      <c r="D35" s="35" t="s">
        <v>14</v>
      </c>
      <c r="E35" s="13">
        <v>17.301906968771799</v>
      </c>
      <c r="F35" s="18">
        <v>1</v>
      </c>
      <c r="G35" s="26" t="s">
        <v>61</v>
      </c>
      <c r="H35" s="22">
        <v>3.1886669413129799E-5</v>
      </c>
    </row>
  </sheetData>
  <mergeCells count="16">
    <mergeCell ref="C2:C4"/>
    <mergeCell ref="C5:C35"/>
    <mergeCell ref="A2:A4"/>
    <mergeCell ref="A5:A7"/>
    <mergeCell ref="A8:A10"/>
    <mergeCell ref="A11:A13"/>
    <mergeCell ref="A14:A16"/>
    <mergeCell ref="A17:A19"/>
    <mergeCell ref="B20:B35"/>
    <mergeCell ref="B8:B19"/>
    <mergeCell ref="B5:B7"/>
    <mergeCell ref="B2:B4"/>
    <mergeCell ref="A20:A23"/>
    <mergeCell ref="A24:A27"/>
    <mergeCell ref="A28:A31"/>
    <mergeCell ref="A32:A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51559-BDF0-9B49-9ED9-E6A711315C29}">
  <dimension ref="A1:O65"/>
  <sheetViews>
    <sheetView tabSelected="1" topLeftCell="A2" workbookViewId="0">
      <selection activeCell="C10" sqref="C10"/>
    </sheetView>
  </sheetViews>
  <sheetFormatPr baseColWidth="10" defaultRowHeight="16" x14ac:dyDescent="0.2"/>
  <cols>
    <col min="1" max="3" width="10.83203125" style="53"/>
    <col min="4" max="4" width="13.6640625" style="53" bestFit="1" customWidth="1"/>
    <col min="5" max="8" width="10.83203125" style="53"/>
    <col min="9" max="9" width="12" style="53" bestFit="1" customWidth="1"/>
    <col min="10" max="10" width="15.1640625" style="53" customWidth="1"/>
    <col min="11" max="11" width="13.83203125" style="53" bestFit="1" customWidth="1"/>
    <col min="12" max="12" width="10.83203125" style="53"/>
    <col min="13" max="13" width="16.5" style="53" customWidth="1"/>
    <col min="14" max="16384" width="10.83203125" style="53"/>
  </cols>
  <sheetData>
    <row r="1" spans="1:15" x14ac:dyDescent="0.2">
      <c r="A1" s="53" t="s">
        <v>36</v>
      </c>
      <c r="B1" s="53" t="s">
        <v>37</v>
      </c>
      <c r="C1" s="53" t="s">
        <v>38</v>
      </c>
      <c r="D1" s="53" t="s">
        <v>39</v>
      </c>
      <c r="E1" s="53" t="s">
        <v>0</v>
      </c>
      <c r="F1" s="53" t="s">
        <v>1</v>
      </c>
      <c r="G1" s="53" t="s">
        <v>2</v>
      </c>
    </row>
    <row r="2" spans="1:15" x14ac:dyDescent="0.2">
      <c r="A2" s="4">
        <v>11</v>
      </c>
      <c r="B2" s="4">
        <v>973.05951100000004</v>
      </c>
      <c r="C2" s="4">
        <v>0</v>
      </c>
      <c r="D2" s="69" t="s">
        <v>41</v>
      </c>
      <c r="E2" s="4" t="s">
        <v>3</v>
      </c>
      <c r="F2" s="4" t="s">
        <v>4</v>
      </c>
      <c r="G2" s="4" t="s">
        <v>5</v>
      </c>
    </row>
    <row r="3" spans="1:15" s="55" customFormat="1" ht="17" thickBot="1" x14ac:dyDescent="0.25">
      <c r="A3" s="5">
        <v>8</v>
      </c>
      <c r="B3" s="5">
        <v>982.41311199999996</v>
      </c>
      <c r="C3" s="5">
        <v>9.3536000000000001</v>
      </c>
      <c r="D3" s="5" t="s">
        <v>40</v>
      </c>
      <c r="E3" s="5" t="s">
        <v>3</v>
      </c>
      <c r="F3" s="5" t="s">
        <v>4</v>
      </c>
      <c r="G3" s="5" t="s">
        <v>5</v>
      </c>
      <c r="J3" s="66" t="s">
        <v>65</v>
      </c>
      <c r="M3" s="66" t="s">
        <v>66</v>
      </c>
    </row>
    <row r="4" spans="1:15" x14ac:dyDescent="0.2">
      <c r="A4" s="53">
        <v>8</v>
      </c>
      <c r="B4" s="53">
        <v>982.41311199999996</v>
      </c>
      <c r="C4" s="53">
        <v>0</v>
      </c>
      <c r="D4" s="54" t="s">
        <v>40</v>
      </c>
      <c r="E4" s="53" t="s">
        <v>3</v>
      </c>
      <c r="F4" s="53" t="s">
        <v>4</v>
      </c>
      <c r="G4" s="53" t="s">
        <v>7</v>
      </c>
      <c r="J4" s="72"/>
      <c r="K4" s="73" t="s">
        <v>43</v>
      </c>
      <c r="L4" s="74" t="s">
        <v>32</v>
      </c>
      <c r="M4" s="75"/>
      <c r="N4" s="76" t="s">
        <v>43</v>
      </c>
      <c r="O4" s="77" t="s">
        <v>32</v>
      </c>
    </row>
    <row r="5" spans="1:15" s="55" customFormat="1" x14ac:dyDescent="0.2">
      <c r="A5" s="55">
        <v>10</v>
      </c>
      <c r="B5" s="55">
        <v>983.63622099999998</v>
      </c>
      <c r="C5" s="55">
        <v>1.2231099999999999</v>
      </c>
      <c r="D5" s="55" t="s">
        <v>41</v>
      </c>
      <c r="E5" s="55" t="s">
        <v>3</v>
      </c>
      <c r="F5" s="55" t="s">
        <v>4</v>
      </c>
      <c r="G5" s="55" t="s">
        <v>7</v>
      </c>
      <c r="J5" s="59" t="s">
        <v>42</v>
      </c>
      <c r="K5" s="60" t="s">
        <v>67</v>
      </c>
      <c r="L5" s="61" t="s">
        <v>3</v>
      </c>
      <c r="M5" s="59" t="s">
        <v>42</v>
      </c>
      <c r="N5" s="60" t="s">
        <v>13</v>
      </c>
      <c r="O5" s="61"/>
    </row>
    <row r="6" spans="1:15" x14ac:dyDescent="0.2">
      <c r="A6" s="53">
        <v>8</v>
      </c>
      <c r="B6" s="53">
        <v>982.41311199999996</v>
      </c>
      <c r="C6" s="53">
        <v>0</v>
      </c>
      <c r="D6" s="54" t="s">
        <v>40</v>
      </c>
      <c r="E6" s="53" t="s">
        <v>3</v>
      </c>
      <c r="F6" s="53" t="s">
        <v>4</v>
      </c>
      <c r="G6" s="53" t="s">
        <v>8</v>
      </c>
      <c r="J6" s="59" t="s">
        <v>44</v>
      </c>
      <c r="K6" s="60" t="s">
        <v>69</v>
      </c>
      <c r="L6" s="61"/>
      <c r="M6" s="59" t="s">
        <v>44</v>
      </c>
      <c r="N6" s="60"/>
      <c r="O6" s="61"/>
    </row>
    <row r="7" spans="1:15" s="55" customFormat="1" x14ac:dyDescent="0.2">
      <c r="A7" s="55">
        <v>11</v>
      </c>
      <c r="B7" s="55">
        <v>991.58577500000001</v>
      </c>
      <c r="C7" s="55">
        <v>9.1726600000000005</v>
      </c>
      <c r="D7" s="55" t="s">
        <v>41</v>
      </c>
      <c r="E7" s="55" t="s">
        <v>3</v>
      </c>
      <c r="F7" s="55" t="s">
        <v>4</v>
      </c>
      <c r="G7" s="55" t="s">
        <v>8</v>
      </c>
      <c r="J7" s="59" t="s">
        <v>45</v>
      </c>
      <c r="K7" s="60" t="s">
        <v>13</v>
      </c>
      <c r="L7" s="61"/>
      <c r="M7" s="59" t="s">
        <v>45</v>
      </c>
      <c r="N7" s="60"/>
      <c r="O7" s="61"/>
    </row>
    <row r="8" spans="1:15" ht="17" thickBot="1" x14ac:dyDescent="0.25">
      <c r="A8" s="53">
        <v>8</v>
      </c>
      <c r="B8" s="53">
        <v>982.41311199999996</v>
      </c>
      <c r="C8" s="53">
        <v>0</v>
      </c>
      <c r="D8" s="54" t="s">
        <v>40</v>
      </c>
      <c r="E8" s="53" t="s">
        <v>3</v>
      </c>
      <c r="F8" s="53" t="s">
        <v>4</v>
      </c>
      <c r="G8" s="53" t="s">
        <v>9</v>
      </c>
      <c r="I8" s="53" t="s">
        <v>5</v>
      </c>
      <c r="J8" s="62" t="s">
        <v>46</v>
      </c>
      <c r="K8" s="63" t="s">
        <v>11</v>
      </c>
      <c r="L8" s="64"/>
      <c r="M8" s="62" t="s">
        <v>46</v>
      </c>
      <c r="N8" s="63" t="s">
        <v>68</v>
      </c>
      <c r="O8" s="64"/>
    </row>
    <row r="9" spans="1:15" s="55" customFormat="1" x14ac:dyDescent="0.2">
      <c r="A9" s="55">
        <v>12</v>
      </c>
      <c r="B9" s="55">
        <v>996.99778400000002</v>
      </c>
      <c r="C9" s="55">
        <v>14.584669999999999</v>
      </c>
      <c r="D9" s="55" t="s">
        <v>41</v>
      </c>
      <c r="E9" s="55" t="s">
        <v>3</v>
      </c>
      <c r="F9" s="55" t="s">
        <v>4</v>
      </c>
      <c r="G9" s="55" t="s">
        <v>9</v>
      </c>
    </row>
    <row r="10" spans="1:15" x14ac:dyDescent="0.2">
      <c r="A10" s="53">
        <v>8</v>
      </c>
      <c r="B10" s="53">
        <v>980.35033299999998</v>
      </c>
      <c r="C10" s="53">
        <v>0</v>
      </c>
      <c r="D10" s="54" t="s">
        <v>40</v>
      </c>
      <c r="E10" s="53" t="s">
        <v>3</v>
      </c>
      <c r="F10" s="53" t="s">
        <v>10</v>
      </c>
      <c r="G10" s="53" t="s">
        <v>5</v>
      </c>
    </row>
    <row r="11" spans="1:15" s="55" customFormat="1" ht="17" thickBot="1" x14ac:dyDescent="0.25">
      <c r="A11" s="55">
        <v>11</v>
      </c>
      <c r="B11" s="55">
        <v>982.79235400000005</v>
      </c>
      <c r="C11" s="55">
        <v>2.4420199999999999</v>
      </c>
      <c r="D11" s="55" t="s">
        <v>41</v>
      </c>
      <c r="E11" s="55" t="s">
        <v>3</v>
      </c>
      <c r="F11" s="55" t="s">
        <v>10</v>
      </c>
      <c r="G11" s="55" t="s">
        <v>5</v>
      </c>
      <c r="J11" s="65" t="s">
        <v>64</v>
      </c>
      <c r="K11" s="53"/>
      <c r="L11" s="53"/>
    </row>
    <row r="12" spans="1:15" x14ac:dyDescent="0.2">
      <c r="A12" s="4">
        <v>10</v>
      </c>
      <c r="B12" s="4">
        <v>980.17748200000005</v>
      </c>
      <c r="C12" s="70">
        <v>0</v>
      </c>
      <c r="D12" s="4" t="s">
        <v>41</v>
      </c>
      <c r="E12" s="4" t="s">
        <v>3</v>
      </c>
      <c r="F12" s="4" t="s">
        <v>10</v>
      </c>
      <c r="G12" s="4" t="s">
        <v>7</v>
      </c>
      <c r="J12" s="56"/>
      <c r="K12" s="57" t="s">
        <v>43</v>
      </c>
      <c r="L12" s="58" t="s">
        <v>32</v>
      </c>
    </row>
    <row r="13" spans="1:15" s="55" customFormat="1" x14ac:dyDescent="0.2">
      <c r="A13" s="5">
        <v>8</v>
      </c>
      <c r="B13" s="5">
        <v>980.35033299999998</v>
      </c>
      <c r="C13" s="71">
        <v>0.17285</v>
      </c>
      <c r="D13" s="5" t="s">
        <v>40</v>
      </c>
      <c r="E13" s="5" t="s">
        <v>3</v>
      </c>
      <c r="F13" s="5" t="s">
        <v>10</v>
      </c>
      <c r="G13" s="5" t="s">
        <v>7</v>
      </c>
      <c r="J13" s="59" t="s">
        <v>42</v>
      </c>
      <c r="K13" s="60" t="s">
        <v>47</v>
      </c>
      <c r="L13" s="61" t="s">
        <v>3</v>
      </c>
    </row>
    <row r="14" spans="1:15" x14ac:dyDescent="0.2">
      <c r="A14" s="53">
        <v>8</v>
      </c>
      <c r="B14" s="53">
        <v>980.35033299999998</v>
      </c>
      <c r="C14" s="53">
        <v>0</v>
      </c>
      <c r="D14" s="54" t="s">
        <v>40</v>
      </c>
      <c r="E14" s="53" t="s">
        <v>3</v>
      </c>
      <c r="F14" s="53" t="s">
        <v>10</v>
      </c>
      <c r="G14" s="53" t="s">
        <v>8</v>
      </c>
      <c r="J14" s="59" t="s">
        <v>44</v>
      </c>
      <c r="K14" s="60" t="s">
        <v>48</v>
      </c>
      <c r="L14" s="61"/>
    </row>
    <row r="15" spans="1:15" s="55" customFormat="1" x14ac:dyDescent="0.2">
      <c r="A15" s="55">
        <v>11</v>
      </c>
      <c r="B15" s="55">
        <v>983.64743299999998</v>
      </c>
      <c r="C15" s="55">
        <v>3.2970999999999999</v>
      </c>
      <c r="D15" s="55" t="s">
        <v>41</v>
      </c>
      <c r="E15" s="55" t="s">
        <v>3</v>
      </c>
      <c r="F15" s="55" t="s">
        <v>10</v>
      </c>
      <c r="G15" s="55" t="s">
        <v>8</v>
      </c>
      <c r="J15" s="59" t="s">
        <v>45</v>
      </c>
      <c r="K15" s="60" t="s">
        <v>47</v>
      </c>
      <c r="L15" s="61"/>
    </row>
    <row r="16" spans="1:15" ht="17" thickBot="1" x14ac:dyDescent="0.25">
      <c r="A16" s="53">
        <v>8</v>
      </c>
      <c r="B16" s="53">
        <v>980.35033299999998</v>
      </c>
      <c r="C16" s="53">
        <v>0</v>
      </c>
      <c r="D16" s="54" t="s">
        <v>40</v>
      </c>
      <c r="E16" s="53" t="s">
        <v>3</v>
      </c>
      <c r="F16" s="53" t="s">
        <v>10</v>
      </c>
      <c r="G16" s="53" t="s">
        <v>9</v>
      </c>
      <c r="J16" s="62" t="s">
        <v>46</v>
      </c>
      <c r="K16" s="63" t="s">
        <v>47</v>
      </c>
      <c r="L16" s="64"/>
    </row>
    <row r="17" spans="1:7" s="55" customFormat="1" x14ac:dyDescent="0.2">
      <c r="A17" s="55">
        <v>12</v>
      </c>
      <c r="B17" s="55">
        <v>996.08594000000005</v>
      </c>
      <c r="C17" s="55">
        <v>15.735609999999999</v>
      </c>
      <c r="D17" s="55" t="s">
        <v>41</v>
      </c>
      <c r="E17" s="55" t="s">
        <v>3</v>
      </c>
      <c r="F17" s="55" t="s">
        <v>10</v>
      </c>
      <c r="G17" s="55" t="s">
        <v>9</v>
      </c>
    </row>
    <row r="18" spans="1:7" x14ac:dyDescent="0.2">
      <c r="A18" s="4">
        <v>11</v>
      </c>
      <c r="B18" s="4">
        <v>1306.5701200000001</v>
      </c>
      <c r="C18" s="70">
        <v>0</v>
      </c>
      <c r="D18" s="68" t="s">
        <v>41</v>
      </c>
      <c r="E18" s="4" t="s">
        <v>11</v>
      </c>
      <c r="F18" s="4" t="s">
        <v>4</v>
      </c>
      <c r="G18" s="4" t="s">
        <v>5</v>
      </c>
    </row>
    <row r="19" spans="1:7" s="55" customFormat="1" x14ac:dyDescent="0.2">
      <c r="A19" s="5">
        <v>8</v>
      </c>
      <c r="B19" s="5">
        <v>1307.6201699999999</v>
      </c>
      <c r="C19" s="71">
        <v>1.0500499999999999</v>
      </c>
      <c r="D19" s="5" t="s">
        <v>40</v>
      </c>
      <c r="E19" s="5" t="s">
        <v>11</v>
      </c>
      <c r="F19" s="5" t="s">
        <v>4</v>
      </c>
      <c r="G19" s="5" t="s">
        <v>5</v>
      </c>
    </row>
    <row r="20" spans="1:7" x14ac:dyDescent="0.2">
      <c r="A20" s="4">
        <v>10</v>
      </c>
      <c r="B20" s="4">
        <v>1304.29546</v>
      </c>
      <c r="C20" s="70">
        <v>0</v>
      </c>
      <c r="D20" s="68" t="s">
        <v>41</v>
      </c>
      <c r="E20" s="4" t="s">
        <v>11</v>
      </c>
      <c r="F20" s="4" t="s">
        <v>4</v>
      </c>
      <c r="G20" s="4" t="s">
        <v>7</v>
      </c>
    </row>
    <row r="21" spans="1:7" s="55" customFormat="1" x14ac:dyDescent="0.2">
      <c r="A21" s="5">
        <v>8</v>
      </c>
      <c r="B21" s="5">
        <v>1307.6201699999999</v>
      </c>
      <c r="C21" s="71">
        <v>3.3247</v>
      </c>
      <c r="D21" s="5" t="s">
        <v>40</v>
      </c>
      <c r="E21" s="5" t="s">
        <v>11</v>
      </c>
      <c r="F21" s="5" t="s">
        <v>4</v>
      </c>
      <c r="G21" s="5" t="s">
        <v>7</v>
      </c>
    </row>
    <row r="22" spans="1:7" x14ac:dyDescent="0.2">
      <c r="A22" s="4">
        <v>11</v>
      </c>
      <c r="B22" s="4">
        <v>1302.2471</v>
      </c>
      <c r="C22" s="70">
        <v>0</v>
      </c>
      <c r="D22" s="4" t="s">
        <v>41</v>
      </c>
      <c r="E22" s="4" t="s">
        <v>11</v>
      </c>
      <c r="F22" s="4" t="s">
        <v>4</v>
      </c>
      <c r="G22" s="4" t="s">
        <v>8</v>
      </c>
    </row>
    <row r="23" spans="1:7" s="55" customFormat="1" x14ac:dyDescent="0.2">
      <c r="A23" s="5">
        <v>8</v>
      </c>
      <c r="B23" s="5">
        <v>1307.6201699999999</v>
      </c>
      <c r="C23" s="71">
        <v>5.3730700000000002</v>
      </c>
      <c r="D23" s="5" t="s">
        <v>40</v>
      </c>
      <c r="E23" s="5" t="s">
        <v>11</v>
      </c>
      <c r="F23" s="5" t="s">
        <v>4</v>
      </c>
      <c r="G23" s="5" t="s">
        <v>8</v>
      </c>
    </row>
    <row r="24" spans="1:7" x14ac:dyDescent="0.2">
      <c r="A24" s="53">
        <v>8</v>
      </c>
      <c r="B24" s="53">
        <v>1307.6201699999999</v>
      </c>
      <c r="C24" s="53">
        <v>0</v>
      </c>
      <c r="D24" s="54" t="s">
        <v>40</v>
      </c>
      <c r="E24" s="53" t="s">
        <v>11</v>
      </c>
      <c r="F24" s="53" t="s">
        <v>4</v>
      </c>
      <c r="G24" s="53" t="s">
        <v>9</v>
      </c>
    </row>
    <row r="25" spans="1:7" s="55" customFormat="1" x14ac:dyDescent="0.2">
      <c r="A25" s="55">
        <v>12</v>
      </c>
      <c r="B25" s="55">
        <v>1312.1690900000001</v>
      </c>
      <c r="C25" s="55">
        <v>4.5489300000000004</v>
      </c>
      <c r="D25" s="55" t="s">
        <v>41</v>
      </c>
      <c r="E25" s="55" t="s">
        <v>11</v>
      </c>
      <c r="F25" s="55" t="s">
        <v>4</v>
      </c>
      <c r="G25" s="55" t="s">
        <v>9</v>
      </c>
    </row>
    <row r="26" spans="1:7" x14ac:dyDescent="0.2">
      <c r="A26" s="53">
        <v>7</v>
      </c>
      <c r="B26" s="53">
        <v>463.29983399999998</v>
      </c>
      <c r="C26" s="53">
        <v>0</v>
      </c>
      <c r="D26" s="54" t="s">
        <v>40</v>
      </c>
      <c r="E26" s="53" t="s">
        <v>11</v>
      </c>
      <c r="F26" s="53" t="s">
        <v>10</v>
      </c>
      <c r="G26" s="53" t="s">
        <v>5</v>
      </c>
    </row>
    <row r="27" spans="1:7" s="55" customFormat="1" x14ac:dyDescent="0.2">
      <c r="A27" s="55">
        <v>10</v>
      </c>
      <c r="B27" s="55">
        <v>469.35962899999998</v>
      </c>
      <c r="C27" s="55">
        <v>6.0597899999999996</v>
      </c>
      <c r="D27" s="55" t="s">
        <v>41</v>
      </c>
      <c r="E27" s="55" t="s">
        <v>11</v>
      </c>
      <c r="F27" s="55" t="s">
        <v>10</v>
      </c>
      <c r="G27" s="55" t="s">
        <v>5</v>
      </c>
    </row>
    <row r="28" spans="1:7" x14ac:dyDescent="0.2">
      <c r="A28" s="53">
        <v>7</v>
      </c>
      <c r="B28" s="53">
        <v>463.29983399999998</v>
      </c>
      <c r="C28" s="53">
        <v>0</v>
      </c>
      <c r="D28" s="54" t="s">
        <v>40</v>
      </c>
      <c r="E28" s="53" t="s">
        <v>11</v>
      </c>
      <c r="F28" s="53" t="s">
        <v>10</v>
      </c>
      <c r="G28" s="53" t="s">
        <v>7</v>
      </c>
    </row>
    <row r="29" spans="1:7" s="55" customFormat="1" x14ac:dyDescent="0.2">
      <c r="A29" s="55">
        <v>9</v>
      </c>
      <c r="B29" s="55">
        <v>474.816214</v>
      </c>
      <c r="C29" s="55">
        <v>11.51638</v>
      </c>
      <c r="D29" s="55" t="s">
        <v>41</v>
      </c>
      <c r="E29" s="55" t="s">
        <v>11</v>
      </c>
      <c r="F29" s="55" t="s">
        <v>10</v>
      </c>
      <c r="G29" s="55" t="s">
        <v>7</v>
      </c>
    </row>
    <row r="30" spans="1:7" x14ac:dyDescent="0.2">
      <c r="A30" s="53">
        <v>7</v>
      </c>
      <c r="B30" s="53">
        <v>463.29983399999998</v>
      </c>
      <c r="C30" s="53">
        <v>0</v>
      </c>
      <c r="D30" s="54" t="s">
        <v>40</v>
      </c>
      <c r="E30" s="53" t="s">
        <v>11</v>
      </c>
      <c r="F30" s="53" t="s">
        <v>10</v>
      </c>
      <c r="G30" s="53" t="s">
        <v>8</v>
      </c>
    </row>
    <row r="31" spans="1:7" s="55" customFormat="1" x14ac:dyDescent="0.2">
      <c r="A31" s="55">
        <v>10</v>
      </c>
      <c r="B31" s="55">
        <v>469.18734799999999</v>
      </c>
      <c r="C31" s="55">
        <v>5.8875099999999998</v>
      </c>
      <c r="D31" s="55" t="s">
        <v>41</v>
      </c>
      <c r="E31" s="55" t="s">
        <v>11</v>
      </c>
      <c r="F31" s="55" t="s">
        <v>10</v>
      </c>
      <c r="G31" s="55" t="s">
        <v>8</v>
      </c>
    </row>
    <row r="32" spans="1:7" x14ac:dyDescent="0.2">
      <c r="A32" s="53">
        <v>7</v>
      </c>
      <c r="B32" s="53">
        <v>463.29983399999998</v>
      </c>
      <c r="C32" s="53">
        <v>0</v>
      </c>
      <c r="D32" s="54" t="s">
        <v>40</v>
      </c>
      <c r="E32" s="53" t="s">
        <v>11</v>
      </c>
      <c r="F32" s="53" t="s">
        <v>10</v>
      </c>
      <c r="G32" s="53" t="s">
        <v>9</v>
      </c>
    </row>
    <row r="33" spans="1:7" s="55" customFormat="1" x14ac:dyDescent="0.2">
      <c r="A33" s="55">
        <v>11</v>
      </c>
      <c r="B33" s="55">
        <v>487.28690799999998</v>
      </c>
      <c r="C33" s="55">
        <v>23.987069999999999</v>
      </c>
      <c r="D33" s="55" t="s">
        <v>41</v>
      </c>
      <c r="E33" s="55" t="s">
        <v>11</v>
      </c>
      <c r="F33" s="55" t="s">
        <v>10</v>
      </c>
      <c r="G33" s="55" t="s">
        <v>9</v>
      </c>
    </row>
    <row r="34" spans="1:7" x14ac:dyDescent="0.2">
      <c r="A34" s="53">
        <v>8</v>
      </c>
      <c r="B34" s="53">
        <v>3073.3060500000001</v>
      </c>
      <c r="C34" s="53">
        <v>0</v>
      </c>
      <c r="D34" s="67" t="s">
        <v>40</v>
      </c>
      <c r="E34" s="53" t="s">
        <v>12</v>
      </c>
      <c r="F34" s="53" t="s">
        <v>4</v>
      </c>
      <c r="G34" s="53" t="s">
        <v>5</v>
      </c>
    </row>
    <row r="35" spans="1:7" s="55" customFormat="1" x14ac:dyDescent="0.2">
      <c r="A35" s="55">
        <v>11</v>
      </c>
      <c r="B35" s="55">
        <v>3074.0188499999999</v>
      </c>
      <c r="C35" s="55">
        <v>0.71279999999999999</v>
      </c>
      <c r="D35" s="55" t="s">
        <v>41</v>
      </c>
      <c r="E35" s="55" t="s">
        <v>12</v>
      </c>
      <c r="F35" s="55" t="s">
        <v>4</v>
      </c>
      <c r="G35" s="55" t="s">
        <v>5</v>
      </c>
    </row>
    <row r="36" spans="1:7" x14ac:dyDescent="0.2">
      <c r="A36" s="4">
        <v>11</v>
      </c>
      <c r="B36" s="4">
        <v>3069.46956</v>
      </c>
      <c r="C36" s="70">
        <v>0</v>
      </c>
      <c r="D36" s="4" t="s">
        <v>41</v>
      </c>
      <c r="E36" s="4" t="s">
        <v>12</v>
      </c>
      <c r="F36" s="4" t="s">
        <v>4</v>
      </c>
      <c r="G36" s="4" t="s">
        <v>7</v>
      </c>
    </row>
    <row r="37" spans="1:7" s="55" customFormat="1" x14ac:dyDescent="0.2">
      <c r="A37" s="5">
        <v>8</v>
      </c>
      <c r="B37" s="5">
        <v>3073.3060500000001</v>
      </c>
      <c r="C37" s="71">
        <v>3.83649</v>
      </c>
      <c r="D37" s="5" t="s">
        <v>40</v>
      </c>
      <c r="E37" s="5" t="s">
        <v>12</v>
      </c>
      <c r="F37" s="5" t="s">
        <v>4</v>
      </c>
      <c r="G37" s="5" t="s">
        <v>7</v>
      </c>
    </row>
    <row r="38" spans="1:7" x14ac:dyDescent="0.2">
      <c r="A38" s="4">
        <v>11</v>
      </c>
      <c r="B38" s="4">
        <v>3067.0013899999999</v>
      </c>
      <c r="C38" s="70">
        <v>0</v>
      </c>
      <c r="D38" s="4" t="s">
        <v>41</v>
      </c>
      <c r="E38" s="4" t="s">
        <v>12</v>
      </c>
      <c r="F38" s="4" t="s">
        <v>4</v>
      </c>
      <c r="G38" s="4" t="s">
        <v>8</v>
      </c>
    </row>
    <row r="39" spans="1:7" s="55" customFormat="1" x14ac:dyDescent="0.2">
      <c r="A39" s="5">
        <v>8</v>
      </c>
      <c r="B39" s="5">
        <v>3073.3060500000001</v>
      </c>
      <c r="C39" s="71">
        <v>6.3046600000000002</v>
      </c>
      <c r="D39" s="5" t="s">
        <v>40</v>
      </c>
      <c r="E39" s="5" t="s">
        <v>12</v>
      </c>
      <c r="F39" s="5" t="s">
        <v>4</v>
      </c>
      <c r="G39" s="5" t="s">
        <v>8</v>
      </c>
    </row>
    <row r="40" spans="1:7" x14ac:dyDescent="0.2">
      <c r="A40" s="53">
        <v>8</v>
      </c>
      <c r="B40" s="53">
        <v>3073.3060500000001</v>
      </c>
      <c r="C40" s="53">
        <v>0</v>
      </c>
      <c r="D40" s="67" t="s">
        <v>40</v>
      </c>
      <c r="E40" s="53" t="s">
        <v>12</v>
      </c>
      <c r="F40" s="53" t="s">
        <v>4</v>
      </c>
      <c r="G40" s="53" t="s">
        <v>9</v>
      </c>
    </row>
    <row r="41" spans="1:7" s="55" customFormat="1" x14ac:dyDescent="0.2">
      <c r="A41" s="55">
        <v>12</v>
      </c>
      <c r="B41" s="55">
        <v>3083.8710700000001</v>
      </c>
      <c r="C41" s="55">
        <v>10.565020000000001</v>
      </c>
      <c r="D41" s="55" t="s">
        <v>41</v>
      </c>
      <c r="E41" s="55" t="s">
        <v>12</v>
      </c>
      <c r="F41" s="55" t="s">
        <v>4</v>
      </c>
      <c r="G41" s="55" t="s">
        <v>9</v>
      </c>
    </row>
    <row r="42" spans="1:7" x14ac:dyDescent="0.2">
      <c r="A42" s="53">
        <v>7</v>
      </c>
      <c r="B42" s="53">
        <v>608.98226999999997</v>
      </c>
      <c r="C42" s="53">
        <v>0</v>
      </c>
      <c r="D42" s="54" t="s">
        <v>40</v>
      </c>
      <c r="E42" s="53" t="s">
        <v>12</v>
      </c>
      <c r="F42" s="53" t="s">
        <v>10</v>
      </c>
      <c r="G42" s="53" t="s">
        <v>5</v>
      </c>
    </row>
    <row r="43" spans="1:7" s="55" customFormat="1" x14ac:dyDescent="0.2">
      <c r="A43" s="55">
        <v>10</v>
      </c>
      <c r="B43" s="55">
        <v>615.29763700000001</v>
      </c>
      <c r="C43" s="55">
        <v>6.3153699999999997</v>
      </c>
      <c r="D43" s="55" t="s">
        <v>41</v>
      </c>
      <c r="E43" s="55" t="s">
        <v>12</v>
      </c>
      <c r="F43" s="55" t="s">
        <v>10</v>
      </c>
      <c r="G43" s="55" t="s">
        <v>5</v>
      </c>
    </row>
    <row r="44" spans="1:7" x14ac:dyDescent="0.2">
      <c r="A44" s="53">
        <v>7</v>
      </c>
      <c r="B44" s="53">
        <v>608.98226999999997</v>
      </c>
      <c r="C44" s="53">
        <v>0</v>
      </c>
      <c r="D44" s="54" t="s">
        <v>40</v>
      </c>
      <c r="E44" s="53" t="s">
        <v>12</v>
      </c>
      <c r="F44" s="53" t="s">
        <v>10</v>
      </c>
      <c r="G44" s="53" t="s">
        <v>7</v>
      </c>
    </row>
    <row r="45" spans="1:7" s="55" customFormat="1" x14ac:dyDescent="0.2">
      <c r="A45" s="55">
        <v>9</v>
      </c>
      <c r="B45" s="55">
        <v>624.97507399999995</v>
      </c>
      <c r="C45" s="55">
        <v>15.992800000000001</v>
      </c>
      <c r="D45" s="55" t="s">
        <v>41</v>
      </c>
      <c r="E45" s="55" t="s">
        <v>12</v>
      </c>
      <c r="F45" s="55" t="s">
        <v>10</v>
      </c>
      <c r="G45" s="55" t="s">
        <v>7</v>
      </c>
    </row>
    <row r="46" spans="1:7" x14ac:dyDescent="0.2">
      <c r="A46" s="53">
        <v>7</v>
      </c>
      <c r="B46" s="53">
        <v>608.98226999999997</v>
      </c>
      <c r="C46" s="53">
        <v>0</v>
      </c>
      <c r="D46" s="54" t="s">
        <v>40</v>
      </c>
      <c r="E46" s="53" t="s">
        <v>12</v>
      </c>
      <c r="F46" s="53" t="s">
        <v>10</v>
      </c>
      <c r="G46" s="53" t="s">
        <v>8</v>
      </c>
    </row>
    <row r="47" spans="1:7" s="55" customFormat="1" x14ac:dyDescent="0.2">
      <c r="A47" s="55">
        <v>10</v>
      </c>
      <c r="B47" s="55">
        <v>618.17832999999996</v>
      </c>
      <c r="C47" s="55">
        <v>9.1960599999999992</v>
      </c>
      <c r="D47" s="55" t="s">
        <v>41</v>
      </c>
      <c r="E47" s="55" t="s">
        <v>12</v>
      </c>
      <c r="F47" s="55" t="s">
        <v>10</v>
      </c>
      <c r="G47" s="55" t="s">
        <v>8</v>
      </c>
    </row>
    <row r="48" spans="1:7" x14ac:dyDescent="0.2">
      <c r="A48" s="53">
        <v>7</v>
      </c>
      <c r="B48" s="53">
        <v>608.98226999999997</v>
      </c>
      <c r="C48" s="53">
        <v>0</v>
      </c>
      <c r="D48" s="54" t="s">
        <v>40</v>
      </c>
      <c r="E48" s="53" t="s">
        <v>12</v>
      </c>
      <c r="F48" s="53" t="s">
        <v>10</v>
      </c>
      <c r="G48" s="53" t="s">
        <v>9</v>
      </c>
    </row>
    <row r="49" spans="1:7" s="55" customFormat="1" x14ac:dyDescent="0.2">
      <c r="A49" s="55">
        <v>11</v>
      </c>
      <c r="B49" s="55">
        <v>634.54631300000005</v>
      </c>
      <c r="C49" s="55">
        <v>25.564039999999999</v>
      </c>
      <c r="D49" s="55" t="s">
        <v>41</v>
      </c>
      <c r="E49" s="55" t="s">
        <v>12</v>
      </c>
      <c r="F49" s="55" t="s">
        <v>10</v>
      </c>
      <c r="G49" s="55" t="s">
        <v>9</v>
      </c>
    </row>
    <row r="50" spans="1:7" x14ac:dyDescent="0.2">
      <c r="A50" s="4">
        <v>10</v>
      </c>
      <c r="B50" s="4">
        <v>-452.19949000000003</v>
      </c>
      <c r="C50" s="4">
        <v>0</v>
      </c>
      <c r="D50" s="4" t="s">
        <v>41</v>
      </c>
      <c r="E50" s="4" t="s">
        <v>13</v>
      </c>
      <c r="F50" s="4" t="s">
        <v>4</v>
      </c>
      <c r="G50" s="4" t="s">
        <v>5</v>
      </c>
    </row>
    <row r="51" spans="1:7" s="55" customFormat="1" x14ac:dyDescent="0.2">
      <c r="A51" s="5">
        <v>7</v>
      </c>
      <c r="B51" s="5">
        <v>-431.7749</v>
      </c>
      <c r="C51" s="5">
        <v>20.424589999999998</v>
      </c>
      <c r="D51" s="5" t="s">
        <v>40</v>
      </c>
      <c r="E51" s="5" t="s">
        <v>13</v>
      </c>
      <c r="F51" s="5" t="s">
        <v>4</v>
      </c>
      <c r="G51" s="5" t="s">
        <v>5</v>
      </c>
    </row>
    <row r="52" spans="1:7" x14ac:dyDescent="0.2">
      <c r="A52" s="4">
        <v>9</v>
      </c>
      <c r="B52" s="4">
        <v>-444.51805999999999</v>
      </c>
      <c r="C52" s="4">
        <v>0</v>
      </c>
      <c r="D52" s="4" t="s">
        <v>41</v>
      </c>
      <c r="E52" s="4" t="s">
        <v>13</v>
      </c>
      <c r="F52" s="4" t="s">
        <v>4</v>
      </c>
      <c r="G52" s="4" t="s">
        <v>7</v>
      </c>
    </row>
    <row r="53" spans="1:7" s="55" customFormat="1" x14ac:dyDescent="0.2">
      <c r="A53" s="5">
        <v>7</v>
      </c>
      <c r="B53" s="5">
        <v>-431.7749</v>
      </c>
      <c r="C53" s="5">
        <v>12.74316</v>
      </c>
      <c r="D53" s="5" t="s">
        <v>40</v>
      </c>
      <c r="E53" s="5" t="s">
        <v>13</v>
      </c>
      <c r="F53" s="5" t="s">
        <v>4</v>
      </c>
      <c r="G53" s="5" t="s">
        <v>7</v>
      </c>
    </row>
    <row r="54" spans="1:7" x14ac:dyDescent="0.2">
      <c r="A54" s="4">
        <v>10</v>
      </c>
      <c r="B54" s="4">
        <v>-438.35694999999998</v>
      </c>
      <c r="C54" s="70">
        <v>0</v>
      </c>
      <c r="D54" s="4" t="s">
        <v>41</v>
      </c>
      <c r="E54" s="4" t="s">
        <v>13</v>
      </c>
      <c r="F54" s="4" t="s">
        <v>4</v>
      </c>
      <c r="G54" s="4" t="s">
        <v>8</v>
      </c>
    </row>
    <row r="55" spans="1:7" s="55" customFormat="1" x14ac:dyDescent="0.2">
      <c r="A55" s="5">
        <v>7</v>
      </c>
      <c r="B55" s="5">
        <v>-431.7749</v>
      </c>
      <c r="C55" s="71">
        <v>6.5820600000000002</v>
      </c>
      <c r="D55" s="5" t="s">
        <v>40</v>
      </c>
      <c r="E55" s="5" t="s">
        <v>13</v>
      </c>
      <c r="F55" s="5" t="s">
        <v>4</v>
      </c>
      <c r="G55" s="5" t="s">
        <v>8</v>
      </c>
    </row>
    <row r="56" spans="1:7" x14ac:dyDescent="0.2">
      <c r="A56" s="4">
        <v>11</v>
      </c>
      <c r="B56" s="4">
        <v>-435.96613000000002</v>
      </c>
      <c r="C56" s="70">
        <v>0</v>
      </c>
      <c r="D56" s="4" t="s">
        <v>41</v>
      </c>
      <c r="E56" s="4" t="s">
        <v>13</v>
      </c>
      <c r="F56" s="4" t="s">
        <v>4</v>
      </c>
      <c r="G56" s="4" t="s">
        <v>9</v>
      </c>
    </row>
    <row r="57" spans="1:7" s="55" customFormat="1" x14ac:dyDescent="0.2">
      <c r="A57" s="5">
        <v>7</v>
      </c>
      <c r="B57" s="5">
        <v>-431.7749</v>
      </c>
      <c r="C57" s="71">
        <v>4.19123</v>
      </c>
      <c r="D57" s="5" t="s">
        <v>40</v>
      </c>
      <c r="E57" s="5" t="s">
        <v>13</v>
      </c>
      <c r="F57" s="5" t="s">
        <v>4</v>
      </c>
      <c r="G57" s="5" t="s">
        <v>9</v>
      </c>
    </row>
    <row r="58" spans="1:7" x14ac:dyDescent="0.2">
      <c r="A58" s="53">
        <v>8</v>
      </c>
      <c r="B58" s="53">
        <v>-215.26734999999999</v>
      </c>
      <c r="C58" s="53">
        <v>0</v>
      </c>
      <c r="D58" s="54" t="s">
        <v>40</v>
      </c>
      <c r="E58" s="53" t="s">
        <v>13</v>
      </c>
      <c r="F58" s="53" t="s">
        <v>10</v>
      </c>
      <c r="G58" s="53" t="s">
        <v>5</v>
      </c>
    </row>
    <row r="59" spans="1:7" s="55" customFormat="1" x14ac:dyDescent="0.2">
      <c r="A59" s="55">
        <v>11</v>
      </c>
      <c r="B59" s="55">
        <v>-211.68343999999999</v>
      </c>
      <c r="C59" s="55">
        <v>3.5839099999999999</v>
      </c>
      <c r="D59" s="55" t="s">
        <v>41</v>
      </c>
      <c r="E59" s="55" t="s">
        <v>13</v>
      </c>
      <c r="F59" s="55" t="s">
        <v>10</v>
      </c>
      <c r="G59" s="55" t="s">
        <v>5</v>
      </c>
    </row>
    <row r="60" spans="1:7" x14ac:dyDescent="0.2">
      <c r="A60" s="53">
        <v>8</v>
      </c>
      <c r="B60" s="53">
        <v>-215.26734999999999</v>
      </c>
      <c r="C60" s="53">
        <v>0</v>
      </c>
      <c r="D60" s="54" t="s">
        <v>40</v>
      </c>
      <c r="E60" s="53" t="s">
        <v>13</v>
      </c>
      <c r="F60" s="53" t="s">
        <v>10</v>
      </c>
      <c r="G60" s="53" t="s">
        <v>7</v>
      </c>
    </row>
    <row r="61" spans="1:7" s="55" customFormat="1" x14ac:dyDescent="0.2">
      <c r="A61" s="55">
        <v>10</v>
      </c>
      <c r="B61" s="55">
        <v>-206.83798999999999</v>
      </c>
      <c r="C61" s="55">
        <v>8.4293600000000009</v>
      </c>
      <c r="D61" s="55" t="s">
        <v>41</v>
      </c>
      <c r="E61" s="55" t="s">
        <v>13</v>
      </c>
      <c r="F61" s="55" t="s">
        <v>10</v>
      </c>
      <c r="G61" s="55" t="s">
        <v>7</v>
      </c>
    </row>
    <row r="62" spans="1:7" x14ac:dyDescent="0.2">
      <c r="A62" s="53">
        <v>8</v>
      </c>
      <c r="B62" s="53">
        <v>-215.26734999999999</v>
      </c>
      <c r="C62" s="53">
        <v>0</v>
      </c>
      <c r="D62" s="54" t="s">
        <v>40</v>
      </c>
      <c r="E62" s="53" t="s">
        <v>13</v>
      </c>
      <c r="F62" s="53" t="s">
        <v>10</v>
      </c>
      <c r="G62" s="53" t="s">
        <v>8</v>
      </c>
    </row>
    <row r="63" spans="1:7" s="55" customFormat="1" x14ac:dyDescent="0.2">
      <c r="A63" s="55">
        <v>11</v>
      </c>
      <c r="B63" s="55">
        <v>-209.77828</v>
      </c>
      <c r="C63" s="55">
        <v>5.4890699999999999</v>
      </c>
      <c r="D63" s="55" t="s">
        <v>41</v>
      </c>
      <c r="E63" s="55" t="s">
        <v>13</v>
      </c>
      <c r="F63" s="55" t="s">
        <v>10</v>
      </c>
      <c r="G63" s="55" t="s">
        <v>8</v>
      </c>
    </row>
    <row r="64" spans="1:7" x14ac:dyDescent="0.2">
      <c r="A64" s="53">
        <v>8</v>
      </c>
      <c r="B64" s="53">
        <v>-215.26734999999999</v>
      </c>
      <c r="C64" s="53">
        <v>0</v>
      </c>
      <c r="D64" s="54" t="s">
        <v>40</v>
      </c>
      <c r="E64" s="53" t="s">
        <v>13</v>
      </c>
      <c r="F64" s="53" t="s">
        <v>10</v>
      </c>
      <c r="G64" s="53" t="s">
        <v>9</v>
      </c>
    </row>
    <row r="65" spans="1:7" s="55" customFormat="1" x14ac:dyDescent="0.2">
      <c r="A65" s="55">
        <v>12</v>
      </c>
      <c r="B65" s="55">
        <v>-192.64397</v>
      </c>
      <c r="C65" s="55">
        <v>22.623380000000001</v>
      </c>
      <c r="D65" s="55" t="s">
        <v>41</v>
      </c>
      <c r="E65" s="55" t="s">
        <v>13</v>
      </c>
      <c r="F65" s="55" t="s">
        <v>10</v>
      </c>
      <c r="G65" s="55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A0834-6EA2-3D4D-B386-80B68D11CC8F}">
  <dimension ref="B1:K15"/>
  <sheetViews>
    <sheetView topLeftCell="B1" workbookViewId="0">
      <selection activeCell="I16" sqref="I16"/>
    </sheetView>
  </sheetViews>
  <sheetFormatPr baseColWidth="10" defaultRowHeight="16" x14ac:dyDescent="0.2"/>
  <cols>
    <col min="1" max="1" width="33.83203125" bestFit="1" customWidth="1"/>
    <col min="3" max="3" width="13.1640625" customWidth="1"/>
    <col min="10" max="10" width="24.83203125" bestFit="1" customWidth="1"/>
    <col min="11" max="11" width="24.1640625" bestFit="1" customWidth="1"/>
  </cols>
  <sheetData>
    <row r="1" spans="2:11" x14ac:dyDescent="0.2">
      <c r="C1" t="s">
        <v>31</v>
      </c>
      <c r="G1" t="s">
        <v>32</v>
      </c>
    </row>
    <row r="2" spans="2:11" x14ac:dyDescent="0.2">
      <c r="C2" t="s">
        <v>13</v>
      </c>
      <c r="D2" t="s">
        <v>12</v>
      </c>
      <c r="G2" t="s">
        <v>13</v>
      </c>
      <c r="H2" t="s">
        <v>12</v>
      </c>
      <c r="J2" t="s">
        <v>33</v>
      </c>
      <c r="K2" t="s">
        <v>35</v>
      </c>
    </row>
    <row r="3" spans="2:11" x14ac:dyDescent="0.2">
      <c r="B3" t="s">
        <v>15</v>
      </c>
      <c r="C3">
        <v>0.94</v>
      </c>
      <c r="D3">
        <v>0.89</v>
      </c>
      <c r="F3" t="s">
        <v>16</v>
      </c>
      <c r="G3">
        <v>0.94</v>
      </c>
      <c r="H3">
        <v>0.93</v>
      </c>
      <c r="I3" s="3" t="s">
        <v>34</v>
      </c>
      <c r="J3" s="2" t="b">
        <f>G3&gt;C3</f>
        <v>0</v>
      </c>
      <c r="K3" t="b">
        <f>H3&gt;D3</f>
        <v>1</v>
      </c>
    </row>
    <row r="4" spans="2:11" x14ac:dyDescent="0.2">
      <c r="B4" t="s">
        <v>17</v>
      </c>
      <c r="C4">
        <v>0.94</v>
      </c>
      <c r="D4">
        <v>0.86</v>
      </c>
      <c r="F4" t="s">
        <v>18</v>
      </c>
      <c r="G4">
        <v>0.97</v>
      </c>
      <c r="H4">
        <v>0.99</v>
      </c>
      <c r="J4" t="b">
        <f t="shared" ref="J4:K10" si="0">G4&gt;C4</f>
        <v>1</v>
      </c>
      <c r="K4" t="b">
        <f t="shared" si="0"/>
        <v>1</v>
      </c>
    </row>
    <row r="5" spans="2:11" x14ac:dyDescent="0.2">
      <c r="B5" t="s">
        <v>19</v>
      </c>
      <c r="C5">
        <v>0.92</v>
      </c>
      <c r="D5">
        <v>0.89</v>
      </c>
      <c r="F5" t="s">
        <v>20</v>
      </c>
      <c r="G5">
        <v>1.02</v>
      </c>
      <c r="H5">
        <v>1.05</v>
      </c>
      <c r="J5" t="b">
        <f t="shared" si="0"/>
        <v>1</v>
      </c>
      <c r="K5" t="b">
        <f t="shared" si="0"/>
        <v>1</v>
      </c>
    </row>
    <row r="6" spans="2:11" x14ac:dyDescent="0.2">
      <c r="B6" t="s">
        <v>21</v>
      </c>
      <c r="C6">
        <v>0.88</v>
      </c>
      <c r="D6">
        <v>0.91</v>
      </c>
      <c r="F6" t="s">
        <v>22</v>
      </c>
      <c r="G6">
        <v>0.97</v>
      </c>
      <c r="H6">
        <v>1</v>
      </c>
      <c r="J6" t="b">
        <f t="shared" si="0"/>
        <v>1</v>
      </c>
      <c r="K6" t="b">
        <f t="shared" si="0"/>
        <v>1</v>
      </c>
    </row>
    <row r="7" spans="2:11" x14ac:dyDescent="0.2">
      <c r="B7" t="s">
        <v>23</v>
      </c>
      <c r="C7">
        <v>0.77</v>
      </c>
      <c r="D7">
        <v>0.75</v>
      </c>
      <c r="F7" t="s">
        <v>24</v>
      </c>
      <c r="G7">
        <v>0.71</v>
      </c>
      <c r="H7">
        <v>0.78</v>
      </c>
      <c r="J7" s="1" t="b">
        <f t="shared" si="0"/>
        <v>0</v>
      </c>
      <c r="K7" t="b">
        <f t="shared" si="0"/>
        <v>1</v>
      </c>
    </row>
    <row r="8" spans="2:11" x14ac:dyDescent="0.2">
      <c r="B8" t="s">
        <v>25</v>
      </c>
      <c r="C8">
        <v>0.79</v>
      </c>
      <c r="D8">
        <v>0.8</v>
      </c>
      <c r="F8" t="s">
        <v>26</v>
      </c>
      <c r="G8">
        <v>0.84</v>
      </c>
      <c r="H8">
        <v>0.88</v>
      </c>
      <c r="J8" t="b">
        <f t="shared" si="0"/>
        <v>1</v>
      </c>
      <c r="K8" t="b">
        <f t="shared" si="0"/>
        <v>1</v>
      </c>
    </row>
    <row r="9" spans="2:11" x14ac:dyDescent="0.2">
      <c r="B9" t="s">
        <v>27</v>
      </c>
      <c r="C9">
        <v>0.78</v>
      </c>
      <c r="D9">
        <v>0.83</v>
      </c>
      <c r="F9" t="s">
        <v>28</v>
      </c>
      <c r="G9">
        <v>0.84</v>
      </c>
      <c r="H9">
        <v>0.88</v>
      </c>
      <c r="J9" t="b">
        <f t="shared" si="0"/>
        <v>1</v>
      </c>
      <c r="K9" t="b">
        <f t="shared" si="0"/>
        <v>1</v>
      </c>
    </row>
    <row r="10" spans="2:11" x14ac:dyDescent="0.2">
      <c r="B10" t="s">
        <v>29</v>
      </c>
      <c r="C10">
        <v>0.97</v>
      </c>
      <c r="D10">
        <v>0.96</v>
      </c>
      <c r="F10" t="s">
        <v>30</v>
      </c>
      <c r="G10">
        <v>0.97</v>
      </c>
      <c r="H10">
        <v>0.99</v>
      </c>
      <c r="I10" s="3" t="s">
        <v>34</v>
      </c>
      <c r="J10" s="2" t="b">
        <f t="shared" si="0"/>
        <v>0</v>
      </c>
      <c r="K10" t="b">
        <f t="shared" si="0"/>
        <v>1</v>
      </c>
    </row>
    <row r="15" spans="2:11" x14ac:dyDescent="0.2">
      <c r="I15">
        <f>13/16</f>
        <v>0.8125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Krista Kraskura</dc:creator>
  <cp:lastModifiedBy>Krista Kraskura</cp:lastModifiedBy>
  <dcterms:created xsi:type="dcterms:W3CDTF">2025-06-23T20:15:28Z</dcterms:created>
  <dcterms:modified xsi:type="dcterms:W3CDTF">2026-02-28T19:58:04Z</dcterms:modified>
</cp:coreProperties>
</file>