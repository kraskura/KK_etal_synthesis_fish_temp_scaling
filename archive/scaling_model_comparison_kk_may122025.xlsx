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ristakraskura/Github_repositories/KK_etal_synthesis_fish_temp_scaling/Data_exports/"/>
    </mc:Choice>
  </mc:AlternateContent>
  <xr:revisionPtr revIDLastSave="0" documentId="13_ncr:1_{C53C1FD8-7304-D247-A097-603042D80DB5}" xr6:coauthVersionLast="47" xr6:coauthVersionMax="47" xr10:uidLastSave="{00000000-0000-0000-0000-000000000000}"/>
  <bookViews>
    <workbookView xWindow="0" yWindow="0" windowWidth="38400" windowHeight="21600" xr2:uid="{C4B50116-209E-E941-B055-6154915608A5}"/>
  </bookViews>
  <sheets>
    <sheet name="Temp degC" sheetId="1" r:id="rId1"/>
    <sheet name="1000 TempK -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2" i="2"/>
  <c r="B42" i="1"/>
  <c r="B41" i="1"/>
  <c r="B40" i="1"/>
  <c r="B37" i="1"/>
  <c r="B36" i="1"/>
  <c r="B28" i="1"/>
  <c r="B29" i="1"/>
  <c r="B30" i="1"/>
  <c r="B31" i="1"/>
  <c r="B32" i="1"/>
  <c r="B33" i="1"/>
  <c r="B34" i="1"/>
  <c r="B27" i="1"/>
  <c r="B24" i="1"/>
  <c r="B23" i="1"/>
  <c r="B22" i="1"/>
  <c r="B21" i="1"/>
  <c r="B20" i="1"/>
  <c r="B19" i="1"/>
  <c r="B15" i="1"/>
  <c r="B14" i="1"/>
  <c r="B11" i="1"/>
  <c r="B8" i="1"/>
  <c r="B5" i="1"/>
  <c r="B4" i="1"/>
</calcChain>
</file>

<file path=xl/sharedStrings.xml><?xml version="1.0" encoding="utf-8"?>
<sst xmlns="http://schemas.openxmlformats.org/spreadsheetml/2006/main" count="165" uniqueCount="73">
  <si>
    <t>BIC</t>
  </si>
  <si>
    <t>model</t>
  </si>
  <si>
    <t>temperature coef</t>
  </si>
  <si>
    <t>metabolism metric</t>
  </si>
  <si>
    <t>scaling slope</t>
  </si>
  <si>
    <t>intercept coef</t>
  </si>
  <si>
    <t>Phylo_RMR_model5</t>
  </si>
  <si>
    <t>Formula: lnRMR ~ lnBWg + tempTest + (1 | species) + (0 + lnBWg | species:trial) +      (1 | species:trial)</t>
  </si>
  <si>
    <t>Phylo_RMR_model4</t>
  </si>
  <si>
    <t>Formula: lnRMR ~ lnBWg + tempTest + (1 | species) + (0 + lnBWg | species) +      (1 | species:trial)</t>
  </si>
  <si>
    <t>Phylo_RMR_model4int</t>
  </si>
  <si>
    <t>Formula: lnRMR ~ lnBWg * tempTest + (1 | species) + (0 + lnBWg | species) +      (1 | species:trial)</t>
  </si>
  <si>
    <t>Phylo_MMR_model4int</t>
  </si>
  <si>
    <t>Formula: lnAMR ~ lnBWg * tempTest + (1 | species) + (0 + lnBWg | species) +      (1 | species:trial)</t>
  </si>
  <si>
    <t>Phylo_MMR_model4</t>
  </si>
  <si>
    <t>Formula: lnAMR ~ lnBWg + tempTest + (1 | species) + (0 + lnBWg | species) +      (1 | species:trial)</t>
  </si>
  <si>
    <t>Phylo_AS_model4</t>
  </si>
  <si>
    <t>Formula: lnAS ~ lnBWg + tempTest + (1 | species) + (0 + lnBWg | species) +      (1 | species:trial)</t>
  </si>
  <si>
    <t>Phylo_AS_model4int</t>
  </si>
  <si>
    <t>Formula: lnAS ~ lnBWg * tempTest + (1 | species) + (0 + lnBWg | species) +      (1 | species:trial)</t>
  </si>
  <si>
    <t>Phylo_FAS_model4</t>
  </si>
  <si>
    <t>Formula: log(FAS) ~ lnBWg + tempTest + (1 | species) + (0 + lnBWg | species) +      (1 | species:trial)</t>
  </si>
  <si>
    <t>Phylo_FAS_model4int</t>
  </si>
  <si>
    <t>Formula: log(FAS) ~ lnBWg * tempTest + (1 | species) + (0 + lnBWg | species) +      (1 | species:trial)</t>
  </si>
  <si>
    <t>Phylo_FAS_model5</t>
  </si>
  <si>
    <t>Formula: log(FAS) ~ lnBWg + tempTest + (1 | species) + (0 + lnBWg | species:trial) +      (1 | species:trial)</t>
  </si>
  <si>
    <t>Phylo_RMR_W_model1</t>
  </si>
  <si>
    <t>Formula: lnRMR ~ lnBWg + tempTest + (1 | species) + (1 | species:trial)</t>
  </si>
  <si>
    <t>Phylo_RMR_W_model2</t>
  </si>
  <si>
    <t>Formula: lnRMR ~ lnBWg + tempTest + (1 | species) + (0 + tempTest | species) +      (1 | species:trial)</t>
  </si>
  <si>
    <t>Phylo_RMR_W_model1int</t>
  </si>
  <si>
    <t>Formula: lnRMR ~ lnBWg * tempTest + (1 | species) + (1 | species:trial)</t>
  </si>
  <si>
    <t>Phylo_RMR_W_model1.POLY</t>
  </si>
  <si>
    <t>Formula: lnRMR ~ lnBWg + poly(tempTest, 2) + (1 | species) + (1 | species:trial)</t>
  </si>
  <si>
    <t>NA</t>
  </si>
  <si>
    <t>Phylo_RMR_W_model4</t>
  </si>
  <si>
    <t>Phylo_RMR_W_model2.POLY</t>
  </si>
  <si>
    <t>Formula: lnRMR ~ lnBWg + poly(tempTest, 2) + (1 | species) + (0 + tempTest |      species) + (1 | species:trial)</t>
  </si>
  <si>
    <t>Phylo_RMR_W_model5</t>
  </si>
  <si>
    <t>Phylo_MMR_W_model4</t>
  </si>
  <si>
    <t>Phylo_MMR_W_model5</t>
  </si>
  <si>
    <t>Formula: lnAMR ~ lnBWg + tempTest + (1 | species) + (0 + lnBWg | species:trial) +      (1 | species:trial)</t>
  </si>
  <si>
    <t>Phylo_MMR_W_model5int</t>
  </si>
  <si>
    <t>Formula: lnAMR ~ lnBWg * tempTest + (1 | species) + (0 + lnBWg | species:trial) +      (1 | species:trial)</t>
  </si>
  <si>
    <t>Phylo_MMR_W_model4int</t>
  </si>
  <si>
    <t>Phylo_MMR_W_model1int</t>
  </si>
  <si>
    <t>Formula: lnAMR ~ lnBWg * tempTest + (1 | species) + (1 | species:trial)</t>
  </si>
  <si>
    <t>Phylo_MMR_W_model1</t>
  </si>
  <si>
    <t>Formula: lnAMR ~ lnBWg + tempTest + (1 | species) + (1 | species:trial)</t>
  </si>
  <si>
    <t>Phylo_MMR_W_model2int</t>
  </si>
  <si>
    <t>Formula: lnAMR ~ lnBWg * tempTest + (1 | species) + (0 + tempTest | species) +      (1 | species:trial)</t>
  </si>
  <si>
    <t>Phylo_MMR_W_model4.POLY</t>
  </si>
  <si>
    <t>Formula: lnAMR ~ lnBWg + poly(tempTest, 2) + (1 | species) + (0 + lnBWg |      species) + (1 | species:trial)</t>
  </si>
  <si>
    <t>Phylo_MMR_W_model5.POLY</t>
  </si>
  <si>
    <t>Formula: lnAMR ~ lnBWg + poly(tempTest, 2) + (1 | species) + (0 + lnBWg |      species:trial) + (1 | species:trial)</t>
  </si>
  <si>
    <t>Phylo_AS_W_model2.POLY</t>
  </si>
  <si>
    <t>Formula: lnAS ~ lnBWg + poly(tempTest, 2) + (1 | species) + (0 + tempTest |      species) + (1 | species:trial)</t>
  </si>
  <si>
    <t>Phylo_AS_W_model2int</t>
  </si>
  <si>
    <t>Formula: lnAS ~ lnBWg * tempTest + (1 | species) + (0 + tempTest | species) +      (1 | species:trial)</t>
  </si>
  <si>
    <t>Phylo_FAS_W_model2.POLY</t>
  </si>
  <si>
    <t>Formula: lnFAS ~ lnBWg + poly(tempTest, 2) + (1 | species) + (0 + tempTest |      species) + (1 | species:trial)</t>
  </si>
  <si>
    <t>Phylo_FAS_W_model1</t>
  </si>
  <si>
    <t>Formula: lnFAS ~ lnBWg + tempTest + (1 | species) + (1 | species:trial)</t>
  </si>
  <si>
    <t>Phylo_FAS_W_model1intPOLY</t>
  </si>
  <si>
    <t>Formula: lnFAS ~ lnBWg * poly(tempTest, 2) + (1 | species) + (1 | species:trial)</t>
  </si>
  <si>
    <t>Phylo_FAS_W_model2intPOLY</t>
  </si>
  <si>
    <t>Formula: lnFAS ~ lnBWg * poly(tempTest, 2) + (1 | species) + (0 + tempTest |      species) + (1 | species:trial)</t>
  </si>
  <si>
    <t>BIC delta</t>
  </si>
  <si>
    <t xml:space="preserve">WARM </t>
  </si>
  <si>
    <t xml:space="preserve">OPTIMAL </t>
  </si>
  <si>
    <t>SLOPE</t>
  </si>
  <si>
    <t>BIC arrh</t>
  </si>
  <si>
    <t>BIC 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</si>
</sst>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70" formatCode="0.000"/>
  </numFmts>
  <fonts count="9" x14ac:knownFonts="1">
    <font>
      <sz val="12"/>
      <color theme="1"/>
      <name val="Aptos Narrow"/>
      <family val="2"/>
      <scheme val="minor"/>
    </font>
    <font>
      <sz val="12"/>
      <color rgb="FF9C0006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C00000"/>
      <name val="Aptos Narrow"/>
      <scheme val="minor"/>
    </font>
    <font>
      <sz val="12"/>
      <color theme="1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5700"/>
      <name val="Aptos Narrow"/>
      <family val="2"/>
      <scheme val="minor"/>
    </font>
    <font>
      <b/>
      <sz val="12"/>
      <color rgb="FF9C0006"/>
      <name val="Aptos Narrow"/>
      <scheme val="minor"/>
    </font>
    <font>
      <b/>
      <sz val="12"/>
      <color rgb="FF9C5700"/>
      <name val="Aptos Narrow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5" fillId="6" borderId="0" applyNumberFormat="0" applyBorder="0" applyAlignment="0" applyProtection="0"/>
    <xf numFmtId="0" fontId="6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</cellStyleXfs>
  <cellXfs count="61">
    <xf numFmtId="0" fontId="0" fillId="0" borderId="0" xfId="0"/>
    <xf numFmtId="0" fontId="0" fillId="0" borderId="1" xfId="0" applyBorder="1"/>
    <xf numFmtId="0" fontId="2" fillId="3" borderId="0" xfId="0" applyFont="1" applyFill="1"/>
    <xf numFmtId="0" fontId="2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164" fontId="2" fillId="0" borderId="0" xfId="0" applyNumberFormat="1" applyFont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4" fontId="1" fillId="2" borderId="0" xfId="1" applyNumberFormat="1" applyAlignment="1">
      <alignment horizontal="center"/>
    </xf>
    <xf numFmtId="0" fontId="3" fillId="4" borderId="0" xfId="0" applyFont="1" applyFill="1"/>
    <xf numFmtId="164" fontId="3" fillId="4" borderId="0" xfId="0" applyNumberFormat="1" applyFont="1" applyFill="1" applyAlignment="1">
      <alignment horizontal="center"/>
    </xf>
    <xf numFmtId="0" fontId="2" fillId="5" borderId="0" xfId="0" applyFont="1" applyFill="1"/>
    <xf numFmtId="0" fontId="2" fillId="5" borderId="0" xfId="0" applyFont="1" applyFill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0" fillId="5" borderId="0" xfId="0" applyFill="1"/>
    <xf numFmtId="0" fontId="0" fillId="0" borderId="3" xfId="0" applyBorder="1"/>
    <xf numFmtId="0" fontId="0" fillId="5" borderId="3" xfId="0" applyFill="1" applyBorder="1"/>
    <xf numFmtId="0" fontId="0" fillId="0" borderId="0" xfId="0" applyBorder="1"/>
    <xf numFmtId="0" fontId="0" fillId="5" borderId="0" xfId="0" applyFill="1" applyBorder="1"/>
    <xf numFmtId="0" fontId="1" fillId="2" borderId="0" xfId="1" applyBorder="1"/>
    <xf numFmtId="0" fontId="1" fillId="2" borderId="0" xfId="1"/>
    <xf numFmtId="0" fontId="0" fillId="0" borderId="2" xfId="0" applyFill="1" applyBorder="1"/>
    <xf numFmtId="0" fontId="0" fillId="0" borderId="5" xfId="0" applyFill="1" applyBorder="1"/>
    <xf numFmtId="0" fontId="0" fillId="0" borderId="7" xfId="0" applyFill="1" applyBorder="1"/>
    <xf numFmtId="0" fontId="0" fillId="0" borderId="3" xfId="0" applyFill="1" applyBorder="1"/>
    <xf numFmtId="0" fontId="0" fillId="0" borderId="0" xfId="0" applyFill="1" applyBorder="1"/>
    <xf numFmtId="0" fontId="0" fillId="0" borderId="1" xfId="0" applyFill="1" applyBorder="1"/>
    <xf numFmtId="0" fontId="0" fillId="0" borderId="4" xfId="0" applyFill="1" applyBorder="1"/>
    <xf numFmtId="0" fontId="0" fillId="0" borderId="6" xfId="0" applyFill="1" applyBorder="1"/>
    <xf numFmtId="0" fontId="0" fillId="0" borderId="8" xfId="0" applyFill="1" applyBorder="1"/>
    <xf numFmtId="0" fontId="0" fillId="0" borderId="0" xfId="0" applyFill="1"/>
    <xf numFmtId="164" fontId="5" fillId="6" borderId="0" xfId="2" applyNumberFormat="1"/>
    <xf numFmtId="170" fontId="0" fillId="5" borderId="0" xfId="0" applyNumberFormat="1" applyFill="1" applyBorder="1"/>
    <xf numFmtId="170" fontId="0" fillId="5" borderId="1" xfId="0" applyNumberFormat="1" applyFill="1" applyBorder="1"/>
    <xf numFmtId="170" fontId="8" fillId="7" borderId="0" xfId="3" applyNumberFormat="1" applyFont="1" applyBorder="1"/>
    <xf numFmtId="170" fontId="8" fillId="7" borderId="1" xfId="3" applyNumberFormat="1" applyFont="1" applyBorder="1"/>
    <xf numFmtId="170" fontId="5" fillId="6" borderId="0" xfId="2" applyNumberFormat="1" applyBorder="1"/>
    <xf numFmtId="170" fontId="7" fillId="2" borderId="0" xfId="1" applyNumberFormat="1" applyFont="1" applyBorder="1"/>
    <xf numFmtId="170" fontId="0" fillId="5" borderId="0" xfId="0" applyNumberFormat="1" applyFill="1"/>
    <xf numFmtId="170" fontId="8" fillId="7" borderId="0" xfId="3" applyNumberFormat="1" applyFont="1"/>
    <xf numFmtId="170" fontId="5" fillId="6" borderId="0" xfId="2" applyNumberFormat="1"/>
    <xf numFmtId="170" fontId="7" fillId="2" borderId="0" xfId="1" applyNumberFormat="1" applyFont="1"/>
    <xf numFmtId="170" fontId="2" fillId="5" borderId="0" xfId="0" applyNumberFormat="1" applyFont="1" applyFill="1"/>
    <xf numFmtId="170" fontId="2" fillId="5" borderId="0" xfId="0" applyNumberFormat="1" applyFont="1" applyFill="1" applyBorder="1"/>
    <xf numFmtId="0" fontId="4" fillId="9" borderId="0" xfId="5" applyBorder="1"/>
    <xf numFmtId="0" fontId="4" fillId="9" borderId="0" xfId="5"/>
    <xf numFmtId="170" fontId="4" fillId="8" borderId="0" xfId="4" applyNumberFormat="1" applyBorder="1"/>
    <xf numFmtId="170" fontId="4" fillId="8" borderId="0" xfId="4" applyNumberFormat="1"/>
    <xf numFmtId="0" fontId="5" fillId="0" borderId="0" xfId="2" applyFill="1" applyBorder="1"/>
    <xf numFmtId="0" fontId="5" fillId="0" borderId="0" xfId="2" applyFill="1"/>
    <xf numFmtId="164" fontId="5" fillId="6" borderId="0" xfId="2" applyNumberFormat="1" applyAlignment="1">
      <alignment horizontal="center"/>
    </xf>
    <xf numFmtId="164" fontId="0" fillId="0" borderId="0" xfId="0" applyNumberFormat="1"/>
    <xf numFmtId="0" fontId="2" fillId="10" borderId="0" xfId="0" applyFont="1" applyFill="1"/>
    <xf numFmtId="164" fontId="0" fillId="10" borderId="0" xfId="0" applyNumberFormat="1" applyFill="1" applyAlignment="1">
      <alignment horizontal="center"/>
    </xf>
    <xf numFmtId="164" fontId="2" fillId="10" borderId="0" xfId="0" applyNumberFormat="1" applyFont="1" applyFill="1" applyAlignment="1">
      <alignment horizontal="center"/>
    </xf>
    <xf numFmtId="0" fontId="0" fillId="10" borderId="0" xfId="0" applyFill="1"/>
    <xf numFmtId="0" fontId="2" fillId="0" borderId="0" xfId="0" applyFont="1" applyFill="1"/>
    <xf numFmtId="164" fontId="5" fillId="0" borderId="0" xfId="2" applyNumberFormat="1" applyFill="1" applyAlignment="1">
      <alignment horizontal="center"/>
    </xf>
    <xf numFmtId="164" fontId="0" fillId="0" borderId="0" xfId="0" applyNumberFormat="1" applyFill="1" applyAlignment="1">
      <alignment horizontal="center"/>
    </xf>
  </cellXfs>
  <cellStyles count="6">
    <cellStyle name="40% - Accent5" xfId="4" builtinId="47"/>
    <cellStyle name="60% - Accent5" xfId="5" builtinId="48"/>
    <cellStyle name="Bad" xfId="1" builtinId="27"/>
    <cellStyle name="Good" xfId="2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345440</xdr:colOff>
      <xdr:row>2</xdr:row>
      <xdr:rowOff>71120</xdr:rowOff>
    </xdr:from>
    <xdr:to>
      <xdr:col>18</xdr:col>
      <xdr:colOff>558800</xdr:colOff>
      <xdr:row>21</xdr:row>
      <xdr:rowOff>111760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C2EBDDB-FBCF-0FAD-2737-C1CE44CB8048}"/>
            </a:ext>
          </a:extLst>
        </xdr:cNvPr>
        <xdr:cNvSpPr txBox="1"/>
      </xdr:nvSpPr>
      <xdr:spPr>
        <a:xfrm>
          <a:off x="14295120" y="274320"/>
          <a:ext cx="3505200" cy="3708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Notes;</a:t>
          </a:r>
        </a:p>
        <a:p>
          <a:endParaRPr lang="en-US" sz="1100"/>
        </a:p>
        <a:p>
          <a:r>
            <a:rPr lang="en-US" sz="1100"/>
            <a:t>All</a:t>
          </a:r>
          <a:r>
            <a:rPr lang="en-US" sz="1100" baseline="0"/>
            <a:t> models are </a:t>
          </a:r>
          <a:r>
            <a:rPr lang="en-US" sz="1100" b="1" baseline="0"/>
            <a:t>Almer (from package evolvability) </a:t>
          </a:r>
          <a:r>
            <a:rPr lang="en-US" sz="1100" baseline="0"/>
            <a:t>that incorporates phylogenetic relatedness. </a:t>
          </a:r>
        </a:p>
        <a:p>
          <a:endParaRPr lang="en-US" sz="1100" baseline="0"/>
        </a:p>
        <a:p>
          <a:r>
            <a:rPr lang="en-US" sz="1100" b="1"/>
            <a:t>Models in grey</a:t>
          </a:r>
          <a:r>
            <a:rPr lang="en-US" sz="1100" b="1" baseline="0"/>
            <a:t> are have interactions or polynomial</a:t>
          </a:r>
          <a:r>
            <a:rPr lang="en-US" sz="1100" baseline="0"/>
            <a:t> terms</a:t>
          </a:r>
        </a:p>
        <a:p>
          <a:endParaRPr lang="en-US" sz="1100" baseline="0"/>
        </a:p>
        <a:p>
          <a:pPr algn="just"/>
          <a:r>
            <a:rPr lang="en-US" sz="1100" baseline="0"/>
            <a:t>Only models that were </a:t>
          </a:r>
          <a:r>
            <a:rPr lang="en-US" sz="1100" b="1" baseline="0"/>
            <a:t>witihn SIC ∆ 7</a:t>
          </a:r>
          <a:r>
            <a:rPr lang="en-US" sz="1100" baseline="0"/>
            <a:t> are shown here </a:t>
          </a:r>
        </a:p>
        <a:p>
          <a:pPr algn="just"/>
          <a:endParaRPr lang="en-US" sz="1100" baseline="0"/>
        </a:p>
        <a:p>
          <a:pPr algn="just"/>
          <a:r>
            <a:rPr lang="en-US" sz="1100" b="1" baseline="0"/>
            <a:t>In red are significant differences </a:t>
          </a:r>
          <a:r>
            <a:rPr lang="en-US" sz="1100" b="0" baseline="0"/>
            <a:t>(with different biological implications) depending on what model we choose. </a:t>
          </a:r>
        </a:p>
        <a:p>
          <a:pPr algn="just"/>
          <a:endParaRPr lang="en-US" sz="1100" b="0" baseline="0"/>
        </a:p>
        <a:p>
          <a:pPr algn="just"/>
          <a:r>
            <a:rPr lang="en-US" sz="1100" b="0" baseline="0"/>
            <a:t>MMR in warm is currently concerning - how do we make a decision for what model to use? </a:t>
          </a:r>
        </a:p>
        <a:p>
          <a:pPr algn="just"/>
          <a:endParaRPr lang="en-US" sz="1100" b="0" baseline="0"/>
        </a:p>
        <a:p>
          <a:pPr algn="just"/>
          <a:r>
            <a:rPr lang="en-US" sz="1100" b="0" baseline="0"/>
            <a:t>Should all models in this paper have the same structure/formula?</a:t>
          </a:r>
        </a:p>
        <a:p>
          <a:pPr algn="just"/>
          <a:endParaRPr lang="en-US" sz="1100" b="0" baseline="0"/>
        </a:p>
        <a:p>
          <a:pPr algn="just"/>
          <a:r>
            <a:rPr lang="en-US" sz="1100" b="0" baseline="0"/>
            <a:t>I am unsure we can interpret polynomial models. </a:t>
          </a:r>
        </a:p>
        <a:p>
          <a:endParaRPr lang="en-US" sz="1100" baseline="0"/>
        </a:p>
        <a:p>
          <a:r>
            <a:rPr lang="en-US" sz="1100" b="1" baseline="0"/>
            <a:t>All themperatures are on Celsius scale. </a:t>
          </a:r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B4FF4-A8EB-024A-A8C1-75DA65538451}">
  <dimension ref="A1:G42"/>
  <sheetViews>
    <sheetView tabSelected="1" zoomScale="131" workbookViewId="0">
      <selection activeCell="C34" sqref="C34"/>
    </sheetView>
  </sheetViews>
  <sheetFormatPr baseColWidth="10" defaultRowHeight="16" x14ac:dyDescent="0.2"/>
  <cols>
    <col min="1" max="1" width="26.1640625" bestFit="1" customWidth="1"/>
    <col min="2" max="2" width="12.1640625" style="6" bestFit="1" customWidth="1"/>
    <col min="3" max="3" width="15.33203125" style="6" bestFit="1" customWidth="1"/>
    <col min="4" max="4" width="12.83203125" style="3" bestFit="1" customWidth="1"/>
    <col min="5" max="5" width="12.83203125" style="6" bestFit="1" customWidth="1"/>
    <col min="6" max="6" width="15.83203125" style="6" bestFit="1" customWidth="1"/>
    <col min="7" max="7" width="12.33203125" customWidth="1"/>
  </cols>
  <sheetData>
    <row r="1" spans="1:7" s="14" customFormat="1" ht="17" thickBot="1" x14ac:dyDescent="0.25">
      <c r="A1" s="14" t="s">
        <v>3</v>
      </c>
      <c r="B1" s="15" t="s">
        <v>67</v>
      </c>
      <c r="C1" s="15" t="s">
        <v>0</v>
      </c>
      <c r="D1" s="15" t="s">
        <v>4</v>
      </c>
      <c r="E1" s="15" t="s">
        <v>5</v>
      </c>
      <c r="F1" s="15" t="s">
        <v>2</v>
      </c>
      <c r="G1" s="14" t="s">
        <v>1</v>
      </c>
    </row>
    <row r="2" spans="1:7" s="12" customFormat="1" x14ac:dyDescent="0.2">
      <c r="A2" s="12" t="s">
        <v>69</v>
      </c>
      <c r="B2" s="13"/>
      <c r="C2" s="13"/>
      <c r="D2" s="13"/>
      <c r="E2" s="13"/>
      <c r="F2" s="13"/>
    </row>
    <row r="3" spans="1:7" x14ac:dyDescent="0.2">
      <c r="A3" t="s">
        <v>6</v>
      </c>
      <c r="B3" s="4">
        <v>0</v>
      </c>
      <c r="C3" s="4">
        <v>2208.6802616089999</v>
      </c>
      <c r="D3" s="52">
        <v>0.81286546060522702</v>
      </c>
      <c r="E3" s="4">
        <v>-3.4973770104763799</v>
      </c>
      <c r="F3" s="4">
        <v>6.0554073105315402E-2</v>
      </c>
      <c r="G3" t="s">
        <v>7</v>
      </c>
    </row>
    <row r="4" spans="1:7" x14ac:dyDescent="0.2">
      <c r="A4" t="s">
        <v>8</v>
      </c>
      <c r="B4" s="4">
        <f>C4-$C$3</f>
        <v>3.3712072353700933</v>
      </c>
      <c r="C4" s="4">
        <v>2212.05146884437</v>
      </c>
      <c r="D4" s="7">
        <v>0.82826908059744697</v>
      </c>
      <c r="E4" s="4">
        <v>-2.906024654731</v>
      </c>
      <c r="F4" s="4">
        <v>6.05165142100361E-2</v>
      </c>
      <c r="G4" t="s">
        <v>9</v>
      </c>
    </row>
    <row r="5" spans="1:7" x14ac:dyDescent="0.2">
      <c r="A5" s="2" t="s">
        <v>10</v>
      </c>
      <c r="B5" s="4">
        <f>C5-$C$3</f>
        <v>3.6591348574702351</v>
      </c>
      <c r="C5" s="4">
        <v>2212.3393964664701</v>
      </c>
      <c r="D5" s="7">
        <v>0.77458268558587395</v>
      </c>
      <c r="E5" s="4">
        <v>-2.7181887680135799</v>
      </c>
      <c r="F5" s="4">
        <v>5.1970878193643301E-2</v>
      </c>
      <c r="G5" t="s">
        <v>11</v>
      </c>
    </row>
    <row r="6" spans="1:7" x14ac:dyDescent="0.2">
      <c r="B6" s="4"/>
      <c r="C6" s="4"/>
      <c r="D6" s="7"/>
      <c r="E6" s="4"/>
      <c r="F6" s="4"/>
    </row>
    <row r="7" spans="1:7" x14ac:dyDescent="0.2">
      <c r="A7" s="2" t="s">
        <v>12</v>
      </c>
      <c r="B7" s="4">
        <v>0</v>
      </c>
      <c r="C7" s="4">
        <v>230.13271219957301</v>
      </c>
      <c r="D7" s="52">
        <v>0.71112362241697802</v>
      </c>
      <c r="E7" s="4">
        <v>-0.609545012341556</v>
      </c>
      <c r="F7" s="4">
        <v>1.7591353335489099E-2</v>
      </c>
      <c r="G7" t="s">
        <v>13</v>
      </c>
    </row>
    <row r="8" spans="1:7" x14ac:dyDescent="0.2">
      <c r="A8" t="s">
        <v>14</v>
      </c>
      <c r="B8" s="4">
        <f>C8-C7</f>
        <v>4.3315168686579852</v>
      </c>
      <c r="C8" s="4">
        <v>234.46422906823099</v>
      </c>
      <c r="D8" s="7">
        <v>0.79109779486849796</v>
      </c>
      <c r="E8" s="4">
        <v>-0.929458554812577</v>
      </c>
      <c r="F8" s="4">
        <v>3.15084343572168E-2</v>
      </c>
      <c r="G8" t="s">
        <v>15</v>
      </c>
    </row>
    <row r="9" spans="1:7" x14ac:dyDescent="0.2">
      <c r="B9" s="4"/>
      <c r="C9" s="4"/>
      <c r="D9" s="7"/>
      <c r="E9" s="4"/>
      <c r="F9" s="4"/>
    </row>
    <row r="10" spans="1:7" x14ac:dyDescent="0.2">
      <c r="A10" t="s">
        <v>16</v>
      </c>
      <c r="B10" s="4"/>
      <c r="C10" s="4">
        <v>1376.9394564687</v>
      </c>
      <c r="D10" s="52">
        <v>0.74951953120731496</v>
      </c>
      <c r="E10" s="4">
        <v>-1.01371000753591</v>
      </c>
      <c r="F10" s="4">
        <v>2.8006792251211901E-2</v>
      </c>
      <c r="G10" t="s">
        <v>17</v>
      </c>
    </row>
    <row r="11" spans="1:7" x14ac:dyDescent="0.2">
      <c r="A11" s="2" t="s">
        <v>18</v>
      </c>
      <c r="B11" s="4">
        <f>C11-C10</f>
        <v>6.9209489916800067</v>
      </c>
      <c r="C11" s="4">
        <v>1383.86040546038</v>
      </c>
      <c r="D11" s="7">
        <v>0.78606414202018704</v>
      </c>
      <c r="E11" s="4">
        <v>-1.18094185492151</v>
      </c>
      <c r="F11" s="4">
        <v>3.5188501345048299E-2</v>
      </c>
      <c r="G11" t="s">
        <v>19</v>
      </c>
    </row>
    <row r="12" spans="1:7" x14ac:dyDescent="0.2">
      <c r="B12" s="4"/>
      <c r="C12" s="4"/>
      <c r="D12" s="7"/>
      <c r="E12" s="4"/>
      <c r="F12" s="4"/>
    </row>
    <row r="13" spans="1:7" x14ac:dyDescent="0.2">
      <c r="A13" t="s">
        <v>20</v>
      </c>
      <c r="B13" s="4">
        <v>0</v>
      </c>
      <c r="C13" s="4">
        <v>1577.8991363863499</v>
      </c>
      <c r="D13" s="33">
        <v>-2.9246855516227101E-2</v>
      </c>
      <c r="E13" s="4">
        <v>1.9909203299937499</v>
      </c>
      <c r="F13" s="4">
        <v>-2.47562500973359E-2</v>
      </c>
      <c r="G13" t="s">
        <v>21</v>
      </c>
    </row>
    <row r="14" spans="1:7" x14ac:dyDescent="0.2">
      <c r="A14" s="2" t="s">
        <v>22</v>
      </c>
      <c r="B14" s="4">
        <f>C14-$C13</f>
        <v>3.3211497820700515</v>
      </c>
      <c r="C14" s="4">
        <v>1581.22028616842</v>
      </c>
      <c r="D14" s="53">
        <v>3.4315285142543402E-2</v>
      </c>
      <c r="E14" s="4">
        <v>1.7088927981547599</v>
      </c>
      <c r="F14" s="4">
        <v>-1.2400360957495899E-2</v>
      </c>
      <c r="G14" t="s">
        <v>23</v>
      </c>
    </row>
    <row r="15" spans="1:7" x14ac:dyDescent="0.2">
      <c r="A15" t="s">
        <v>24</v>
      </c>
      <c r="B15" s="4">
        <f>C15-$C$13</f>
        <v>4.0165800278800816</v>
      </c>
      <c r="C15" s="4">
        <v>1581.91571641423</v>
      </c>
      <c r="D15" s="7">
        <v>2.3741816794813499E-2</v>
      </c>
      <c r="E15" s="4">
        <v>1.8410752318973</v>
      </c>
      <c r="F15" s="4">
        <v>-2.8006990070577699E-2</v>
      </c>
      <c r="G15" t="s">
        <v>25</v>
      </c>
    </row>
    <row r="16" spans="1:7" s="1" customFormat="1" ht="17" thickBot="1" x14ac:dyDescent="0.25">
      <c r="B16" s="5"/>
      <c r="C16" s="5"/>
      <c r="D16" s="8"/>
      <c r="E16" s="5"/>
      <c r="F16" s="5"/>
    </row>
    <row r="17" spans="1:7" s="10" customFormat="1" ht="18" customHeight="1" x14ac:dyDescent="0.2">
      <c r="A17" s="10" t="s">
        <v>68</v>
      </c>
      <c r="B17" s="11"/>
      <c r="C17" s="11"/>
      <c r="D17" s="11"/>
      <c r="E17" s="11"/>
      <c r="F17" s="11"/>
    </row>
    <row r="18" spans="1:7" x14ac:dyDescent="0.2">
      <c r="A18" t="s">
        <v>26</v>
      </c>
      <c r="B18" s="4">
        <v>0</v>
      </c>
      <c r="C18" s="4">
        <v>-17.921306647733701</v>
      </c>
      <c r="D18" s="52">
        <v>0.83819985062326297</v>
      </c>
      <c r="E18" s="4">
        <v>-3.1809962809374901</v>
      </c>
      <c r="F18" s="4">
        <v>7.4353144167352794E-2</v>
      </c>
      <c r="G18" t="s">
        <v>27</v>
      </c>
    </row>
    <row r="19" spans="1:7" x14ac:dyDescent="0.2">
      <c r="A19" t="s">
        <v>28</v>
      </c>
      <c r="B19" s="4">
        <f>C19-$C$18</f>
        <v>2.0497383287524009</v>
      </c>
      <c r="C19" s="4">
        <v>-15.8715683189813</v>
      </c>
      <c r="D19" s="7">
        <v>0.837204888921114</v>
      </c>
      <c r="E19" s="4">
        <v>-2.9962671115888702</v>
      </c>
      <c r="F19" s="4">
        <v>7.7924650370913895E-2</v>
      </c>
      <c r="G19" t="s">
        <v>29</v>
      </c>
    </row>
    <row r="20" spans="1:7" x14ac:dyDescent="0.2">
      <c r="A20" s="2" t="s">
        <v>30</v>
      </c>
      <c r="B20" s="4">
        <f t="shared" ref="B20:B24" si="0">C20-$C$18</f>
        <v>3.1929260935186008</v>
      </c>
      <c r="C20" s="4">
        <v>-14.7283805542151</v>
      </c>
      <c r="D20" s="7">
        <v>0.91204655879866803</v>
      </c>
      <c r="E20" s="4">
        <v>-3.3745102632810999</v>
      </c>
      <c r="F20" s="4">
        <v>8.0369854037932606E-2</v>
      </c>
      <c r="G20" t="s">
        <v>31</v>
      </c>
    </row>
    <row r="21" spans="1:7" x14ac:dyDescent="0.2">
      <c r="A21" s="2" t="s">
        <v>32</v>
      </c>
      <c r="B21" s="4">
        <f t="shared" si="0"/>
        <v>4.4755628616314009</v>
      </c>
      <c r="C21" s="4">
        <v>-13.4457437861023</v>
      </c>
      <c r="D21" s="7">
        <v>0.83738586567142603</v>
      </c>
      <c r="E21" s="4">
        <v>-1.1760810843568399</v>
      </c>
      <c r="F21" s="4" t="s">
        <v>34</v>
      </c>
      <c r="G21" t="s">
        <v>33</v>
      </c>
    </row>
    <row r="22" spans="1:7" x14ac:dyDescent="0.2">
      <c r="A22" t="s">
        <v>35</v>
      </c>
      <c r="B22" s="4">
        <f t="shared" si="0"/>
        <v>4.8501975520914016</v>
      </c>
      <c r="C22" s="4">
        <v>-13.071109095642299</v>
      </c>
      <c r="D22" s="7">
        <v>0.78914085038947102</v>
      </c>
      <c r="E22" s="4">
        <v>-3.0861401982808498</v>
      </c>
      <c r="F22" s="4">
        <v>7.2009029618263401E-2</v>
      </c>
      <c r="G22" t="s">
        <v>9</v>
      </c>
    </row>
    <row r="23" spans="1:7" x14ac:dyDescent="0.2">
      <c r="A23" s="2" t="s">
        <v>36</v>
      </c>
      <c r="B23" s="4">
        <f t="shared" si="0"/>
        <v>5.2284799765703003</v>
      </c>
      <c r="C23" s="4">
        <v>-12.692826671163401</v>
      </c>
      <c r="D23" s="7">
        <v>0.83699785378289204</v>
      </c>
      <c r="E23" s="4">
        <v>-0.82916851462816199</v>
      </c>
      <c r="F23" s="4" t="s">
        <v>34</v>
      </c>
      <c r="G23" t="s">
        <v>37</v>
      </c>
    </row>
    <row r="24" spans="1:7" x14ac:dyDescent="0.2">
      <c r="A24" t="s">
        <v>38</v>
      </c>
      <c r="B24" s="4">
        <f t="shared" si="0"/>
        <v>6.8287120716870007</v>
      </c>
      <c r="C24" s="4">
        <v>-11.0925945760467</v>
      </c>
      <c r="D24" s="7">
        <v>0.83819988582281701</v>
      </c>
      <c r="E24" s="4">
        <v>-3.1809963605143698</v>
      </c>
      <c r="F24" s="4">
        <v>7.4353141898175004E-2</v>
      </c>
      <c r="G24" t="s">
        <v>7</v>
      </c>
    </row>
    <row r="25" spans="1:7" x14ac:dyDescent="0.2">
      <c r="B25" s="4"/>
      <c r="C25" s="4"/>
      <c r="D25" s="7"/>
      <c r="E25" s="4"/>
      <c r="F25" s="4"/>
    </row>
    <row r="26" spans="1:7" x14ac:dyDescent="0.2">
      <c r="A26" t="s">
        <v>39</v>
      </c>
      <c r="B26" s="9">
        <v>0</v>
      </c>
      <c r="C26" s="4">
        <v>-62.427969707320699</v>
      </c>
      <c r="D26" s="52">
        <v>0.75207991514194195</v>
      </c>
      <c r="E26" s="4">
        <v>-0.52891890370903105</v>
      </c>
      <c r="F26" s="4">
        <v>2.3528972637380099E-2</v>
      </c>
      <c r="G26" t="s">
        <v>15</v>
      </c>
    </row>
    <row r="27" spans="1:7" x14ac:dyDescent="0.2">
      <c r="A27" t="s">
        <v>40</v>
      </c>
      <c r="B27" s="9">
        <f>C27-$C$26</f>
        <v>0.86987386104470232</v>
      </c>
      <c r="C27" s="4">
        <v>-61.558095846275997</v>
      </c>
      <c r="D27" s="9">
        <v>0.82155613536016203</v>
      </c>
      <c r="E27" s="4">
        <v>-0.74641124907858902</v>
      </c>
      <c r="F27" s="4">
        <v>2.2135145855698299E-2</v>
      </c>
      <c r="G27" t="s">
        <v>41</v>
      </c>
    </row>
    <row r="28" spans="1:7" x14ac:dyDescent="0.2">
      <c r="A28" s="2" t="s">
        <v>42</v>
      </c>
      <c r="B28" s="4">
        <f t="shared" ref="B28:B34" si="1">C28-$C$26</f>
        <v>2.2313675064782004</v>
      </c>
      <c r="C28" s="4">
        <v>-60.196602200842499</v>
      </c>
      <c r="D28" s="7">
        <v>0.90805612010066705</v>
      </c>
      <c r="E28" s="4">
        <v>-0.93790707277187402</v>
      </c>
      <c r="F28" s="4">
        <v>3.0083300221462099E-2</v>
      </c>
      <c r="G28" t="s">
        <v>43</v>
      </c>
    </row>
    <row r="29" spans="1:7" x14ac:dyDescent="0.2">
      <c r="A29" s="2" t="s">
        <v>44</v>
      </c>
      <c r="B29" s="4">
        <f t="shared" si="1"/>
        <v>3.3451528109847004</v>
      </c>
      <c r="C29" s="4">
        <v>-59.082816896335999</v>
      </c>
      <c r="D29" s="7">
        <v>0.82588044448091902</v>
      </c>
      <c r="E29" s="4">
        <v>-0.69793367968916398</v>
      </c>
      <c r="F29" s="4">
        <v>2.9964371045195601E-2</v>
      </c>
      <c r="G29" t="s">
        <v>13</v>
      </c>
    </row>
    <row r="30" spans="1:7" x14ac:dyDescent="0.2">
      <c r="A30" s="2" t="s">
        <v>45</v>
      </c>
      <c r="B30" s="4">
        <f t="shared" si="1"/>
        <v>3.9933298268637998</v>
      </c>
      <c r="C30" s="4">
        <v>-58.434639880456899</v>
      </c>
      <c r="D30" s="7">
        <v>0.90800074104193795</v>
      </c>
      <c r="E30" s="4">
        <v>-0.89648914811015601</v>
      </c>
      <c r="F30" s="4">
        <v>3.1966835813866598E-2</v>
      </c>
      <c r="G30" t="s">
        <v>46</v>
      </c>
    </row>
    <row r="31" spans="1:7" x14ac:dyDescent="0.2">
      <c r="A31" t="s">
        <v>47</v>
      </c>
      <c r="B31" s="4">
        <f t="shared" si="1"/>
        <v>4.9116475585512021</v>
      </c>
      <c r="C31" s="4">
        <v>-57.516322148769497</v>
      </c>
      <c r="D31" s="7">
        <v>0.79918517876246298</v>
      </c>
      <c r="E31" s="4">
        <v>-0.63788992030617497</v>
      </c>
      <c r="F31" s="4">
        <v>2.28728036357622E-2</v>
      </c>
      <c r="G31" t="s">
        <v>48</v>
      </c>
    </row>
    <row r="32" spans="1:7" x14ac:dyDescent="0.2">
      <c r="A32" s="2" t="s">
        <v>49</v>
      </c>
      <c r="B32" s="4">
        <f t="shared" si="1"/>
        <v>5.2382354887268008</v>
      </c>
      <c r="C32" s="4">
        <v>-57.189734218593898</v>
      </c>
      <c r="D32" s="7">
        <v>0.94679754277461503</v>
      </c>
      <c r="E32" s="4">
        <v>-0.53031127499389197</v>
      </c>
      <c r="F32" s="4">
        <v>2.2060541931110299E-2</v>
      </c>
      <c r="G32" t="s">
        <v>50</v>
      </c>
    </row>
    <row r="33" spans="1:7" x14ac:dyDescent="0.2">
      <c r="A33" s="2" t="s">
        <v>51</v>
      </c>
      <c r="B33" s="4">
        <f t="shared" si="1"/>
        <v>5.7581582198047983</v>
      </c>
      <c r="C33" s="4">
        <v>-56.669811487515901</v>
      </c>
      <c r="D33" s="7">
        <v>0.75246814752230096</v>
      </c>
      <c r="E33" s="4">
        <v>0.11650442184279999</v>
      </c>
      <c r="F33" s="4" t="s">
        <v>34</v>
      </c>
      <c r="G33" t="s">
        <v>52</v>
      </c>
    </row>
    <row r="34" spans="1:7" x14ac:dyDescent="0.2">
      <c r="A34" s="2" t="s">
        <v>53</v>
      </c>
      <c r="B34" s="4">
        <f t="shared" si="1"/>
        <v>6.6501340043687023</v>
      </c>
      <c r="C34" s="4">
        <v>-55.777835702951997</v>
      </c>
      <c r="D34" s="7">
        <v>0.82056897869685896</v>
      </c>
      <c r="E34" s="4">
        <v>-0.13285075551573</v>
      </c>
      <c r="F34" s="4" t="s">
        <v>34</v>
      </c>
      <c r="G34" t="s">
        <v>54</v>
      </c>
    </row>
    <row r="35" spans="1:7" x14ac:dyDescent="0.2">
      <c r="B35" s="4"/>
      <c r="C35" s="4"/>
      <c r="D35" s="7"/>
      <c r="E35" s="4"/>
      <c r="F35" s="4"/>
    </row>
    <row r="36" spans="1:7" s="57" customFormat="1" x14ac:dyDescent="0.2">
      <c r="A36" s="54" t="s">
        <v>55</v>
      </c>
      <c r="B36" s="55">
        <f>C36-$C$36</f>
        <v>0</v>
      </c>
      <c r="C36" s="55">
        <v>727.97610796283902</v>
      </c>
      <c r="D36" s="56">
        <v>0.74935120985140302</v>
      </c>
      <c r="E36" s="55">
        <v>-1.2778265702660601</v>
      </c>
      <c r="F36" s="55" t="s">
        <v>34</v>
      </c>
      <c r="G36" s="57" t="s">
        <v>56</v>
      </c>
    </row>
    <row r="37" spans="1:7" s="32" customFormat="1" x14ac:dyDescent="0.2">
      <c r="A37" s="58" t="s">
        <v>57</v>
      </c>
      <c r="B37" s="59">
        <f>C37-$C$36</f>
        <v>2.9250646447409281</v>
      </c>
      <c r="C37" s="59">
        <v>730.90117260757995</v>
      </c>
      <c r="D37" s="59">
        <v>1.18275427059258</v>
      </c>
      <c r="E37" s="60">
        <v>-0.85383754576588999</v>
      </c>
      <c r="F37" s="60">
        <v>-4.1656323862099102E-3</v>
      </c>
      <c r="G37" s="32" t="s">
        <v>58</v>
      </c>
    </row>
    <row r="38" spans="1:7" x14ac:dyDescent="0.2">
      <c r="B38" s="4"/>
      <c r="C38" s="4"/>
      <c r="D38" s="7"/>
      <c r="E38" s="4"/>
      <c r="F38" s="4"/>
    </row>
    <row r="39" spans="1:7" x14ac:dyDescent="0.2">
      <c r="A39" s="2" t="s">
        <v>59</v>
      </c>
      <c r="B39" s="4">
        <v>0</v>
      </c>
      <c r="C39" s="4">
        <v>262.28431197633603</v>
      </c>
      <c r="D39" s="7">
        <v>-6.1212258939918898E-2</v>
      </c>
      <c r="E39" s="4">
        <v>0.58005773469481303</v>
      </c>
      <c r="F39" s="4" t="s">
        <v>34</v>
      </c>
      <c r="G39" t="s">
        <v>60</v>
      </c>
    </row>
    <row r="40" spans="1:7" x14ac:dyDescent="0.2">
      <c r="A40" t="s">
        <v>61</v>
      </c>
      <c r="B40" s="4">
        <f>C40-$C$39</f>
        <v>2.8359747571129788</v>
      </c>
      <c r="C40" s="4">
        <v>265.12028673344901</v>
      </c>
      <c r="D40" s="7">
        <v>-3.0075464581864501E-2</v>
      </c>
      <c r="E40" s="4">
        <v>2.25533744614575</v>
      </c>
      <c r="F40" s="4">
        <v>-4.66946773531704E-2</v>
      </c>
      <c r="G40" t="s">
        <v>62</v>
      </c>
    </row>
    <row r="41" spans="1:7" x14ac:dyDescent="0.2">
      <c r="A41" s="2" t="s">
        <v>63</v>
      </c>
      <c r="B41" s="4">
        <f t="shared" ref="B41:B42" si="2">C41-$C$39</f>
        <v>3.4521909896009788</v>
      </c>
      <c r="C41" s="4">
        <v>265.73650296593701</v>
      </c>
      <c r="D41" s="7">
        <v>-3.0582059026820901E-2</v>
      </c>
      <c r="E41" s="4">
        <v>0.78746517401314697</v>
      </c>
      <c r="F41" s="4" t="s">
        <v>34</v>
      </c>
      <c r="G41" t="s">
        <v>64</v>
      </c>
    </row>
    <row r="42" spans="1:7" x14ac:dyDescent="0.2">
      <c r="A42" s="2" t="s">
        <v>65</v>
      </c>
      <c r="B42" s="4">
        <f t="shared" si="2"/>
        <v>6.1919428756039565</v>
      </c>
      <c r="C42" s="4">
        <v>268.47625485193998</v>
      </c>
      <c r="D42" s="7">
        <v>-4.7162351992817098E-2</v>
      </c>
      <c r="E42" s="4">
        <v>0.69751183747462997</v>
      </c>
      <c r="F42" s="4" t="s">
        <v>34</v>
      </c>
      <c r="G42" t="s">
        <v>66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1C6E7-A06D-D44B-9873-50B9EC30E6F3}">
  <dimension ref="A1:N34"/>
  <sheetViews>
    <sheetView workbookViewId="0">
      <selection activeCell="F3" sqref="F3"/>
    </sheetView>
  </sheetViews>
  <sheetFormatPr baseColWidth="10" defaultRowHeight="16" x14ac:dyDescent="0.2"/>
  <cols>
    <col min="1" max="1" width="25.33203125" style="24" bestFit="1" customWidth="1"/>
    <col min="2" max="2" width="10.83203125" style="27"/>
    <col min="3" max="3" width="12.33203125" style="20" bestFit="1" customWidth="1"/>
    <col min="4" max="4" width="10.83203125" style="30"/>
    <col min="5" max="5" width="25.33203125" style="32" bestFit="1" customWidth="1"/>
    <col min="6" max="6" width="10.83203125" style="32"/>
    <col min="7" max="7" width="12.33203125" style="16" bestFit="1" customWidth="1"/>
    <col min="8" max="12" width="10.83203125" style="32"/>
    <col min="13" max="13" width="10.83203125" style="19"/>
    <col min="15" max="16384" width="10.83203125" style="32"/>
  </cols>
  <sheetData>
    <row r="1" spans="1:14" ht="36" customHeight="1" x14ac:dyDescent="0.2">
      <c r="A1" s="23" t="s">
        <v>3</v>
      </c>
      <c r="B1" s="26" t="s">
        <v>0</v>
      </c>
      <c r="C1" s="18" t="s">
        <v>4</v>
      </c>
      <c r="D1" s="29" t="s">
        <v>5</v>
      </c>
      <c r="E1" s="32" t="s">
        <v>3</v>
      </c>
      <c r="F1" s="32" t="s">
        <v>0</v>
      </c>
      <c r="G1" s="16" t="s">
        <v>4</v>
      </c>
      <c r="H1" s="32" t="s">
        <v>5</v>
      </c>
      <c r="I1" s="32" t="s">
        <v>2</v>
      </c>
      <c r="K1" s="32" t="s">
        <v>70</v>
      </c>
      <c r="M1" s="17" t="s">
        <v>71</v>
      </c>
      <c r="N1" t="s">
        <v>72</v>
      </c>
    </row>
    <row r="2" spans="1:14" x14ac:dyDescent="0.2">
      <c r="A2" s="24" t="s">
        <v>6</v>
      </c>
      <c r="B2" s="27">
        <v>2208.50827896485</v>
      </c>
      <c r="C2" s="34">
        <v>0.812888984993548</v>
      </c>
      <c r="D2" s="30">
        <v>15.333711287493299</v>
      </c>
      <c r="E2" s="32" t="s">
        <v>6</v>
      </c>
      <c r="F2" s="32">
        <v>2208.6802616089999</v>
      </c>
      <c r="G2" s="40">
        <v>0.81286546060522702</v>
      </c>
      <c r="H2" s="32">
        <v>-3.4973770104763799</v>
      </c>
      <c r="I2" s="32">
        <v>6.0554073105315402E-2</v>
      </c>
      <c r="K2" s="32" t="b">
        <f>ROUND(C2,3)=ROUND(G2,3)</f>
        <v>1</v>
      </c>
      <c r="M2" s="50">
        <v>2208.50827896485</v>
      </c>
      <c r="N2" s="51">
        <v>2208.6802616089999</v>
      </c>
    </row>
    <row r="3" spans="1:14" x14ac:dyDescent="0.2">
      <c r="A3" s="24" t="s">
        <v>8</v>
      </c>
      <c r="B3" s="27">
        <v>2210.9091202198501</v>
      </c>
      <c r="C3" s="34">
        <v>0.82792705753595697</v>
      </c>
      <c r="D3" s="30">
        <v>15.909426214068301</v>
      </c>
      <c r="E3" s="32" t="s">
        <v>8</v>
      </c>
      <c r="F3" s="32">
        <v>2212.05146884437</v>
      </c>
      <c r="G3" s="40">
        <v>0.82826908059744697</v>
      </c>
      <c r="H3" s="32">
        <v>-2.906024654731</v>
      </c>
      <c r="I3" s="32">
        <v>6.05165142100361E-2</v>
      </c>
      <c r="K3" s="32" t="b">
        <f>ROUND(C3,3)=ROUND(G3,3)</f>
        <v>1</v>
      </c>
      <c r="M3" s="27">
        <v>2210.9091202198501</v>
      </c>
      <c r="N3" s="32">
        <v>2212.05146884437</v>
      </c>
    </row>
    <row r="4" spans="1:14" s="28" customFormat="1" ht="17" thickBot="1" x14ac:dyDescent="0.25">
      <c r="A4" s="25" t="s">
        <v>10</v>
      </c>
      <c r="B4" s="28">
        <v>2212.0385489181099</v>
      </c>
      <c r="C4" s="35">
        <v>1.62288507899858</v>
      </c>
      <c r="D4" s="31">
        <v>13.581019493084399</v>
      </c>
      <c r="E4" s="28" t="s">
        <v>10</v>
      </c>
      <c r="F4" s="28">
        <v>2212.3393964664701</v>
      </c>
      <c r="G4" s="35">
        <v>0.77458268558587395</v>
      </c>
      <c r="H4" s="28">
        <v>-2.7181887680135799</v>
      </c>
      <c r="I4" s="28">
        <v>5.1970878193643301E-2</v>
      </c>
      <c r="K4" s="28" t="b">
        <f>ROUND(C4,3)=ROUND(G4,3)</f>
        <v>0</v>
      </c>
      <c r="M4" s="28">
        <v>2212.0385489181099</v>
      </c>
      <c r="N4" s="28">
        <v>2212.3393964664701</v>
      </c>
    </row>
    <row r="5" spans="1:14" x14ac:dyDescent="0.2">
      <c r="A5" s="24" t="s">
        <v>12</v>
      </c>
      <c r="B5" s="27">
        <v>232.27840861829799</v>
      </c>
      <c r="C5" s="36">
        <v>1.91715159592421</v>
      </c>
      <c r="D5" s="30">
        <v>4.8864046057251098</v>
      </c>
      <c r="E5" s="32" t="s">
        <v>12</v>
      </c>
      <c r="F5" s="32">
        <v>230.13271219957301</v>
      </c>
      <c r="G5" s="41">
        <v>0.71112362241697802</v>
      </c>
      <c r="H5" s="32">
        <v>-0.609545012341556</v>
      </c>
      <c r="I5" s="32">
        <v>1.7591353335489099E-2</v>
      </c>
      <c r="K5" s="32" t="b">
        <f>ROUND(C5,3)=ROUND(G5,3)</f>
        <v>0</v>
      </c>
      <c r="M5" s="50">
        <v>232.27840861829799</v>
      </c>
      <c r="N5" s="51">
        <v>230.13271219957301</v>
      </c>
    </row>
    <row r="6" spans="1:14" s="28" customFormat="1" ht="17" thickBot="1" x14ac:dyDescent="0.25">
      <c r="A6" s="25" t="s">
        <v>14</v>
      </c>
      <c r="B6" s="28">
        <v>236.23324087625599</v>
      </c>
      <c r="C6" s="37">
        <v>0.79124995768444994</v>
      </c>
      <c r="D6" s="31">
        <v>8.7631492487583404</v>
      </c>
      <c r="E6" s="28" t="s">
        <v>14</v>
      </c>
      <c r="F6" s="28">
        <v>234.46422906823099</v>
      </c>
      <c r="G6" s="37">
        <v>0.79109779486849796</v>
      </c>
      <c r="H6" s="28">
        <v>-0.929458554812577</v>
      </c>
      <c r="I6" s="28">
        <v>3.15084343572168E-2</v>
      </c>
      <c r="K6" s="28" t="b">
        <f>ROUND(C6,3)=ROUND(G6,3)</f>
        <v>1</v>
      </c>
      <c r="M6" s="28">
        <v>236.23324087625599</v>
      </c>
      <c r="N6" s="28">
        <v>234.46422906823099</v>
      </c>
    </row>
    <row r="7" spans="1:14" x14ac:dyDescent="0.2">
      <c r="A7" s="24" t="s">
        <v>16</v>
      </c>
      <c r="B7" s="27">
        <v>1376.89005775378</v>
      </c>
      <c r="C7" s="45">
        <v>0.74972947820807101</v>
      </c>
      <c r="D7" s="30">
        <v>7.7036280883374104</v>
      </c>
      <c r="E7" s="32" t="s">
        <v>16</v>
      </c>
      <c r="F7" s="32">
        <v>1376.9394564687</v>
      </c>
      <c r="G7" s="44">
        <v>0.74951953120731496</v>
      </c>
      <c r="H7" s="32">
        <v>-1.01371000753591</v>
      </c>
      <c r="I7" s="32">
        <v>2.8006792251211901E-2</v>
      </c>
      <c r="K7" s="32" t="b">
        <f>ROUND(C7,3)=ROUND(G7,3)</f>
        <v>1</v>
      </c>
      <c r="M7" s="50">
        <v>1376.89005775378</v>
      </c>
      <c r="N7" s="51">
        <v>1376.9394564687</v>
      </c>
    </row>
    <row r="8" spans="1:14" s="28" customFormat="1" ht="17" thickBot="1" x14ac:dyDescent="0.25">
      <c r="A8" s="25" t="s">
        <v>18</v>
      </c>
      <c r="B8" s="28">
        <v>1383.62966563911</v>
      </c>
      <c r="C8" s="35">
        <v>0.17480765532530901</v>
      </c>
      <c r="D8" s="31">
        <v>9.9410064426098401</v>
      </c>
      <c r="E8" s="28" t="s">
        <v>18</v>
      </c>
      <c r="F8" s="28">
        <v>1383.86040546038</v>
      </c>
      <c r="G8" s="35">
        <v>0.78606414202018704</v>
      </c>
      <c r="H8" s="28">
        <v>-1.18094185492151</v>
      </c>
      <c r="I8" s="28">
        <v>3.5188501345048299E-2</v>
      </c>
      <c r="K8" s="28" t="b">
        <f>ROUND(C8,3)=ROUND(G8,3)</f>
        <v>0</v>
      </c>
      <c r="M8" s="28">
        <v>1383.62966563911</v>
      </c>
      <c r="N8" s="28">
        <v>1383.86040546038</v>
      </c>
    </row>
    <row r="9" spans="1:14" x14ac:dyDescent="0.2">
      <c r="A9" s="24" t="s">
        <v>20</v>
      </c>
      <c r="B9" s="27">
        <v>1577.9038632895799</v>
      </c>
      <c r="C9" s="38">
        <v>-2.9664708160013299E-2</v>
      </c>
      <c r="D9" s="30">
        <v>-5.7150104169500304</v>
      </c>
      <c r="E9" s="32" t="s">
        <v>20</v>
      </c>
      <c r="F9" s="32">
        <v>1577.8991363863499</v>
      </c>
      <c r="G9" s="40">
        <v>-2.9246855516227101E-2</v>
      </c>
      <c r="H9" s="32">
        <v>1.9909203299937499</v>
      </c>
      <c r="I9" s="32">
        <v>-2.47562500973359E-2</v>
      </c>
      <c r="K9" s="32" t="b">
        <f>ROUND(C9,3)=ROUND(G9,3)</f>
        <v>0</v>
      </c>
      <c r="M9" s="50">
        <v>1577.9038632895799</v>
      </c>
      <c r="N9" s="51">
        <v>1577.8991363863499</v>
      </c>
    </row>
    <row r="10" spans="1:14" x14ac:dyDescent="0.2">
      <c r="A10" s="24" t="s">
        <v>22</v>
      </c>
      <c r="B10" s="27">
        <v>1581.4410688354401</v>
      </c>
      <c r="C10" s="34">
        <v>-0.98910062067665205</v>
      </c>
      <c r="D10" s="30">
        <v>-2.2266009879900701</v>
      </c>
      <c r="E10" s="32" t="s">
        <v>22</v>
      </c>
      <c r="F10" s="32">
        <v>1581.22028616842</v>
      </c>
      <c r="G10" s="40">
        <v>3.4315285142543402E-2</v>
      </c>
      <c r="H10" s="32">
        <v>1.7088927981547599</v>
      </c>
      <c r="I10" s="32">
        <v>-1.2400360957495899E-2</v>
      </c>
      <c r="K10" s="32" t="b">
        <f>ROUND(C10,3)=ROUND(G10,3)</f>
        <v>0</v>
      </c>
      <c r="M10" s="27">
        <v>1581.4410688354401</v>
      </c>
      <c r="N10" s="32">
        <v>1581.22028616842</v>
      </c>
    </row>
    <row r="11" spans="1:14" s="28" customFormat="1" ht="17" thickBot="1" x14ac:dyDescent="0.25">
      <c r="A11" s="25" t="s">
        <v>24</v>
      </c>
      <c r="B11" s="28">
        <v>1581.54796888641</v>
      </c>
      <c r="C11" s="35">
        <v>2.3915398202364602E-2</v>
      </c>
      <c r="D11" s="31">
        <v>-6.9103513317135201</v>
      </c>
      <c r="E11" s="28" t="s">
        <v>24</v>
      </c>
      <c r="F11" s="28">
        <v>1581.91571641423</v>
      </c>
      <c r="G11" s="35">
        <v>2.3741816794813499E-2</v>
      </c>
      <c r="H11" s="28">
        <v>1.8410752318973</v>
      </c>
      <c r="I11" s="28">
        <v>-2.8006990070577699E-2</v>
      </c>
      <c r="K11" s="28" t="b">
        <f>ROUND(C11,3)=ROUND(G11,3)</f>
        <v>1</v>
      </c>
      <c r="M11" s="28">
        <v>1581.54796888641</v>
      </c>
      <c r="N11" s="28">
        <v>1581.91571641423</v>
      </c>
    </row>
    <row r="12" spans="1:14" x14ac:dyDescent="0.2">
      <c r="A12" s="24" t="s">
        <v>26</v>
      </c>
      <c r="B12" s="27">
        <v>-19.875981660257398</v>
      </c>
      <c r="C12" s="38">
        <v>0.837666895443683</v>
      </c>
      <c r="D12" s="30">
        <v>20.514536324007</v>
      </c>
      <c r="E12" s="32" t="s">
        <v>26</v>
      </c>
      <c r="F12" s="32">
        <v>-17.921306647733701</v>
      </c>
      <c r="G12" s="42">
        <v>0.83819985062326297</v>
      </c>
      <c r="H12" s="32">
        <v>-3.1809962809374901</v>
      </c>
      <c r="I12" s="32">
        <v>7.4353144167352794E-2</v>
      </c>
      <c r="K12" s="32" t="b">
        <f>ROUND(C12,3)=ROUND(G12,3)</f>
        <v>1</v>
      </c>
      <c r="M12" s="50">
        <v>-19.875981660257398</v>
      </c>
      <c r="N12" s="51">
        <v>-17.921306647733701</v>
      </c>
    </row>
    <row r="13" spans="1:14" x14ac:dyDescent="0.2">
      <c r="A13" s="24" t="s">
        <v>28</v>
      </c>
      <c r="B13" s="27">
        <v>-19.861484399143102</v>
      </c>
      <c r="C13" s="38">
        <v>0.83934053624670701</v>
      </c>
      <c r="D13" s="30">
        <v>20.731853465245901</v>
      </c>
      <c r="E13" s="32" t="s">
        <v>28</v>
      </c>
      <c r="F13" s="32">
        <v>-15.8715683189813</v>
      </c>
      <c r="G13" s="42">
        <v>0.837204888921114</v>
      </c>
      <c r="H13" s="32">
        <v>-2.9962671115888702</v>
      </c>
      <c r="I13" s="32">
        <v>7.7924650370913895E-2</v>
      </c>
      <c r="K13" s="32" t="b">
        <f>ROUND(C13,3)=ROUND(G13,3)</f>
        <v>0</v>
      </c>
      <c r="M13" s="27">
        <v>-19.861484399143102</v>
      </c>
      <c r="N13" s="32">
        <v>-15.8715683189813</v>
      </c>
    </row>
    <row r="14" spans="1:14" x14ac:dyDescent="0.2">
      <c r="A14" s="24" t="s">
        <v>30</v>
      </c>
      <c r="B14" s="27">
        <v>-15.2404361261282</v>
      </c>
      <c r="C14" s="34">
        <v>0.24223419203563201</v>
      </c>
      <c r="D14" s="30">
        <v>21.788717796714099</v>
      </c>
      <c r="E14" s="32" t="s">
        <v>30</v>
      </c>
      <c r="F14" s="32">
        <v>-14.7283805542151</v>
      </c>
      <c r="G14" s="40">
        <v>0.91204655879866803</v>
      </c>
      <c r="H14" s="32">
        <v>-3.3745102632810999</v>
      </c>
      <c r="I14" s="32">
        <v>8.0369854037932606E-2</v>
      </c>
      <c r="K14" s="32" t="b">
        <f>ROUND(C14,3)=ROUND(G14,3)</f>
        <v>0</v>
      </c>
      <c r="M14" s="27">
        <v>-15.2404361261282</v>
      </c>
      <c r="N14" s="32">
        <v>-14.7283805542151</v>
      </c>
    </row>
    <row r="15" spans="1:14" x14ac:dyDescent="0.2">
      <c r="A15" s="24" t="s">
        <v>32</v>
      </c>
      <c r="B15" s="27">
        <v>-13.208884072163899</v>
      </c>
      <c r="C15" s="34">
        <v>0.837431019407615</v>
      </c>
      <c r="D15" s="30">
        <v>-1.1754912435590299</v>
      </c>
      <c r="E15" s="32" t="s">
        <v>32</v>
      </c>
      <c r="F15" s="32">
        <v>-13.4457437861023</v>
      </c>
      <c r="G15" s="40">
        <v>0.83738586567142603</v>
      </c>
      <c r="H15" s="32">
        <v>-1.1760810843568399</v>
      </c>
      <c r="I15" s="32" t="s">
        <v>34</v>
      </c>
      <c r="K15" s="32" t="b">
        <f>ROUND(C15,3)=ROUND(G15,3)</f>
        <v>1</v>
      </c>
      <c r="M15" s="27">
        <v>-13.208884072163899</v>
      </c>
      <c r="N15" s="32">
        <v>-13.4457437861023</v>
      </c>
    </row>
    <row r="16" spans="1:14" x14ac:dyDescent="0.2">
      <c r="A16" s="24" t="s">
        <v>35</v>
      </c>
      <c r="B16" s="27">
        <v>-15.2641246824156</v>
      </c>
      <c r="C16" s="34">
        <v>0.78480808686166403</v>
      </c>
      <c r="D16" s="30">
        <v>19.8537393065243</v>
      </c>
      <c r="E16" s="32" t="s">
        <v>35</v>
      </c>
      <c r="F16" s="32">
        <v>-13.071109095642299</v>
      </c>
      <c r="G16" s="40">
        <v>0.78914085038947102</v>
      </c>
      <c r="H16" s="32">
        <v>-3.0861401982808498</v>
      </c>
      <c r="I16" s="32">
        <v>7.2009029618263401E-2</v>
      </c>
      <c r="K16" s="32" t="b">
        <f>ROUND(C16,3)=ROUND(G16,3)</f>
        <v>0</v>
      </c>
      <c r="M16" s="27">
        <v>-15.2641246824156</v>
      </c>
      <c r="N16" s="32">
        <v>-13.071109095642299</v>
      </c>
    </row>
    <row r="17" spans="1:14" x14ac:dyDescent="0.2">
      <c r="A17" s="24" t="s">
        <v>36</v>
      </c>
      <c r="B17" s="27">
        <v>-13.3993962809976</v>
      </c>
      <c r="C17" s="34">
        <v>0.83891922882221903</v>
      </c>
      <c r="D17" s="30">
        <v>-1.1494551132886099</v>
      </c>
      <c r="E17" s="32" t="s">
        <v>36</v>
      </c>
      <c r="F17" s="32">
        <v>-12.692826671163401</v>
      </c>
      <c r="G17" s="40">
        <v>0.83699785378289204</v>
      </c>
      <c r="H17" s="32">
        <v>-0.82916851462816199</v>
      </c>
      <c r="I17" s="32" t="s">
        <v>34</v>
      </c>
      <c r="K17" s="32" t="b">
        <f>ROUND(C17,3)=ROUND(G17,3)</f>
        <v>0</v>
      </c>
      <c r="M17" s="27">
        <v>-13.3993962809976</v>
      </c>
      <c r="N17" s="32">
        <v>-12.692826671163401</v>
      </c>
    </row>
    <row r="18" spans="1:14" s="28" customFormat="1" ht="17" thickBot="1" x14ac:dyDescent="0.25">
      <c r="A18" s="25" t="s">
        <v>38</v>
      </c>
      <c r="B18" s="28">
        <v>-13.0472695886103</v>
      </c>
      <c r="C18" s="35">
        <v>0.83766689327212596</v>
      </c>
      <c r="D18" s="31">
        <v>20.5145363930481</v>
      </c>
      <c r="E18" s="28" t="s">
        <v>38</v>
      </c>
      <c r="F18" s="28">
        <v>-11.0925945760467</v>
      </c>
      <c r="G18" s="35">
        <v>0.83819988582281701</v>
      </c>
      <c r="H18" s="28">
        <v>-3.1809963605143698</v>
      </c>
      <c r="I18" s="28">
        <v>7.4353141898175004E-2</v>
      </c>
      <c r="K18" s="28" t="b">
        <f>ROUND(C18,3)=ROUND(G18,3)</f>
        <v>1</v>
      </c>
      <c r="M18" s="28">
        <v>-13.0472695886103</v>
      </c>
      <c r="N18" s="28">
        <v>-11.0925945760467</v>
      </c>
    </row>
    <row r="19" spans="1:14" x14ac:dyDescent="0.2">
      <c r="A19" s="24" t="s">
        <v>39</v>
      </c>
      <c r="B19" s="27">
        <v>-62.990423973558002</v>
      </c>
      <c r="C19" s="39">
        <v>0.75222352261468794</v>
      </c>
      <c r="D19" s="30">
        <v>7.0194299049569002</v>
      </c>
      <c r="E19" s="32" t="s">
        <v>39</v>
      </c>
      <c r="F19" s="32">
        <v>-62.427969707320699</v>
      </c>
      <c r="G19" s="43">
        <v>0.75207991514194195</v>
      </c>
      <c r="H19" s="32">
        <v>-0.52891890370903105</v>
      </c>
      <c r="I19" s="32">
        <v>2.3528972637380099E-2</v>
      </c>
      <c r="K19" s="32" t="b">
        <f>ROUND(C19,3)=ROUND(G19,3)</f>
        <v>1</v>
      </c>
      <c r="M19" s="21">
        <v>-62.990423973558002</v>
      </c>
      <c r="N19" s="22">
        <v>-62.427969707320699</v>
      </c>
    </row>
    <row r="20" spans="1:14" x14ac:dyDescent="0.2">
      <c r="A20" s="24" t="s">
        <v>40</v>
      </c>
      <c r="B20" s="27">
        <v>-62.089006016756599</v>
      </c>
      <c r="C20" s="39">
        <v>0.82126849788279099</v>
      </c>
      <c r="D20" s="30">
        <v>6.3583246683996197</v>
      </c>
      <c r="E20" s="32" t="s">
        <v>40</v>
      </c>
      <c r="F20" s="32">
        <v>-61.558095846275997</v>
      </c>
      <c r="G20" s="43">
        <v>0.82155613536016203</v>
      </c>
      <c r="H20" s="32">
        <v>-0.74641124907858902</v>
      </c>
      <c r="I20" s="32">
        <v>2.2135145855698299E-2</v>
      </c>
      <c r="K20" s="32" t="b">
        <f>ROUND(C20,3)=ROUND(G20,3)</f>
        <v>0</v>
      </c>
      <c r="M20" s="21">
        <v>-62.089006016756599</v>
      </c>
      <c r="N20" s="22">
        <v>-61.558095846275997</v>
      </c>
    </row>
    <row r="21" spans="1:14" x14ac:dyDescent="0.2">
      <c r="A21" s="24" t="s">
        <v>42</v>
      </c>
      <c r="B21" s="27">
        <v>-60.469528676132299</v>
      </c>
      <c r="C21" s="34">
        <v>-0.135515519913398</v>
      </c>
      <c r="D21" s="30">
        <v>8.5537066833685405</v>
      </c>
      <c r="E21" s="32" t="s">
        <v>42</v>
      </c>
      <c r="F21" s="32">
        <v>-60.196602200842499</v>
      </c>
      <c r="G21" s="40">
        <v>0.90805612010066705</v>
      </c>
      <c r="H21" s="32">
        <v>-0.93790707277187402</v>
      </c>
      <c r="I21" s="32">
        <v>3.0083300221462099E-2</v>
      </c>
      <c r="K21" s="32" t="b">
        <f>ROUND(C21,3)=ROUND(G21,3)</f>
        <v>0</v>
      </c>
      <c r="M21" s="21">
        <v>-60.469528676132299</v>
      </c>
      <c r="N21" s="22">
        <v>-60.196602200842499</v>
      </c>
    </row>
    <row r="22" spans="1:14" x14ac:dyDescent="0.2">
      <c r="A22" s="24" t="s">
        <v>44</v>
      </c>
      <c r="B22" s="27">
        <v>-59.370205178723097</v>
      </c>
      <c r="C22" s="34">
        <v>-2.4208291480471499E-2</v>
      </c>
      <c r="D22" s="30">
        <v>8.7537740720180999</v>
      </c>
      <c r="E22" s="32" t="s">
        <v>44</v>
      </c>
      <c r="F22" s="32">
        <v>-59.082816896335999</v>
      </c>
      <c r="G22" s="40">
        <v>0.82588044448091902</v>
      </c>
      <c r="H22" s="32">
        <v>-0.69793367968916398</v>
      </c>
      <c r="I22" s="32">
        <v>2.9964371045195601E-2</v>
      </c>
      <c r="K22" s="32" t="b">
        <f>ROUND(C22,3)=ROUND(G22,3)</f>
        <v>0</v>
      </c>
      <c r="M22" s="21">
        <v>-59.370205178723097</v>
      </c>
      <c r="N22" s="22">
        <v>-59.082816896335999</v>
      </c>
    </row>
    <row r="23" spans="1:14" x14ac:dyDescent="0.2">
      <c r="A23" s="24" t="s">
        <v>45</v>
      </c>
      <c r="B23" s="27">
        <v>-58.5447338032318</v>
      </c>
      <c r="C23" s="34">
        <v>-0.30352007076819398</v>
      </c>
      <c r="D23" s="30">
        <v>9.18497275044035</v>
      </c>
      <c r="E23" s="32" t="s">
        <v>45</v>
      </c>
      <c r="F23" s="32">
        <v>-58.434639880456899</v>
      </c>
      <c r="G23" s="40">
        <v>0.90800074104193795</v>
      </c>
      <c r="H23" s="32">
        <v>-0.89648914811015601</v>
      </c>
      <c r="I23" s="32">
        <v>3.1966835813866598E-2</v>
      </c>
      <c r="K23" s="32" t="b">
        <f>ROUND(C23,3)=ROUND(G23,3)</f>
        <v>0</v>
      </c>
      <c r="M23" s="27">
        <v>-58.5447338032318</v>
      </c>
      <c r="N23" s="32">
        <v>-58.434639880456899</v>
      </c>
    </row>
    <row r="24" spans="1:14" x14ac:dyDescent="0.2">
      <c r="A24" s="24" t="s">
        <v>47</v>
      </c>
      <c r="B24" s="27">
        <v>-57.975050540391202</v>
      </c>
      <c r="C24" s="34">
        <v>0.79882287055239098</v>
      </c>
      <c r="D24" s="30">
        <v>6.6981300946024396</v>
      </c>
      <c r="E24" s="32" t="s">
        <v>47</v>
      </c>
      <c r="F24" s="32">
        <v>-57.516322148769497</v>
      </c>
      <c r="G24" s="40">
        <v>0.79918517876246298</v>
      </c>
      <c r="H24" s="32">
        <v>-0.63788992030617497</v>
      </c>
      <c r="I24" s="32">
        <v>2.28728036357622E-2</v>
      </c>
      <c r="K24" s="32" t="b">
        <f>ROUND(C24,3)=ROUND(G24,3)</f>
        <v>1</v>
      </c>
      <c r="M24" s="27">
        <v>-57.975050540391202</v>
      </c>
      <c r="N24" s="32">
        <v>-57.516322148769497</v>
      </c>
    </row>
    <row r="25" spans="1:14" x14ac:dyDescent="0.2">
      <c r="A25" s="24" t="s">
        <v>49</v>
      </c>
      <c r="B25" s="27">
        <v>-54.324289583907401</v>
      </c>
      <c r="C25" s="34">
        <v>-0.28954472712171703</v>
      </c>
      <c r="D25" s="30">
        <v>9.8231613108529405</v>
      </c>
      <c r="E25" s="32" t="s">
        <v>49</v>
      </c>
      <c r="F25" s="32">
        <v>-57.189734218593898</v>
      </c>
      <c r="G25" s="40">
        <v>0.94679754277461503</v>
      </c>
      <c r="H25" s="32">
        <v>-0.53031127499389197</v>
      </c>
      <c r="I25" s="32">
        <v>2.2060541931110299E-2</v>
      </c>
      <c r="K25" s="32" t="b">
        <f>ROUND(C25,3)=ROUND(G25,3)</f>
        <v>0</v>
      </c>
      <c r="M25" s="27">
        <v>-54.324289583907401</v>
      </c>
      <c r="N25" s="32">
        <v>-57.189734218593898</v>
      </c>
    </row>
    <row r="26" spans="1:14" x14ac:dyDescent="0.2">
      <c r="A26" s="24" t="s">
        <v>51</v>
      </c>
      <c r="B26" s="27">
        <v>-56.9314582631863</v>
      </c>
      <c r="C26" s="34">
        <v>0.75253424569169103</v>
      </c>
      <c r="D26" s="30">
        <v>0.117057802581126</v>
      </c>
      <c r="E26" s="32" t="s">
        <v>51</v>
      </c>
      <c r="F26" s="32">
        <v>-56.669811487515901</v>
      </c>
      <c r="G26" s="40">
        <v>0.75246814752230096</v>
      </c>
      <c r="H26" s="32">
        <v>0.11650442184279999</v>
      </c>
      <c r="I26" s="32" t="s">
        <v>34</v>
      </c>
      <c r="K26" s="32" t="b">
        <f>ROUND(C26,3)=ROUND(G26,3)</f>
        <v>0</v>
      </c>
      <c r="M26" s="27">
        <v>-56.9314582631863</v>
      </c>
      <c r="N26" s="32">
        <v>-56.669811487515901</v>
      </c>
    </row>
    <row r="27" spans="1:14" s="28" customFormat="1" ht="17" thickBot="1" x14ac:dyDescent="0.25">
      <c r="A27" s="25" t="s">
        <v>53</v>
      </c>
      <c r="B27" s="28">
        <v>-56.0468504206275</v>
      </c>
      <c r="C27" s="35">
        <v>0.82054964146707299</v>
      </c>
      <c r="D27" s="31">
        <v>-0.13162736413962001</v>
      </c>
      <c r="E27" s="28" t="s">
        <v>53</v>
      </c>
      <c r="F27" s="28">
        <v>-55.777835702951997</v>
      </c>
      <c r="G27" s="35">
        <v>0.82056897869685896</v>
      </c>
      <c r="H27" s="28">
        <v>-0.13285075551573</v>
      </c>
      <c r="I27" s="28" t="s">
        <v>34</v>
      </c>
      <c r="K27" s="28" t="b">
        <f>ROUND(C27,3)=ROUND(G27,3)</f>
        <v>1</v>
      </c>
      <c r="M27" s="28">
        <v>-56.0468504206275</v>
      </c>
      <c r="N27" s="28">
        <v>-55.777835702951997</v>
      </c>
    </row>
    <row r="28" spans="1:14" x14ac:dyDescent="0.2">
      <c r="A28" s="24" t="s">
        <v>55</v>
      </c>
      <c r="B28" s="27">
        <v>745.99918717702599</v>
      </c>
      <c r="C28" s="34">
        <v>0.78980685335710299</v>
      </c>
      <c r="D28" s="30">
        <v>-0.65733822504614803</v>
      </c>
      <c r="E28" s="32" t="s">
        <v>55</v>
      </c>
      <c r="F28" s="32">
        <v>727.97610796283902</v>
      </c>
      <c r="G28" s="40">
        <v>0.74935120985140302</v>
      </c>
      <c r="H28" s="32">
        <v>-1.2778265702660601</v>
      </c>
      <c r="I28" s="32" t="s">
        <v>34</v>
      </c>
      <c r="K28" s="32" t="b">
        <f>ROUND(C28,3)=ROUND(G28,3)</f>
        <v>0</v>
      </c>
      <c r="M28" s="27">
        <v>745.99918717702599</v>
      </c>
      <c r="N28" s="32">
        <v>727.97610796283902</v>
      </c>
    </row>
    <row r="29" spans="1:14" s="28" customFormat="1" ht="17" thickBot="1" x14ac:dyDescent="0.25">
      <c r="A29" s="25" t="s">
        <v>57</v>
      </c>
      <c r="B29" s="28">
        <v>742.591124547601</v>
      </c>
      <c r="C29" s="35">
        <v>-1.07487711894799</v>
      </c>
      <c r="D29" s="31">
        <v>-0.37054885679743699</v>
      </c>
      <c r="E29" s="28" t="s">
        <v>57</v>
      </c>
      <c r="F29" s="28">
        <v>730.90117260757995</v>
      </c>
      <c r="G29" s="35">
        <v>1.18275427059258</v>
      </c>
      <c r="H29" s="28">
        <v>-0.85383754576588999</v>
      </c>
      <c r="I29" s="28">
        <v>-4.1656323862099102E-3</v>
      </c>
      <c r="K29" s="28" t="b">
        <f>ROUND(C29,3)=ROUND(G29,3)</f>
        <v>0</v>
      </c>
      <c r="M29" s="28">
        <v>742.591124547601</v>
      </c>
      <c r="N29" s="28">
        <v>730.90117260757995</v>
      </c>
    </row>
    <row r="30" spans="1:14" x14ac:dyDescent="0.2">
      <c r="A30" s="24" t="s">
        <v>59</v>
      </c>
      <c r="B30" s="27">
        <v>276.43994261359001</v>
      </c>
      <c r="C30" s="34">
        <v>-4.0811433520103198E-2</v>
      </c>
      <c r="D30" s="30">
        <v>0.99136361935299799</v>
      </c>
      <c r="E30" s="32" t="s">
        <v>59</v>
      </c>
      <c r="F30" s="32">
        <v>262.28431197633603</v>
      </c>
      <c r="G30" s="40">
        <v>-6.1212258939918898E-2</v>
      </c>
      <c r="H30" s="32">
        <v>0.58005773469481303</v>
      </c>
      <c r="I30" s="32" t="s">
        <v>34</v>
      </c>
      <c r="K30" s="32" t="b">
        <f>ROUND(C30,3)=ROUND(G30,3)</f>
        <v>0</v>
      </c>
      <c r="M30" s="27">
        <v>276.43994261359001</v>
      </c>
      <c r="N30" s="47">
        <v>262.28431197633603</v>
      </c>
    </row>
    <row r="31" spans="1:14" x14ac:dyDescent="0.2">
      <c r="A31" s="24" t="s">
        <v>61</v>
      </c>
      <c r="B31" s="27">
        <v>265.52149565583301</v>
      </c>
      <c r="C31" s="48">
        <v>-2.9419198374373401E-2</v>
      </c>
      <c r="D31" s="30">
        <v>-12.6359676617429</v>
      </c>
      <c r="E31" s="32" t="s">
        <v>61</v>
      </c>
      <c r="F31" s="32">
        <v>265.12028673344901</v>
      </c>
      <c r="G31" s="49">
        <v>-3.0075464581864501E-2</v>
      </c>
      <c r="H31" s="32">
        <v>2.25533744614575</v>
      </c>
      <c r="I31" s="32">
        <v>-4.66946773531704E-2</v>
      </c>
      <c r="K31" s="32" t="b">
        <f>ROUND(C31,3)=ROUND(G31,3)</f>
        <v>0</v>
      </c>
      <c r="M31" s="46">
        <v>265.52149565583301</v>
      </c>
      <c r="N31">
        <v>265.12028673344901</v>
      </c>
    </row>
    <row r="32" spans="1:14" x14ac:dyDescent="0.2">
      <c r="A32" s="24" t="s">
        <v>63</v>
      </c>
      <c r="B32" s="27">
        <v>267.60966265477202</v>
      </c>
      <c r="C32" s="34">
        <v>-3.0638478699389401E-2</v>
      </c>
      <c r="D32" s="30">
        <v>0.78949834190815804</v>
      </c>
      <c r="E32" s="32" t="s">
        <v>63</v>
      </c>
      <c r="F32" s="32">
        <v>265.73650296593701</v>
      </c>
      <c r="G32" s="40">
        <v>-3.0582059026820901E-2</v>
      </c>
      <c r="H32" s="32">
        <v>0.78746517401314697</v>
      </c>
      <c r="I32" s="32" t="s">
        <v>34</v>
      </c>
      <c r="K32" s="32" t="b">
        <f>ROUND(C32,3)=ROUND(G32,3)</f>
        <v>1</v>
      </c>
      <c r="M32" s="27">
        <v>267.60966265477202</v>
      </c>
      <c r="N32" s="32">
        <v>265.73650296593701</v>
      </c>
    </row>
    <row r="33" spans="1:14" s="28" customFormat="1" ht="17" thickBot="1" x14ac:dyDescent="0.25">
      <c r="A33" s="25" t="s">
        <v>65</v>
      </c>
      <c r="B33" s="28">
        <v>274.02921658837198</v>
      </c>
      <c r="C33" s="35">
        <v>-3.0405860333168298E-2</v>
      </c>
      <c r="D33" s="31">
        <v>0.81244753623024002</v>
      </c>
      <c r="E33" s="28" t="s">
        <v>65</v>
      </c>
      <c r="F33" s="28">
        <v>268.47625485193998</v>
      </c>
      <c r="G33" s="35">
        <v>-4.7162351992817098E-2</v>
      </c>
      <c r="H33" s="28">
        <v>0.69751183747462997</v>
      </c>
      <c r="I33" s="28" t="s">
        <v>34</v>
      </c>
      <c r="K33" s="28" t="b">
        <f>ROUND(C33,3)=ROUND(G33,3)</f>
        <v>0</v>
      </c>
      <c r="M33" s="28">
        <v>274.02921658837198</v>
      </c>
      <c r="N33" s="28">
        <v>268.47625485193998</v>
      </c>
    </row>
    <row r="34" spans="1:14" x14ac:dyDescent="0.2">
      <c r="M34" s="27"/>
      <c r="N34" s="3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 degC</vt:lpstr>
      <vt:lpstr>1000 TempK 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Krista Kraskura</dc:creator>
  <cp:lastModifiedBy>Krista Kraskura</cp:lastModifiedBy>
  <dcterms:created xsi:type="dcterms:W3CDTF">2025-05-12T09:15:39Z</dcterms:created>
  <dcterms:modified xsi:type="dcterms:W3CDTF">2025-05-15T19:13:05Z</dcterms:modified>
</cp:coreProperties>
</file>