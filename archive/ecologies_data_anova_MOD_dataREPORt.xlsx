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akraskura/Github_repositories/KK_etal_synthesis_fish_temp_scaling/Data_exports/"/>
    </mc:Choice>
  </mc:AlternateContent>
  <xr:revisionPtr revIDLastSave="0" documentId="13_ncr:40009_{929CED1F-0A63-9246-A466-8386E66412DC}" xr6:coauthVersionLast="47" xr6:coauthVersionMax="47" xr10:uidLastSave="{00000000-0000-0000-0000-000000000000}"/>
  <bookViews>
    <workbookView xWindow="2580" yWindow="500" windowWidth="23620" windowHeight="16200" activeTab="1"/>
  </bookViews>
  <sheets>
    <sheet name="ecologies_data_anova_MOD_dataRE" sheetId="1" r:id="rId1"/>
    <sheet name="Sheet3" sheetId="4" r:id="rId2"/>
    <sheet name="posthocs" sheetId="3" r:id="rId3"/>
    <sheet name="PArams" sheetId="2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4" l="1"/>
  <c r="J20" i="4"/>
  <c r="J19" i="4"/>
  <c r="J18" i="4"/>
  <c r="J3" i="4"/>
  <c r="J4" i="4"/>
  <c r="J5" i="4"/>
  <c r="J2" i="4"/>
  <c r="K92" i="1"/>
  <c r="J92" i="1"/>
  <c r="I92" i="1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62" i="2"/>
  <c r="G63" i="2"/>
  <c r="G64" i="2"/>
  <c r="G65" i="2"/>
  <c r="G34" i="2"/>
  <c r="K88" i="1"/>
  <c r="J88" i="1"/>
  <c r="I88" i="1"/>
  <c r="K76" i="1"/>
  <c r="J76" i="1"/>
  <c r="I76" i="1"/>
  <c r="K73" i="1"/>
  <c r="J73" i="1"/>
  <c r="I73" i="1"/>
  <c r="K70" i="1"/>
  <c r="J70" i="1"/>
  <c r="I70" i="1"/>
  <c r="K64" i="1"/>
  <c r="J64" i="1"/>
  <c r="I64" i="1"/>
  <c r="K55" i="1"/>
  <c r="J55" i="1"/>
  <c r="I55" i="1"/>
  <c r="K52" i="1"/>
  <c r="J52" i="1"/>
  <c r="I52" i="1"/>
  <c r="K46" i="1"/>
  <c r="J46" i="1"/>
  <c r="I46" i="1"/>
  <c r="K40" i="1"/>
  <c r="J40" i="1"/>
  <c r="I40" i="1"/>
  <c r="K37" i="1"/>
  <c r="J37" i="1"/>
  <c r="I37" i="1"/>
  <c r="K34" i="1"/>
  <c r="J34" i="1"/>
  <c r="I34" i="1"/>
  <c r="K22" i="1"/>
  <c r="J22" i="1"/>
  <c r="I22" i="1"/>
  <c r="K19" i="1"/>
  <c r="J19" i="1"/>
  <c r="I19" i="1"/>
  <c r="K16" i="1"/>
  <c r="J16" i="1"/>
  <c r="I16" i="1"/>
  <c r="K10" i="1"/>
  <c r="J10" i="1"/>
  <c r="I1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<sst xmlns="http://schemas.openxmlformats.org/spreadsheetml/2006/main" count="2096" uniqueCount="91">
  <si>
    <t>Chisq</t>
  </si>
  <si>
    <t>Df</t>
  </si>
  <si>
    <t>Pr(&gt;Chisq)</t>
  </si>
  <si>
    <t>predictor</t>
  </si>
  <si>
    <t>var</t>
  </si>
  <si>
    <t>test.categ</t>
  </si>
  <si>
    <t>ecol</t>
  </si>
  <si>
    <t>lnBWg</t>
  </si>
  <si>
    <t>AS</t>
  </si>
  <si>
    <t>opt</t>
  </si>
  <si>
    <t>DemersPelag</t>
  </si>
  <si>
    <t>tempTestK1000</t>
  </si>
  <si>
    <t>BodyShapeI</t>
  </si>
  <si>
    <t>Climate</t>
  </si>
  <si>
    <t>salintyComb</t>
  </si>
  <si>
    <t>warm</t>
  </si>
  <si>
    <t>FAS</t>
  </si>
  <si>
    <t>tempTest</t>
  </si>
  <si>
    <t>poly(tempTest, 2)</t>
  </si>
  <si>
    <t>RMR</t>
  </si>
  <si>
    <t>MMR</t>
  </si>
  <si>
    <t>lnBWg:tempTestK1000</t>
  </si>
  <si>
    <t>fixef.model.null</t>
  </si>
  <si>
    <t>fixef.model.ecol</t>
  </si>
  <si>
    <t>estimate</t>
  </si>
  <si>
    <t>1 = intercept</t>
  </si>
  <si>
    <t>2 = slope</t>
  </si>
  <si>
    <t>3 = temp</t>
  </si>
  <si>
    <t xml:space="preserve">BIC ns </t>
  </si>
  <si>
    <t>BIC</t>
  </si>
  <si>
    <t>&lt;&lt;&lt; ∆BIC SIGNIFICANT AND SHIFTING SLOPES</t>
  </si>
  <si>
    <t>contrast</t>
  </si>
  <si>
    <t>SE</t>
  </si>
  <si>
    <t>df</t>
  </si>
  <si>
    <t>t.ratio</t>
  </si>
  <si>
    <t>p.value</t>
  </si>
  <si>
    <t>benthopelagic - demersal</t>
  </si>
  <si>
    <t>benthopelagic - pelagic</t>
  </si>
  <si>
    <t>benthopelagic - (reef-associated)</t>
  </si>
  <si>
    <t>demersal - pelagic</t>
  </si>
  <si>
    <t>demersal - (reef-associated)</t>
  </si>
  <si>
    <t>pelagic - (reef-associated)</t>
  </si>
  <si>
    <t>elongated - fusiform</t>
  </si>
  <si>
    <t>elongated - (short/deep)</t>
  </si>
  <si>
    <t>fusiform - (short/deep)</t>
  </si>
  <si>
    <t>Polar - Subtropical</t>
  </si>
  <si>
    <t>Polar - Temperate</t>
  </si>
  <si>
    <t>Polar - Tropical</t>
  </si>
  <si>
    <t>Subtropical - Temperate</t>
  </si>
  <si>
    <t>Subtropical - Tropical</t>
  </si>
  <si>
    <t>Temperate - Tropical</t>
  </si>
  <si>
    <t>Freshwater - Freshwater; brackish</t>
  </si>
  <si>
    <t>Freshwater - Marine</t>
  </si>
  <si>
    <t>Freshwater - Marine; brackish</t>
  </si>
  <si>
    <t>Freshwater - Marine; freshwater; brackish</t>
  </si>
  <si>
    <t>Freshwater; brackish - Marine</t>
  </si>
  <si>
    <t>Freshwater; brackish - Marine; brackish</t>
  </si>
  <si>
    <t>Freshwater; brackish - Marine; freshwater; brackish</t>
  </si>
  <si>
    <t>Marine - Marine; brackish</t>
  </si>
  <si>
    <t>Marine - Marine; freshwater; brackish</t>
  </si>
  <si>
    <t>Marine; brackish - Marine; freshwater; brackish</t>
  </si>
  <si>
    <t>dorsoventrflattened - (eel-like)</t>
  </si>
  <si>
    <t>dorsoventrflattened - elongated</t>
  </si>
  <si>
    <t>dorsoventrflattened - fusiform</t>
  </si>
  <si>
    <t>dorsoventrflattened - (short/deep)</t>
  </si>
  <si>
    <t>(eel-like) - elongated</t>
  </si>
  <si>
    <t>(eel-like) - fusiform</t>
  </si>
  <si>
    <t>(eel-like) - (short/deep)</t>
  </si>
  <si>
    <t>&lt;&lt; REPORT</t>
  </si>
  <si>
    <t>EcolGroup</t>
  </si>
  <si>
    <t>emmean</t>
  </si>
  <si>
    <t>lower.CL</t>
  </si>
  <si>
    <t>upper.CL</t>
  </si>
  <si>
    <t>benthopelagic</t>
  </si>
  <si>
    <t>demersal</t>
  </si>
  <si>
    <t>pelagic</t>
  </si>
  <si>
    <t>reef-associated</t>
  </si>
  <si>
    <t>elongated</t>
  </si>
  <si>
    <t>fusiform</t>
  </si>
  <si>
    <t>short/deep</t>
  </si>
  <si>
    <t>Polar</t>
  </si>
  <si>
    <t>Subtropical</t>
  </si>
  <si>
    <t>Temperate</t>
  </si>
  <si>
    <t>Tropical</t>
  </si>
  <si>
    <t>Freshwater</t>
  </si>
  <si>
    <t>Freshwater; brackish</t>
  </si>
  <si>
    <t>Marine</t>
  </si>
  <si>
    <t>Marine; brackish</t>
  </si>
  <si>
    <t>Marine; freshwater; brackish</t>
  </si>
  <si>
    <t>dorsoventrflattened</t>
  </si>
  <si>
    <t>eel-like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</si>
</sst>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6" formatCode="0.0000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2"/>
      <color rgb="FF9C0006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5">
    <xf numFmtId="0" fontId="0" fillId="0" borderId="0" xfId="0"/>
    <xf numFmtId="166" fontId="0" fillId="0" borderId="0" xfId="0" applyNumberFormat="1"/>
    <xf numFmtId="0" fontId="0" fillId="33" borderId="0" xfId="0" applyFill="1"/>
    <xf numFmtId="166" fontId="0" fillId="33" borderId="0" xfId="0" applyNumberFormat="1" applyFill="1"/>
    <xf numFmtId="0" fontId="0" fillId="0" borderId="0" xfId="0" applyFill="1"/>
    <xf numFmtId="0" fontId="0" fillId="35" borderId="0" xfId="0" applyFill="1"/>
    <xf numFmtId="0" fontId="16" fillId="34" borderId="0" xfId="0" applyFont="1" applyFill="1"/>
    <xf numFmtId="0" fontId="16" fillId="0" borderId="0" xfId="0" applyFont="1" applyFill="1"/>
    <xf numFmtId="0" fontId="16" fillId="33" borderId="10" xfId="0" applyFont="1" applyFill="1" applyBorder="1"/>
    <xf numFmtId="0" fontId="16" fillId="33" borderId="11" xfId="0" applyFont="1" applyFill="1" applyBorder="1"/>
    <xf numFmtId="166" fontId="16" fillId="33" borderId="11" xfId="0" applyNumberFormat="1" applyFont="1" applyFill="1" applyBorder="1"/>
    <xf numFmtId="0" fontId="16" fillId="33" borderId="12" xfId="0" applyFont="1" applyFill="1" applyBorder="1"/>
    <xf numFmtId="0" fontId="16" fillId="36" borderId="10" xfId="0" applyFont="1" applyFill="1" applyBorder="1"/>
    <xf numFmtId="0" fontId="16" fillId="36" borderId="11" xfId="0" applyFont="1" applyFill="1" applyBorder="1"/>
    <xf numFmtId="166" fontId="16" fillId="36" borderId="11" xfId="0" applyNumberFormat="1" applyFont="1" applyFill="1" applyBorder="1"/>
    <xf numFmtId="0" fontId="16" fillId="36" borderId="12" xfId="0" applyFont="1" applyFill="1" applyBorder="1"/>
    <xf numFmtId="0" fontId="16" fillId="0" borderId="0" xfId="0" applyFont="1"/>
    <xf numFmtId="164" fontId="0" fillId="0" borderId="0" xfId="0" applyNumberFormat="1" applyFont="1"/>
    <xf numFmtId="164" fontId="6" fillId="2" borderId="0" xfId="6" applyNumberFormat="1"/>
    <xf numFmtId="164" fontId="0" fillId="34" borderId="0" xfId="0" applyNumberFormat="1" applyFont="1" applyFill="1"/>
    <xf numFmtId="164" fontId="16" fillId="34" borderId="0" xfId="0" applyNumberFormat="1" applyFont="1" applyFill="1"/>
    <xf numFmtId="0" fontId="18" fillId="0" borderId="0" xfId="0" applyFont="1"/>
    <xf numFmtId="0" fontId="19" fillId="0" borderId="0" xfId="0" applyFont="1"/>
    <xf numFmtId="164" fontId="20" fillId="2" borderId="14" xfId="6" applyNumberFormat="1" applyFont="1" applyBorder="1"/>
    <xf numFmtId="164" fontId="20" fillId="2" borderId="0" xfId="6" applyNumberFormat="1" applyFont="1" applyBorder="1"/>
    <xf numFmtId="164" fontId="20" fillId="2" borderId="19" xfId="6" applyNumberFormat="1" applyFont="1" applyBorder="1"/>
    <xf numFmtId="0" fontId="19" fillId="0" borderId="13" xfId="0" applyFont="1" applyFill="1" applyBorder="1"/>
    <xf numFmtId="0" fontId="19" fillId="0" borderId="14" xfId="0" applyFont="1" applyFill="1" applyBorder="1"/>
    <xf numFmtId="0" fontId="19" fillId="0" borderId="16" xfId="0" applyFont="1" applyFill="1" applyBorder="1"/>
    <xf numFmtId="0" fontId="19" fillId="0" borderId="0" xfId="0" applyFont="1" applyFill="1" applyBorder="1"/>
    <xf numFmtId="0" fontId="19" fillId="0" borderId="18" xfId="0" applyFont="1" applyFill="1" applyBorder="1"/>
    <xf numFmtId="0" fontId="19" fillId="0" borderId="19" xfId="0" applyFont="1" applyFill="1" applyBorder="1"/>
    <xf numFmtId="0" fontId="0" fillId="0" borderId="0" xfId="0" applyFont="1" applyFill="1"/>
    <xf numFmtId="0" fontId="19" fillId="0" borderId="10" xfId="0" applyFont="1" applyFill="1" applyBorder="1"/>
    <xf numFmtId="0" fontId="19" fillId="0" borderId="11" xfId="0" applyFont="1" applyFill="1" applyBorder="1"/>
    <xf numFmtId="164" fontId="20" fillId="34" borderId="11" xfId="0" applyNumberFormat="1" applyFont="1" applyFill="1" applyBorder="1"/>
    <xf numFmtId="0" fontId="21" fillId="37" borderId="12" xfId="0" applyFont="1" applyFill="1" applyBorder="1"/>
    <xf numFmtId="0" fontId="21" fillId="37" borderId="15" xfId="0" applyFont="1" applyFill="1" applyBorder="1"/>
    <xf numFmtId="0" fontId="21" fillId="37" borderId="17" xfId="0" applyFont="1" applyFill="1" applyBorder="1"/>
    <xf numFmtId="0" fontId="21" fillId="37" borderId="20" xfId="0" applyFont="1" applyFill="1" applyBorder="1"/>
    <xf numFmtId="164" fontId="19" fillId="0" borderId="12" xfId="0" applyNumberFormat="1" applyFont="1" applyBorder="1"/>
    <xf numFmtId="0" fontId="22" fillId="3" borderId="0" xfId="7" applyFont="1"/>
    <xf numFmtId="0" fontId="23" fillId="0" borderId="0" xfId="0" applyFont="1"/>
    <xf numFmtId="11" fontId="23" fillId="0" borderId="0" xfId="0" applyNumberFormat="1" applyFont="1"/>
    <xf numFmtId="0" fontId="24" fillId="0" borderId="13" xfId="0" applyFont="1" applyBorder="1"/>
    <xf numFmtId="0" fontId="24" fillId="0" borderId="14" xfId="0" applyFont="1" applyBorder="1"/>
    <xf numFmtId="11" fontId="24" fillId="0" borderId="14" xfId="0" applyNumberFormat="1" applyFont="1" applyBorder="1"/>
    <xf numFmtId="0" fontId="24" fillId="0" borderId="15" xfId="0" applyFont="1" applyBorder="1"/>
    <xf numFmtId="0" fontId="24" fillId="0" borderId="16" xfId="0" applyFont="1" applyBorder="1"/>
    <xf numFmtId="0" fontId="24" fillId="0" borderId="0" xfId="0" applyFont="1" applyBorder="1"/>
    <xf numFmtId="11" fontId="24" fillId="0" borderId="0" xfId="0" applyNumberFormat="1" applyFont="1" applyBorder="1"/>
    <xf numFmtId="0" fontId="24" fillId="0" borderId="17" xfId="0" applyFont="1" applyBorder="1"/>
    <xf numFmtId="0" fontId="24" fillId="0" borderId="18" xfId="0" applyFont="1" applyBorder="1"/>
    <xf numFmtId="0" fontId="24" fillId="0" borderId="19" xfId="0" applyFont="1" applyBorder="1"/>
    <xf numFmtId="0" fontId="24" fillId="0" borderId="20" xfId="0" applyFont="1" applyBorder="1"/>
    <xf numFmtId="0" fontId="16" fillId="38" borderId="0" xfId="0" applyFont="1" applyFill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/>
    <xf numFmtId="0" fontId="16" fillId="0" borderId="0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2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opLeftCell="A22" workbookViewId="0">
      <selection activeCell="M41" sqref="M41"/>
    </sheetView>
  </sheetViews>
  <sheetFormatPr baseColWidth="10" defaultRowHeight="16" x14ac:dyDescent="0.2"/>
  <cols>
    <col min="3" max="3" width="15.1640625" style="1" customWidth="1"/>
    <col min="4" max="4" width="20.1640625" bestFit="1" customWidth="1"/>
    <col min="9" max="9" width="12.1640625" style="4" bestFit="1" customWidth="1"/>
    <col min="10" max="16384" width="10.83203125" style="4"/>
  </cols>
  <sheetData>
    <row r="1" spans="1:1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2">
      <c r="A2">
        <v>1218.6801539614601</v>
      </c>
      <c r="B2">
        <v>1</v>
      </c>
      <c r="C2" s="1">
        <v>5.3162637668575896E-267</v>
      </c>
      <c r="D2" t="s">
        <v>7</v>
      </c>
      <c r="E2" t="s">
        <v>8</v>
      </c>
      <c r="F2" t="s">
        <v>9</v>
      </c>
      <c r="G2" t="s">
        <v>10</v>
      </c>
      <c r="H2" t="str">
        <f>IF(C2&lt;0.05, "***", "ns")</f>
        <v>***</v>
      </c>
    </row>
    <row r="3" spans="1:12" x14ac:dyDescent="0.2">
      <c r="A3">
        <v>62.341330904681698</v>
      </c>
      <c r="B3">
        <v>1</v>
      </c>
      <c r="C3" s="1">
        <v>2.88799941719325E-15</v>
      </c>
      <c r="D3" t="s">
        <v>11</v>
      </c>
      <c r="E3" t="s">
        <v>8</v>
      </c>
      <c r="F3" t="s">
        <v>9</v>
      </c>
      <c r="G3" t="s">
        <v>10</v>
      </c>
      <c r="H3" t="str">
        <f t="shared" ref="H3:H66" si="0">IF(C3&lt;0.05, "***", "ns")</f>
        <v>***</v>
      </c>
    </row>
    <row r="4" spans="1:12" x14ac:dyDescent="0.2">
      <c r="A4" s="2">
        <v>7.3691146020008302</v>
      </c>
      <c r="B4" s="2">
        <v>3</v>
      </c>
      <c r="C4" s="3">
        <v>6.10185663973737E-2</v>
      </c>
      <c r="D4" s="2" t="s">
        <v>10</v>
      </c>
      <c r="E4" s="2" t="s">
        <v>8</v>
      </c>
      <c r="F4" s="2" t="s">
        <v>9</v>
      </c>
      <c r="G4" s="2" t="s">
        <v>10</v>
      </c>
      <c r="H4" s="5" t="str">
        <f t="shared" si="0"/>
        <v>ns</v>
      </c>
    </row>
    <row r="5" spans="1:12" x14ac:dyDescent="0.2">
      <c r="A5">
        <v>1026.80823197986</v>
      </c>
      <c r="B5">
        <v>1</v>
      </c>
      <c r="C5" s="1">
        <v>2.6742308765140499E-225</v>
      </c>
      <c r="D5" t="s">
        <v>7</v>
      </c>
      <c r="E5" t="s">
        <v>8</v>
      </c>
      <c r="F5" t="s">
        <v>9</v>
      </c>
      <c r="G5" t="s">
        <v>12</v>
      </c>
      <c r="H5" t="str">
        <f t="shared" si="0"/>
        <v>***</v>
      </c>
    </row>
    <row r="6" spans="1:12" x14ac:dyDescent="0.2">
      <c r="A6">
        <v>58.587671618787901</v>
      </c>
      <c r="B6">
        <v>1</v>
      </c>
      <c r="C6" s="1">
        <v>1.9443097911428201E-14</v>
      </c>
      <c r="D6" t="s">
        <v>11</v>
      </c>
      <c r="E6" t="s">
        <v>8</v>
      </c>
      <c r="F6" t="s">
        <v>9</v>
      </c>
      <c r="G6" t="s">
        <v>12</v>
      </c>
      <c r="H6" t="str">
        <f t="shared" si="0"/>
        <v>***</v>
      </c>
    </row>
    <row r="7" spans="1:12" x14ac:dyDescent="0.2">
      <c r="A7" s="2">
        <v>1.03804866631599</v>
      </c>
      <c r="B7" s="2">
        <v>2</v>
      </c>
      <c r="C7" s="3">
        <v>0.59510088501751102</v>
      </c>
      <c r="D7" s="2" t="s">
        <v>12</v>
      </c>
      <c r="E7" s="2" t="s">
        <v>8</v>
      </c>
      <c r="F7" s="2" t="s">
        <v>9</v>
      </c>
      <c r="G7" s="2" t="s">
        <v>12</v>
      </c>
      <c r="H7" s="5" t="str">
        <f t="shared" si="0"/>
        <v>ns</v>
      </c>
    </row>
    <row r="8" spans="1:12" x14ac:dyDescent="0.2">
      <c r="A8">
        <v>1144.9260976886501</v>
      </c>
      <c r="B8">
        <v>1</v>
      </c>
      <c r="C8" s="1">
        <v>5.6836801661569703E-251</v>
      </c>
      <c r="D8" t="s">
        <v>7</v>
      </c>
      <c r="E8" t="s">
        <v>8</v>
      </c>
      <c r="F8" t="s">
        <v>9</v>
      </c>
      <c r="G8" t="s">
        <v>13</v>
      </c>
      <c r="H8" t="str">
        <f t="shared" si="0"/>
        <v>***</v>
      </c>
    </row>
    <row r="9" spans="1:12" ht="17" thickBot="1" x14ac:dyDescent="0.25">
      <c r="A9">
        <v>52.422588429386501</v>
      </c>
      <c r="B9">
        <v>1</v>
      </c>
      <c r="C9" s="1">
        <v>4.4754646882890601E-13</v>
      </c>
      <c r="D9" t="s">
        <v>11</v>
      </c>
      <c r="E9" t="s">
        <v>8</v>
      </c>
      <c r="F9" t="s">
        <v>9</v>
      </c>
      <c r="G9" t="s">
        <v>13</v>
      </c>
      <c r="H9" t="str">
        <f t="shared" si="0"/>
        <v>***</v>
      </c>
    </row>
    <row r="10" spans="1:12" s="7" customFormat="1" ht="17" thickBot="1" x14ac:dyDescent="0.25">
      <c r="A10" s="12">
        <v>8.1080225911879609</v>
      </c>
      <c r="B10" s="13">
        <v>3</v>
      </c>
      <c r="C10" s="14">
        <v>4.3831169455922699E-2</v>
      </c>
      <c r="D10" s="13" t="s">
        <v>13</v>
      </c>
      <c r="E10" s="13" t="s">
        <v>8</v>
      </c>
      <c r="F10" s="13" t="s">
        <v>9</v>
      </c>
      <c r="G10" s="15" t="s">
        <v>13</v>
      </c>
      <c r="H10" s="6" t="str">
        <f t="shared" si="0"/>
        <v>***</v>
      </c>
      <c r="I10" s="7" t="str">
        <f>D10</f>
        <v>Climate</v>
      </c>
      <c r="J10" s="7" t="str">
        <f>E10</f>
        <v>AS</v>
      </c>
      <c r="K10" s="7" t="str">
        <f>F10</f>
        <v>opt</v>
      </c>
    </row>
    <row r="11" spans="1:12" x14ac:dyDescent="0.2">
      <c r="A11">
        <v>1192.09733312818</v>
      </c>
      <c r="B11">
        <v>1</v>
      </c>
      <c r="C11" s="1">
        <v>3.1825396152241998E-261</v>
      </c>
      <c r="D11" t="s">
        <v>7</v>
      </c>
      <c r="E11" t="s">
        <v>8</v>
      </c>
      <c r="F11" t="s">
        <v>9</v>
      </c>
      <c r="G11" t="s">
        <v>14</v>
      </c>
      <c r="H11" t="str">
        <f t="shared" si="0"/>
        <v>***</v>
      </c>
    </row>
    <row r="12" spans="1:12" x14ac:dyDescent="0.2">
      <c r="A12">
        <v>50.834100525135398</v>
      </c>
      <c r="B12">
        <v>1</v>
      </c>
      <c r="C12" s="1">
        <v>1.0051218390787101E-12</v>
      </c>
      <c r="D12" t="s">
        <v>11</v>
      </c>
      <c r="E12" t="s">
        <v>8</v>
      </c>
      <c r="F12" t="s">
        <v>9</v>
      </c>
      <c r="G12" t="s">
        <v>14</v>
      </c>
      <c r="H12" t="str">
        <f t="shared" si="0"/>
        <v>***</v>
      </c>
    </row>
    <row r="13" spans="1:12" x14ac:dyDescent="0.2">
      <c r="A13" s="2">
        <v>7.6796644916369203</v>
      </c>
      <c r="B13" s="2">
        <v>4</v>
      </c>
      <c r="C13" s="3">
        <v>0.10404287703253701</v>
      </c>
      <c r="D13" s="2" t="s">
        <v>14</v>
      </c>
      <c r="E13" s="2" t="s">
        <v>8</v>
      </c>
      <c r="F13" s="2" t="s">
        <v>9</v>
      </c>
      <c r="G13" s="2" t="s">
        <v>14</v>
      </c>
      <c r="H13" s="5" t="str">
        <f t="shared" si="0"/>
        <v>ns</v>
      </c>
    </row>
    <row r="14" spans="1:12" x14ac:dyDescent="0.2">
      <c r="A14">
        <v>516.20830361988396</v>
      </c>
      <c r="B14">
        <v>1</v>
      </c>
      <c r="C14" s="1">
        <v>2.82801299489248E-114</v>
      </c>
      <c r="D14" t="s">
        <v>7</v>
      </c>
      <c r="E14" t="s">
        <v>8</v>
      </c>
      <c r="F14" t="s">
        <v>15</v>
      </c>
      <c r="G14" t="s">
        <v>10</v>
      </c>
      <c r="H14" t="str">
        <f t="shared" si="0"/>
        <v>***</v>
      </c>
    </row>
    <row r="15" spans="1:12" ht="17" thickBot="1" x14ac:dyDescent="0.25">
      <c r="A15">
        <v>2.3504262861364702</v>
      </c>
      <c r="B15">
        <v>1</v>
      </c>
      <c r="C15" s="1">
        <v>0.125248753064954</v>
      </c>
      <c r="D15" t="s">
        <v>11</v>
      </c>
      <c r="E15" t="s">
        <v>8</v>
      </c>
      <c r="F15" t="s">
        <v>15</v>
      </c>
      <c r="G15" t="s">
        <v>10</v>
      </c>
      <c r="H15" t="str">
        <f t="shared" si="0"/>
        <v>ns</v>
      </c>
    </row>
    <row r="16" spans="1:12" s="7" customFormat="1" ht="17" thickBot="1" x14ac:dyDescent="0.25">
      <c r="A16" s="12">
        <v>10.5355967558313</v>
      </c>
      <c r="B16" s="13">
        <v>3</v>
      </c>
      <c r="C16" s="14">
        <v>1.4521357942239899E-2</v>
      </c>
      <c r="D16" s="13" t="s">
        <v>10</v>
      </c>
      <c r="E16" s="13" t="s">
        <v>8</v>
      </c>
      <c r="F16" s="13" t="s">
        <v>15</v>
      </c>
      <c r="G16" s="15" t="s">
        <v>10</v>
      </c>
      <c r="H16" s="6" t="str">
        <f t="shared" si="0"/>
        <v>***</v>
      </c>
      <c r="I16" s="7" t="str">
        <f>D16</f>
        <v>DemersPelag</v>
      </c>
      <c r="J16" s="7" t="str">
        <f>E16</f>
        <v>AS</v>
      </c>
      <c r="K16" s="7" t="str">
        <f>F16</f>
        <v>warm</v>
      </c>
      <c r="L16" s="55" t="s">
        <v>68</v>
      </c>
    </row>
    <row r="17" spans="1:11" x14ac:dyDescent="0.2">
      <c r="A17">
        <v>498.22426466202501</v>
      </c>
      <c r="B17">
        <v>1</v>
      </c>
      <c r="C17" s="1">
        <v>2.3138533169456499E-110</v>
      </c>
      <c r="D17" t="s">
        <v>7</v>
      </c>
      <c r="E17" t="s">
        <v>8</v>
      </c>
      <c r="F17" t="s">
        <v>15</v>
      </c>
      <c r="G17" t="s">
        <v>12</v>
      </c>
      <c r="H17" t="str">
        <f t="shared" si="0"/>
        <v>***</v>
      </c>
    </row>
    <row r="18" spans="1:11" ht="17" thickBot="1" x14ac:dyDescent="0.25">
      <c r="A18">
        <v>4.0588383607558498</v>
      </c>
      <c r="B18">
        <v>1</v>
      </c>
      <c r="C18" s="1">
        <v>4.3940716862314003E-2</v>
      </c>
      <c r="D18" t="s">
        <v>11</v>
      </c>
      <c r="E18" t="s">
        <v>8</v>
      </c>
      <c r="F18" t="s">
        <v>15</v>
      </c>
      <c r="G18" t="s">
        <v>12</v>
      </c>
      <c r="H18" t="str">
        <f t="shared" si="0"/>
        <v>***</v>
      </c>
    </row>
    <row r="19" spans="1:11" s="7" customFormat="1" ht="17" thickBot="1" x14ac:dyDescent="0.25">
      <c r="A19" s="12">
        <v>8.2117120099149492</v>
      </c>
      <c r="B19" s="13">
        <v>2</v>
      </c>
      <c r="C19" s="14">
        <v>1.6475909340249301E-2</v>
      </c>
      <c r="D19" s="13" t="s">
        <v>12</v>
      </c>
      <c r="E19" s="13" t="s">
        <v>8</v>
      </c>
      <c r="F19" s="13" t="s">
        <v>15</v>
      </c>
      <c r="G19" s="15" t="s">
        <v>12</v>
      </c>
      <c r="H19" s="6" t="str">
        <f t="shared" si="0"/>
        <v>***</v>
      </c>
      <c r="I19" s="7" t="str">
        <f>D19</f>
        <v>BodyShapeI</v>
      </c>
      <c r="J19" s="7" t="str">
        <f>E19</f>
        <v>AS</v>
      </c>
      <c r="K19" s="7" t="str">
        <f>F19</f>
        <v>warm</v>
      </c>
    </row>
    <row r="20" spans="1:11" x14ac:dyDescent="0.2">
      <c r="A20">
        <v>454.83366183947197</v>
      </c>
      <c r="B20">
        <v>1</v>
      </c>
      <c r="C20" s="1">
        <v>6.4001381931027698E-101</v>
      </c>
      <c r="D20" t="s">
        <v>7</v>
      </c>
      <c r="E20" t="s">
        <v>8</v>
      </c>
      <c r="F20" t="s">
        <v>15</v>
      </c>
      <c r="G20" t="s">
        <v>13</v>
      </c>
      <c r="H20" t="str">
        <f t="shared" si="0"/>
        <v>***</v>
      </c>
    </row>
    <row r="21" spans="1:11" ht="17" thickBot="1" x14ac:dyDescent="0.25">
      <c r="A21">
        <v>4.5785578455464</v>
      </c>
      <c r="B21">
        <v>1</v>
      </c>
      <c r="C21" s="1">
        <v>3.2374450988513097E-2</v>
      </c>
      <c r="D21" t="s">
        <v>11</v>
      </c>
      <c r="E21" t="s">
        <v>8</v>
      </c>
      <c r="F21" t="s">
        <v>15</v>
      </c>
      <c r="G21" t="s">
        <v>13</v>
      </c>
      <c r="H21" t="str">
        <f t="shared" si="0"/>
        <v>***</v>
      </c>
    </row>
    <row r="22" spans="1:11" s="7" customFormat="1" ht="17" thickBot="1" x14ac:dyDescent="0.25">
      <c r="A22" s="12">
        <v>10.5251565062664</v>
      </c>
      <c r="B22" s="13">
        <v>3</v>
      </c>
      <c r="C22" s="14">
        <v>1.4591213515611301E-2</v>
      </c>
      <c r="D22" s="13" t="s">
        <v>13</v>
      </c>
      <c r="E22" s="13" t="s">
        <v>8</v>
      </c>
      <c r="F22" s="13" t="s">
        <v>15</v>
      </c>
      <c r="G22" s="15" t="s">
        <v>13</v>
      </c>
      <c r="H22" s="6" t="str">
        <f t="shared" si="0"/>
        <v>***</v>
      </c>
      <c r="I22" s="7" t="str">
        <f>D22</f>
        <v>Climate</v>
      </c>
      <c r="J22" s="7" t="str">
        <f>E22</f>
        <v>AS</v>
      </c>
      <c r="K22" s="7" t="str">
        <f>F22</f>
        <v>warm</v>
      </c>
    </row>
    <row r="23" spans="1:11" x14ac:dyDescent="0.2">
      <c r="A23">
        <v>588.12296346613698</v>
      </c>
      <c r="B23">
        <v>1</v>
      </c>
      <c r="C23" s="1">
        <v>6.4149283116016799E-130</v>
      </c>
      <c r="D23" t="s">
        <v>7</v>
      </c>
      <c r="E23" t="s">
        <v>8</v>
      </c>
      <c r="F23" t="s">
        <v>15</v>
      </c>
      <c r="G23" t="s">
        <v>14</v>
      </c>
      <c r="H23" t="str">
        <f t="shared" si="0"/>
        <v>***</v>
      </c>
    </row>
    <row r="24" spans="1:11" x14ac:dyDescent="0.2">
      <c r="A24">
        <v>4.3462943712281996</v>
      </c>
      <c r="B24">
        <v>1</v>
      </c>
      <c r="C24" s="1">
        <v>3.7089564145303101E-2</v>
      </c>
      <c r="D24" t="s">
        <v>11</v>
      </c>
      <c r="E24" t="s">
        <v>8</v>
      </c>
      <c r="F24" t="s">
        <v>15</v>
      </c>
      <c r="G24" t="s">
        <v>14</v>
      </c>
      <c r="H24" t="str">
        <f t="shared" si="0"/>
        <v>***</v>
      </c>
    </row>
    <row r="25" spans="1:11" x14ac:dyDescent="0.2">
      <c r="A25" s="2">
        <v>6.5970404752932597</v>
      </c>
      <c r="B25" s="2">
        <v>4</v>
      </c>
      <c r="C25" s="3">
        <v>0.15877782119317499</v>
      </c>
      <c r="D25" s="2" t="s">
        <v>14</v>
      </c>
      <c r="E25" s="2" t="s">
        <v>8</v>
      </c>
      <c r="F25" s="2" t="s">
        <v>15</v>
      </c>
      <c r="G25" s="2" t="s">
        <v>14</v>
      </c>
      <c r="H25" s="2" t="str">
        <f t="shared" si="0"/>
        <v>ns</v>
      </c>
    </row>
    <row r="26" spans="1:11" x14ac:dyDescent="0.2">
      <c r="A26">
        <v>0.109769254362639</v>
      </c>
      <c r="B26">
        <v>1</v>
      </c>
      <c r="C26" s="1">
        <v>0.74040698945688899</v>
      </c>
      <c r="D26" t="s">
        <v>7</v>
      </c>
      <c r="E26" t="s">
        <v>16</v>
      </c>
      <c r="F26" t="s">
        <v>9</v>
      </c>
      <c r="G26" t="s">
        <v>10</v>
      </c>
      <c r="H26" t="str">
        <f t="shared" si="0"/>
        <v>ns</v>
      </c>
    </row>
    <row r="27" spans="1:11" x14ac:dyDescent="0.2">
      <c r="A27">
        <v>43.380611822740597</v>
      </c>
      <c r="B27">
        <v>1</v>
      </c>
      <c r="C27" s="1">
        <v>4.5063104601924002E-11</v>
      </c>
      <c r="D27" t="s">
        <v>17</v>
      </c>
      <c r="E27" t="s">
        <v>16</v>
      </c>
      <c r="F27" t="s">
        <v>9</v>
      </c>
      <c r="G27" t="s">
        <v>10</v>
      </c>
      <c r="H27" t="str">
        <f t="shared" si="0"/>
        <v>***</v>
      </c>
    </row>
    <row r="28" spans="1:11" x14ac:dyDescent="0.2">
      <c r="A28" s="2">
        <v>1.44103114700928</v>
      </c>
      <c r="B28" s="2">
        <v>3</v>
      </c>
      <c r="C28" s="3">
        <v>0.69594561009510403</v>
      </c>
      <c r="D28" s="2" t="s">
        <v>10</v>
      </c>
      <c r="E28" s="2" t="s">
        <v>16</v>
      </c>
      <c r="F28" s="2" t="s">
        <v>9</v>
      </c>
      <c r="G28" s="2" t="s">
        <v>10</v>
      </c>
      <c r="H28" s="2" t="str">
        <f t="shared" si="0"/>
        <v>ns</v>
      </c>
    </row>
    <row r="29" spans="1:11" x14ac:dyDescent="0.2">
      <c r="A29">
        <v>3.0040400641372401E-3</v>
      </c>
      <c r="B29">
        <v>1</v>
      </c>
      <c r="C29" s="1">
        <v>0.95629053149907195</v>
      </c>
      <c r="D29" t="s">
        <v>7</v>
      </c>
      <c r="E29" t="s">
        <v>16</v>
      </c>
      <c r="F29" t="s">
        <v>9</v>
      </c>
      <c r="G29" t="s">
        <v>12</v>
      </c>
      <c r="H29" t="str">
        <f t="shared" si="0"/>
        <v>ns</v>
      </c>
    </row>
    <row r="30" spans="1:11" x14ac:dyDescent="0.2">
      <c r="A30">
        <v>44.803746278595</v>
      </c>
      <c r="B30">
        <v>1</v>
      </c>
      <c r="C30" s="1">
        <v>2.1780557678485301E-11</v>
      </c>
      <c r="D30" t="s">
        <v>17</v>
      </c>
      <c r="E30" t="s">
        <v>16</v>
      </c>
      <c r="F30" t="s">
        <v>9</v>
      </c>
      <c r="G30" t="s">
        <v>12</v>
      </c>
      <c r="H30" t="str">
        <f t="shared" si="0"/>
        <v>***</v>
      </c>
    </row>
    <row r="31" spans="1:11" x14ac:dyDescent="0.2">
      <c r="A31" s="2">
        <v>2.69212807437941</v>
      </c>
      <c r="B31" s="2">
        <v>2</v>
      </c>
      <c r="C31" s="3">
        <v>0.26026263135741101</v>
      </c>
      <c r="D31" s="2" t="s">
        <v>12</v>
      </c>
      <c r="E31" s="2" t="s">
        <v>16</v>
      </c>
      <c r="F31" s="2" t="s">
        <v>9</v>
      </c>
      <c r="G31" s="2" t="s">
        <v>12</v>
      </c>
      <c r="H31" s="2" t="str">
        <f t="shared" si="0"/>
        <v>ns</v>
      </c>
    </row>
    <row r="32" spans="1:11" x14ac:dyDescent="0.2">
      <c r="A32">
        <v>1.6809220465516601</v>
      </c>
      <c r="B32">
        <v>1</v>
      </c>
      <c r="C32" s="1">
        <v>0.19480197926731599</v>
      </c>
      <c r="D32" t="s">
        <v>7</v>
      </c>
      <c r="E32" t="s">
        <v>16</v>
      </c>
      <c r="F32" t="s">
        <v>9</v>
      </c>
      <c r="G32" t="s">
        <v>13</v>
      </c>
      <c r="H32" t="str">
        <f t="shared" si="0"/>
        <v>ns</v>
      </c>
    </row>
    <row r="33" spans="1:16" ht="17" thickBot="1" x14ac:dyDescent="0.25">
      <c r="A33">
        <v>60.106235162531298</v>
      </c>
      <c r="B33">
        <v>1</v>
      </c>
      <c r="C33" s="1">
        <v>8.9873185842895398E-15</v>
      </c>
      <c r="D33" t="s">
        <v>17</v>
      </c>
      <c r="E33" t="s">
        <v>16</v>
      </c>
      <c r="F33" t="s">
        <v>9</v>
      </c>
      <c r="G33" t="s">
        <v>13</v>
      </c>
      <c r="H33" t="str">
        <f t="shared" si="0"/>
        <v>***</v>
      </c>
    </row>
    <row r="34" spans="1:16" s="7" customFormat="1" ht="17" thickBot="1" x14ac:dyDescent="0.25">
      <c r="A34" s="12">
        <v>37.398253567969</v>
      </c>
      <c r="B34" s="13">
        <v>3</v>
      </c>
      <c r="C34" s="14">
        <v>3.7898086722608103E-8</v>
      </c>
      <c r="D34" s="13" t="s">
        <v>13</v>
      </c>
      <c r="E34" s="13" t="s">
        <v>16</v>
      </c>
      <c r="F34" s="13" t="s">
        <v>9</v>
      </c>
      <c r="G34" s="15" t="s">
        <v>13</v>
      </c>
      <c r="H34" s="6" t="str">
        <f t="shared" si="0"/>
        <v>***</v>
      </c>
      <c r="I34" s="41" t="str">
        <f>D34</f>
        <v>Climate</v>
      </c>
      <c r="J34" s="41" t="str">
        <f>E34</f>
        <v>FAS</v>
      </c>
      <c r="K34" s="41" t="str">
        <f>F34</f>
        <v>opt</v>
      </c>
      <c r="L34" s="41" t="s">
        <v>30</v>
      </c>
      <c r="M34" s="41"/>
      <c r="N34" s="41"/>
      <c r="O34" s="41"/>
      <c r="P34" s="55" t="s">
        <v>68</v>
      </c>
    </row>
    <row r="35" spans="1:16" x14ac:dyDescent="0.2">
      <c r="A35">
        <v>1.5138712101401399</v>
      </c>
      <c r="B35">
        <v>1</v>
      </c>
      <c r="C35" s="1">
        <v>0.218549323041382</v>
      </c>
      <c r="D35" t="s">
        <v>7</v>
      </c>
      <c r="E35" t="s">
        <v>16</v>
      </c>
      <c r="F35" t="s">
        <v>9</v>
      </c>
      <c r="G35" t="s">
        <v>14</v>
      </c>
      <c r="H35" t="str">
        <f t="shared" si="0"/>
        <v>ns</v>
      </c>
    </row>
    <row r="36" spans="1:16" ht="17" thickBot="1" x14ac:dyDescent="0.25">
      <c r="A36">
        <v>57.230318067138299</v>
      </c>
      <c r="B36">
        <v>1</v>
      </c>
      <c r="C36" s="1">
        <v>3.8764910022888903E-14</v>
      </c>
      <c r="D36" t="s">
        <v>17</v>
      </c>
      <c r="E36" t="s">
        <v>16</v>
      </c>
      <c r="F36" t="s">
        <v>9</v>
      </c>
      <c r="G36" t="s">
        <v>14</v>
      </c>
      <c r="H36" t="str">
        <f t="shared" si="0"/>
        <v>***</v>
      </c>
    </row>
    <row r="37" spans="1:16" s="7" customFormat="1" ht="17" thickBot="1" x14ac:dyDescent="0.25">
      <c r="A37" s="12">
        <v>36.457361300193703</v>
      </c>
      <c r="B37" s="13">
        <v>4</v>
      </c>
      <c r="C37" s="14">
        <v>2.3298827610578901E-7</v>
      </c>
      <c r="D37" s="13" t="s">
        <v>14</v>
      </c>
      <c r="E37" s="13" t="s">
        <v>16</v>
      </c>
      <c r="F37" s="13" t="s">
        <v>9</v>
      </c>
      <c r="G37" s="15" t="s">
        <v>14</v>
      </c>
      <c r="H37" s="6" t="str">
        <f t="shared" si="0"/>
        <v>***</v>
      </c>
      <c r="I37" s="7" t="str">
        <f>D37</f>
        <v>salintyComb</v>
      </c>
      <c r="J37" s="7" t="str">
        <f>E37</f>
        <v>FAS</v>
      </c>
      <c r="K37" s="7" t="str">
        <f>F37</f>
        <v>opt</v>
      </c>
    </row>
    <row r="38" spans="1:16" x14ac:dyDescent="0.2">
      <c r="A38">
        <v>7.1210273422252701</v>
      </c>
      <c r="B38">
        <v>1</v>
      </c>
      <c r="C38" s="1">
        <v>7.6185037693673298E-3</v>
      </c>
      <c r="D38" t="s">
        <v>7</v>
      </c>
      <c r="E38" t="s">
        <v>16</v>
      </c>
      <c r="F38" t="s">
        <v>15</v>
      </c>
      <c r="G38" t="s">
        <v>10</v>
      </c>
      <c r="H38" t="str">
        <f t="shared" si="0"/>
        <v>***</v>
      </c>
    </row>
    <row r="39" spans="1:16" ht="17" thickBot="1" x14ac:dyDescent="0.25">
      <c r="A39">
        <v>51.553443493256097</v>
      </c>
      <c r="B39">
        <v>2</v>
      </c>
      <c r="C39" s="1">
        <v>6.3872215990274897E-12</v>
      </c>
      <c r="D39" t="s">
        <v>18</v>
      </c>
      <c r="E39" t="s">
        <v>16</v>
      </c>
      <c r="F39" t="s">
        <v>15</v>
      </c>
      <c r="G39" t="s">
        <v>10</v>
      </c>
      <c r="H39" t="str">
        <f t="shared" si="0"/>
        <v>***</v>
      </c>
    </row>
    <row r="40" spans="1:16" s="7" customFormat="1" ht="17" thickBot="1" x14ac:dyDescent="0.25">
      <c r="A40" s="12">
        <v>14.5563056514822</v>
      </c>
      <c r="B40" s="13">
        <v>3</v>
      </c>
      <c r="C40" s="14">
        <v>2.2378938352766902E-3</v>
      </c>
      <c r="D40" s="13" t="s">
        <v>10</v>
      </c>
      <c r="E40" s="13" t="s">
        <v>16</v>
      </c>
      <c r="F40" s="13" t="s">
        <v>15</v>
      </c>
      <c r="G40" s="15" t="s">
        <v>10</v>
      </c>
      <c r="H40" s="6" t="str">
        <f t="shared" si="0"/>
        <v>***</v>
      </c>
      <c r="I40" s="7" t="str">
        <f>D40</f>
        <v>DemersPelag</v>
      </c>
      <c r="J40" s="7" t="str">
        <f>E40</f>
        <v>FAS</v>
      </c>
      <c r="K40" s="7" t="str">
        <f>F40</f>
        <v>warm</v>
      </c>
    </row>
    <row r="41" spans="1:16" x14ac:dyDescent="0.2">
      <c r="A41">
        <v>6.9255592092346099</v>
      </c>
      <c r="B41">
        <v>1</v>
      </c>
      <c r="C41" s="1">
        <v>8.4972418268133305E-3</v>
      </c>
      <c r="D41" t="s">
        <v>7</v>
      </c>
      <c r="E41" t="s">
        <v>16</v>
      </c>
      <c r="F41" t="s">
        <v>15</v>
      </c>
      <c r="G41" t="s">
        <v>12</v>
      </c>
      <c r="H41" t="str">
        <f t="shared" si="0"/>
        <v>***</v>
      </c>
    </row>
    <row r="42" spans="1:16" x14ac:dyDescent="0.2">
      <c r="A42">
        <v>45.903916496877997</v>
      </c>
      <c r="B42">
        <v>2</v>
      </c>
      <c r="C42" s="1">
        <v>1.07669125040732E-10</v>
      </c>
      <c r="D42" t="s">
        <v>18</v>
      </c>
      <c r="E42" t="s">
        <v>16</v>
      </c>
      <c r="F42" t="s">
        <v>15</v>
      </c>
      <c r="G42" t="s">
        <v>12</v>
      </c>
      <c r="H42" t="str">
        <f t="shared" si="0"/>
        <v>***</v>
      </c>
    </row>
    <row r="43" spans="1:16" x14ac:dyDescent="0.2">
      <c r="A43" s="2">
        <v>4.1575380727936997</v>
      </c>
      <c r="B43" s="2">
        <v>2</v>
      </c>
      <c r="C43" s="3">
        <v>0.12508409143317101</v>
      </c>
      <c r="D43" s="2" t="s">
        <v>12</v>
      </c>
      <c r="E43" s="2" t="s">
        <v>16</v>
      </c>
      <c r="F43" s="2" t="s">
        <v>15</v>
      </c>
      <c r="G43" s="2" t="s">
        <v>12</v>
      </c>
      <c r="H43" s="2" t="str">
        <f t="shared" si="0"/>
        <v>ns</v>
      </c>
    </row>
    <row r="44" spans="1:16" x14ac:dyDescent="0.2">
      <c r="A44">
        <v>5.8867667758013802</v>
      </c>
      <c r="B44">
        <v>1</v>
      </c>
      <c r="C44" s="1">
        <v>1.52550838555952E-2</v>
      </c>
      <c r="D44" t="s">
        <v>7</v>
      </c>
      <c r="E44" t="s">
        <v>16</v>
      </c>
      <c r="F44" t="s">
        <v>15</v>
      </c>
      <c r="G44" t="s">
        <v>13</v>
      </c>
      <c r="H44" t="str">
        <f t="shared" si="0"/>
        <v>***</v>
      </c>
    </row>
    <row r="45" spans="1:16" ht="17" thickBot="1" x14ac:dyDescent="0.25">
      <c r="A45">
        <v>73.714757070873205</v>
      </c>
      <c r="B45">
        <v>2</v>
      </c>
      <c r="C45" s="1">
        <v>9.8411054325642601E-17</v>
      </c>
      <c r="D45" t="s">
        <v>18</v>
      </c>
      <c r="E45" t="s">
        <v>16</v>
      </c>
      <c r="F45" t="s">
        <v>15</v>
      </c>
      <c r="G45" t="s">
        <v>13</v>
      </c>
      <c r="H45" t="str">
        <f t="shared" si="0"/>
        <v>***</v>
      </c>
    </row>
    <row r="46" spans="1:16" s="7" customFormat="1" ht="17" thickBot="1" x14ac:dyDescent="0.25">
      <c r="A46" s="12">
        <v>27.424663445363802</v>
      </c>
      <c r="B46" s="13">
        <v>3</v>
      </c>
      <c r="C46" s="14">
        <v>4.7958911823734599E-6</v>
      </c>
      <c r="D46" s="13" t="s">
        <v>13</v>
      </c>
      <c r="E46" s="13" t="s">
        <v>16</v>
      </c>
      <c r="F46" s="13" t="s">
        <v>15</v>
      </c>
      <c r="G46" s="15" t="s">
        <v>13</v>
      </c>
      <c r="H46" s="6" t="str">
        <f t="shared" si="0"/>
        <v>***</v>
      </c>
      <c r="I46" s="7" t="str">
        <f>D46</f>
        <v>Climate</v>
      </c>
      <c r="J46" s="7" t="str">
        <f>E46</f>
        <v>FAS</v>
      </c>
      <c r="K46" s="7" t="str">
        <f>F46</f>
        <v>warm</v>
      </c>
      <c r="L46" s="55" t="s">
        <v>68</v>
      </c>
    </row>
    <row r="47" spans="1:16" x14ac:dyDescent="0.2">
      <c r="A47">
        <v>6.4947284602470798</v>
      </c>
      <c r="B47">
        <v>1</v>
      </c>
      <c r="C47" s="1">
        <v>1.08194820178109E-2</v>
      </c>
      <c r="D47" t="s">
        <v>7</v>
      </c>
      <c r="E47" t="s">
        <v>16</v>
      </c>
      <c r="F47" t="s">
        <v>15</v>
      </c>
      <c r="G47" t="s">
        <v>14</v>
      </c>
      <c r="H47" t="str">
        <f t="shared" si="0"/>
        <v>***</v>
      </c>
    </row>
    <row r="48" spans="1:16" x14ac:dyDescent="0.2">
      <c r="A48">
        <v>43.718579047897002</v>
      </c>
      <c r="B48">
        <v>2</v>
      </c>
      <c r="C48" s="1">
        <v>3.2109325404390799E-10</v>
      </c>
      <c r="D48" t="s">
        <v>18</v>
      </c>
      <c r="E48" t="s">
        <v>16</v>
      </c>
      <c r="F48" t="s">
        <v>15</v>
      </c>
      <c r="G48" t="s">
        <v>14</v>
      </c>
      <c r="H48" t="str">
        <f t="shared" si="0"/>
        <v>***</v>
      </c>
    </row>
    <row r="49" spans="1:12" x14ac:dyDescent="0.2">
      <c r="A49" s="2">
        <v>6.0815608872720999</v>
      </c>
      <c r="B49" s="2">
        <v>4</v>
      </c>
      <c r="C49" s="3">
        <v>0.193139492668534</v>
      </c>
      <c r="D49" s="2" t="s">
        <v>14</v>
      </c>
      <c r="E49" s="2" t="s">
        <v>16</v>
      </c>
      <c r="F49" s="2" t="s">
        <v>15</v>
      </c>
      <c r="G49" s="2" t="s">
        <v>14</v>
      </c>
      <c r="H49" s="2" t="str">
        <f t="shared" si="0"/>
        <v>ns</v>
      </c>
    </row>
    <row r="50" spans="1:12" x14ac:dyDescent="0.2">
      <c r="A50">
        <v>2880.2916283447898</v>
      </c>
      <c r="B50">
        <v>1</v>
      </c>
      <c r="C50" s="1">
        <v>0</v>
      </c>
      <c r="D50" t="s">
        <v>7</v>
      </c>
      <c r="E50" t="s">
        <v>19</v>
      </c>
      <c r="F50" t="s">
        <v>9</v>
      </c>
      <c r="G50" t="s">
        <v>10</v>
      </c>
      <c r="H50" t="str">
        <f t="shared" si="0"/>
        <v>***</v>
      </c>
    </row>
    <row r="51" spans="1:12" ht="17" thickBot="1" x14ac:dyDescent="0.25">
      <c r="A51">
        <v>1374.0235172958101</v>
      </c>
      <c r="B51">
        <v>1</v>
      </c>
      <c r="C51" s="1">
        <v>9.2728170866513099E-301</v>
      </c>
      <c r="D51" t="s">
        <v>11</v>
      </c>
      <c r="E51" t="s">
        <v>19</v>
      </c>
      <c r="F51" t="s">
        <v>9</v>
      </c>
      <c r="G51" t="s">
        <v>10</v>
      </c>
      <c r="H51" t="str">
        <f t="shared" si="0"/>
        <v>***</v>
      </c>
    </row>
    <row r="52" spans="1:12" s="7" customFormat="1" ht="17" thickBot="1" x14ac:dyDescent="0.25">
      <c r="A52" s="12">
        <v>10.2340156373018</v>
      </c>
      <c r="B52" s="13">
        <v>3</v>
      </c>
      <c r="C52" s="14">
        <v>1.6678157248587198E-2</v>
      </c>
      <c r="D52" s="13" t="s">
        <v>10</v>
      </c>
      <c r="E52" s="13" t="s">
        <v>19</v>
      </c>
      <c r="F52" s="13" t="s">
        <v>9</v>
      </c>
      <c r="G52" s="15" t="s">
        <v>10</v>
      </c>
      <c r="H52" s="6" t="str">
        <f t="shared" si="0"/>
        <v>***</v>
      </c>
      <c r="I52" s="7" t="str">
        <f>D52</f>
        <v>DemersPelag</v>
      </c>
      <c r="J52" s="7" t="str">
        <f>E52</f>
        <v>RMR</v>
      </c>
      <c r="K52" s="7" t="str">
        <f>F52</f>
        <v>opt</v>
      </c>
      <c r="L52" s="55" t="s">
        <v>68</v>
      </c>
    </row>
    <row r="53" spans="1:12" x14ac:dyDescent="0.2">
      <c r="A53">
        <v>2779.6523662724499</v>
      </c>
      <c r="B53">
        <v>1</v>
      </c>
      <c r="C53" s="1">
        <v>0</v>
      </c>
      <c r="D53" t="s">
        <v>7</v>
      </c>
      <c r="E53" t="s">
        <v>19</v>
      </c>
      <c r="F53" t="s">
        <v>9</v>
      </c>
      <c r="G53" t="s">
        <v>12</v>
      </c>
      <c r="H53" t="str">
        <f t="shared" si="0"/>
        <v>***</v>
      </c>
    </row>
    <row r="54" spans="1:12" ht="17" thickBot="1" x14ac:dyDescent="0.25">
      <c r="A54">
        <v>1370.6090709566299</v>
      </c>
      <c r="B54">
        <v>1</v>
      </c>
      <c r="C54" s="1">
        <v>5.1190431763223102E-300</v>
      </c>
      <c r="D54" t="s">
        <v>11</v>
      </c>
      <c r="E54" t="s">
        <v>19</v>
      </c>
      <c r="F54" t="s">
        <v>9</v>
      </c>
      <c r="G54" t="s">
        <v>12</v>
      </c>
      <c r="H54" t="str">
        <f t="shared" si="0"/>
        <v>***</v>
      </c>
    </row>
    <row r="55" spans="1:12" s="7" customFormat="1" ht="17" thickBot="1" x14ac:dyDescent="0.25">
      <c r="A55" s="12">
        <v>21.230516450961101</v>
      </c>
      <c r="B55" s="13">
        <v>4</v>
      </c>
      <c r="C55" s="14">
        <v>2.8502358479969199E-4</v>
      </c>
      <c r="D55" s="13" t="s">
        <v>12</v>
      </c>
      <c r="E55" s="13" t="s">
        <v>19</v>
      </c>
      <c r="F55" s="13" t="s">
        <v>9</v>
      </c>
      <c r="G55" s="15" t="s">
        <v>12</v>
      </c>
      <c r="H55" s="6" t="str">
        <f t="shared" si="0"/>
        <v>***</v>
      </c>
      <c r="I55" s="7" t="str">
        <f>D55</f>
        <v>BodyShapeI</v>
      </c>
      <c r="J55" s="7" t="str">
        <f>E55</f>
        <v>RMR</v>
      </c>
      <c r="K55" s="7" t="str">
        <f>F55</f>
        <v>opt</v>
      </c>
    </row>
    <row r="56" spans="1:12" x14ac:dyDescent="0.2">
      <c r="A56">
        <v>2816.0721056381999</v>
      </c>
      <c r="B56">
        <v>1</v>
      </c>
      <c r="C56" s="1">
        <v>0</v>
      </c>
      <c r="D56" t="s">
        <v>7</v>
      </c>
      <c r="E56" t="s">
        <v>19</v>
      </c>
      <c r="F56" t="s">
        <v>9</v>
      </c>
      <c r="G56" t="s">
        <v>13</v>
      </c>
      <c r="H56" t="str">
        <f t="shared" si="0"/>
        <v>***</v>
      </c>
    </row>
    <row r="57" spans="1:12" x14ac:dyDescent="0.2">
      <c r="A57">
        <v>1356.59389241701</v>
      </c>
      <c r="B57">
        <v>1</v>
      </c>
      <c r="C57" s="1">
        <v>5.6855797343426302E-297</v>
      </c>
      <c r="D57" t="s">
        <v>11</v>
      </c>
      <c r="E57" t="s">
        <v>19</v>
      </c>
      <c r="F57" t="s">
        <v>9</v>
      </c>
      <c r="G57" t="s">
        <v>13</v>
      </c>
      <c r="H57" t="str">
        <f t="shared" si="0"/>
        <v>***</v>
      </c>
    </row>
    <row r="58" spans="1:12" x14ac:dyDescent="0.2">
      <c r="A58" s="2">
        <v>1.8964244567766699</v>
      </c>
      <c r="B58" s="2">
        <v>3</v>
      </c>
      <c r="C58" s="3">
        <v>0.59417991251561497</v>
      </c>
      <c r="D58" s="2" t="s">
        <v>13</v>
      </c>
      <c r="E58" s="2" t="s">
        <v>19</v>
      </c>
      <c r="F58" s="2" t="s">
        <v>9</v>
      </c>
      <c r="G58" s="2" t="s">
        <v>13</v>
      </c>
      <c r="H58" s="2" t="str">
        <f t="shared" si="0"/>
        <v>ns</v>
      </c>
    </row>
    <row r="59" spans="1:12" x14ac:dyDescent="0.2">
      <c r="A59">
        <v>2821.6618142306702</v>
      </c>
      <c r="B59">
        <v>1</v>
      </c>
      <c r="C59" s="1">
        <v>0</v>
      </c>
      <c r="D59" t="s">
        <v>7</v>
      </c>
      <c r="E59" t="s">
        <v>19</v>
      </c>
      <c r="F59" t="s">
        <v>9</v>
      </c>
      <c r="G59" t="s">
        <v>14</v>
      </c>
      <c r="H59" t="str">
        <f t="shared" si="0"/>
        <v>***</v>
      </c>
    </row>
    <row r="60" spans="1:12" x14ac:dyDescent="0.2">
      <c r="A60">
        <v>1349.0860060569401</v>
      </c>
      <c r="B60">
        <v>1</v>
      </c>
      <c r="C60" s="1">
        <v>2.4338561032256801E-295</v>
      </c>
      <c r="D60" t="s">
        <v>11</v>
      </c>
      <c r="E60" t="s">
        <v>19</v>
      </c>
      <c r="F60" t="s">
        <v>9</v>
      </c>
      <c r="G60" t="s">
        <v>14</v>
      </c>
      <c r="H60" t="str">
        <f t="shared" si="0"/>
        <v>***</v>
      </c>
    </row>
    <row r="61" spans="1:12" x14ac:dyDescent="0.2">
      <c r="A61" s="2">
        <v>0.86622975265062196</v>
      </c>
      <c r="B61" s="2">
        <v>4</v>
      </c>
      <c r="C61" s="3">
        <v>0.929354921991839</v>
      </c>
      <c r="D61" s="2" t="s">
        <v>14</v>
      </c>
      <c r="E61" s="2" t="s">
        <v>19</v>
      </c>
      <c r="F61" s="2" t="s">
        <v>9</v>
      </c>
      <c r="G61" s="2" t="s">
        <v>14</v>
      </c>
      <c r="H61" s="2" t="str">
        <f t="shared" si="0"/>
        <v>ns</v>
      </c>
    </row>
    <row r="62" spans="1:12" x14ac:dyDescent="0.2">
      <c r="A62">
        <v>2470.2518555361398</v>
      </c>
      <c r="B62">
        <v>1</v>
      </c>
      <c r="C62" s="1">
        <v>0</v>
      </c>
      <c r="D62" t="s">
        <v>7</v>
      </c>
      <c r="E62" t="s">
        <v>19</v>
      </c>
      <c r="F62" t="s">
        <v>15</v>
      </c>
      <c r="G62" t="s">
        <v>10</v>
      </c>
      <c r="H62" t="str">
        <f t="shared" si="0"/>
        <v>***</v>
      </c>
    </row>
    <row r="63" spans="1:12" ht="17" thickBot="1" x14ac:dyDescent="0.25">
      <c r="A63">
        <v>415.96600505288399</v>
      </c>
      <c r="B63">
        <v>1</v>
      </c>
      <c r="C63" s="1">
        <v>1.8429050252784901E-92</v>
      </c>
      <c r="D63" t="s">
        <v>11</v>
      </c>
      <c r="E63" t="s">
        <v>19</v>
      </c>
      <c r="F63" t="s">
        <v>15</v>
      </c>
      <c r="G63" t="s">
        <v>10</v>
      </c>
      <c r="H63" t="str">
        <f t="shared" si="0"/>
        <v>***</v>
      </c>
    </row>
    <row r="64" spans="1:12" s="7" customFormat="1" ht="17" thickBot="1" x14ac:dyDescent="0.25">
      <c r="A64" s="8">
        <v>15.128093038120999</v>
      </c>
      <c r="B64" s="9">
        <v>3</v>
      </c>
      <c r="C64" s="10">
        <v>1.7103927567592701E-3</v>
      </c>
      <c r="D64" s="9" t="s">
        <v>10</v>
      </c>
      <c r="E64" s="9" t="s">
        <v>19</v>
      </c>
      <c r="F64" s="9" t="s">
        <v>15</v>
      </c>
      <c r="G64" s="11" t="s">
        <v>10</v>
      </c>
      <c r="H64" s="6" t="str">
        <f t="shared" si="0"/>
        <v>***</v>
      </c>
      <c r="I64" s="7" t="str">
        <f>D64</f>
        <v>DemersPelag</v>
      </c>
      <c r="J64" s="7" t="str">
        <f>E64</f>
        <v>RMR</v>
      </c>
      <c r="K64" s="7" t="str">
        <f>F64</f>
        <v>warm</v>
      </c>
      <c r="L64" s="55" t="s">
        <v>68</v>
      </c>
    </row>
    <row r="65" spans="1:12" x14ac:dyDescent="0.2">
      <c r="A65">
        <v>2501.4383388482902</v>
      </c>
      <c r="B65">
        <v>1</v>
      </c>
      <c r="C65" s="1">
        <v>0</v>
      </c>
      <c r="D65" t="s">
        <v>7</v>
      </c>
      <c r="E65" t="s">
        <v>19</v>
      </c>
      <c r="F65" t="s">
        <v>15</v>
      </c>
      <c r="G65" t="s">
        <v>12</v>
      </c>
      <c r="H65" t="str">
        <f t="shared" si="0"/>
        <v>***</v>
      </c>
    </row>
    <row r="66" spans="1:12" x14ac:dyDescent="0.2">
      <c r="A66">
        <v>410.83439082725999</v>
      </c>
      <c r="B66">
        <v>1</v>
      </c>
      <c r="C66" s="1">
        <v>2.41268965993263E-91</v>
      </c>
      <c r="D66" t="s">
        <v>11</v>
      </c>
      <c r="E66" t="s">
        <v>19</v>
      </c>
      <c r="F66" t="s">
        <v>15</v>
      </c>
      <c r="G66" t="s">
        <v>12</v>
      </c>
      <c r="H66" t="str">
        <f t="shared" si="0"/>
        <v>***</v>
      </c>
    </row>
    <row r="67" spans="1:12" x14ac:dyDescent="0.2">
      <c r="A67" s="2">
        <v>3.5342050515963299</v>
      </c>
      <c r="B67" s="2">
        <v>2</v>
      </c>
      <c r="C67" s="3">
        <v>0.17082723996042401</v>
      </c>
      <c r="D67" s="2" t="s">
        <v>12</v>
      </c>
      <c r="E67" s="2" t="s">
        <v>19</v>
      </c>
      <c r="F67" s="2" t="s">
        <v>15</v>
      </c>
      <c r="G67" s="2" t="s">
        <v>12</v>
      </c>
      <c r="H67" s="2" t="str">
        <f t="shared" ref="H67:H101" si="1">IF(C67&lt;0.05, "***", "ns")</f>
        <v>ns</v>
      </c>
    </row>
    <row r="68" spans="1:12" x14ac:dyDescent="0.2">
      <c r="A68">
        <v>2569.0684069265199</v>
      </c>
      <c r="B68">
        <v>1</v>
      </c>
      <c r="C68" s="1">
        <v>0</v>
      </c>
      <c r="D68" t="s">
        <v>7</v>
      </c>
      <c r="E68" t="s">
        <v>19</v>
      </c>
      <c r="F68" t="s">
        <v>15</v>
      </c>
      <c r="G68" t="s">
        <v>13</v>
      </c>
      <c r="H68" t="str">
        <f t="shared" si="1"/>
        <v>***</v>
      </c>
    </row>
    <row r="69" spans="1:12" ht="17" thickBot="1" x14ac:dyDescent="0.25">
      <c r="A69">
        <v>413.77083427427101</v>
      </c>
      <c r="B69">
        <v>1</v>
      </c>
      <c r="C69" s="1">
        <v>5.5376020271440803E-92</v>
      </c>
      <c r="D69" t="s">
        <v>11</v>
      </c>
      <c r="E69" t="s">
        <v>19</v>
      </c>
      <c r="F69" t="s">
        <v>15</v>
      </c>
      <c r="G69" t="s">
        <v>13</v>
      </c>
      <c r="H69" t="str">
        <f t="shared" si="1"/>
        <v>***</v>
      </c>
    </row>
    <row r="70" spans="1:12" s="7" customFormat="1" ht="17" thickBot="1" x14ac:dyDescent="0.25">
      <c r="A70" s="12">
        <v>13.9033745273624</v>
      </c>
      <c r="B70" s="13">
        <v>3</v>
      </c>
      <c r="C70" s="14">
        <v>3.03967084573356E-3</v>
      </c>
      <c r="D70" s="13" t="s">
        <v>13</v>
      </c>
      <c r="E70" s="13" t="s">
        <v>19</v>
      </c>
      <c r="F70" s="13" t="s">
        <v>15</v>
      </c>
      <c r="G70" s="15" t="s">
        <v>13</v>
      </c>
      <c r="H70" s="6" t="str">
        <f t="shared" si="1"/>
        <v>***</v>
      </c>
      <c r="I70" s="7" t="str">
        <f>D70</f>
        <v>Climate</v>
      </c>
      <c r="J70" s="7" t="str">
        <f>E70</f>
        <v>RMR</v>
      </c>
      <c r="K70" s="7" t="str">
        <f>F70</f>
        <v>warm</v>
      </c>
    </row>
    <row r="71" spans="1:12" x14ac:dyDescent="0.2">
      <c r="A71">
        <v>2540.52628474324</v>
      </c>
      <c r="B71">
        <v>1</v>
      </c>
      <c r="C71" s="1">
        <v>0</v>
      </c>
      <c r="D71" t="s">
        <v>7</v>
      </c>
      <c r="E71" t="s">
        <v>19</v>
      </c>
      <c r="F71" t="s">
        <v>15</v>
      </c>
      <c r="G71" t="s">
        <v>14</v>
      </c>
      <c r="H71" t="str">
        <f t="shared" si="1"/>
        <v>***</v>
      </c>
    </row>
    <row r="72" spans="1:12" ht="17" thickBot="1" x14ac:dyDescent="0.25">
      <c r="A72">
        <v>414.00064197337701</v>
      </c>
      <c r="B72">
        <v>1</v>
      </c>
      <c r="C72" s="1">
        <v>4.9351418388073402E-92</v>
      </c>
      <c r="D72" t="s">
        <v>11</v>
      </c>
      <c r="E72" t="s">
        <v>19</v>
      </c>
      <c r="F72" t="s">
        <v>15</v>
      </c>
      <c r="G72" t="s">
        <v>14</v>
      </c>
      <c r="H72" t="str">
        <f t="shared" si="1"/>
        <v>***</v>
      </c>
    </row>
    <row r="73" spans="1:12" s="7" customFormat="1" ht="17" thickBot="1" x14ac:dyDescent="0.25">
      <c r="A73" s="12">
        <v>12.3166525405807</v>
      </c>
      <c r="B73" s="13">
        <v>4</v>
      </c>
      <c r="C73" s="14">
        <v>1.5145526399765101E-2</v>
      </c>
      <c r="D73" s="13" t="s">
        <v>14</v>
      </c>
      <c r="E73" s="13" t="s">
        <v>19</v>
      </c>
      <c r="F73" s="13" t="s">
        <v>15</v>
      </c>
      <c r="G73" s="15" t="s">
        <v>14</v>
      </c>
      <c r="H73" s="6" t="str">
        <f t="shared" si="1"/>
        <v>***</v>
      </c>
      <c r="I73" s="7" t="str">
        <f>D73</f>
        <v>salintyComb</v>
      </c>
      <c r="J73" s="7" t="str">
        <f>E73</f>
        <v>RMR</v>
      </c>
      <c r="K73" s="7" t="str">
        <f>F73</f>
        <v>warm</v>
      </c>
    </row>
    <row r="74" spans="1:12" x14ac:dyDescent="0.2">
      <c r="A74">
        <v>1169.5893990583099</v>
      </c>
      <c r="B74">
        <v>1</v>
      </c>
      <c r="C74" s="1">
        <v>2.4799433844350399E-256</v>
      </c>
      <c r="D74" t="s">
        <v>7</v>
      </c>
      <c r="E74" t="s">
        <v>20</v>
      </c>
      <c r="F74" t="s">
        <v>9</v>
      </c>
      <c r="G74" t="s">
        <v>10</v>
      </c>
      <c r="H74" t="str">
        <f t="shared" si="1"/>
        <v>***</v>
      </c>
    </row>
    <row r="75" spans="1:12" ht="17" thickBot="1" x14ac:dyDescent="0.25">
      <c r="A75">
        <v>149.01894050460601</v>
      </c>
      <c r="B75">
        <v>1</v>
      </c>
      <c r="C75" s="1">
        <v>2.8405375526873399E-34</v>
      </c>
      <c r="D75" t="s">
        <v>11</v>
      </c>
      <c r="E75" t="s">
        <v>20</v>
      </c>
      <c r="F75" t="s">
        <v>9</v>
      </c>
      <c r="G75" t="s">
        <v>10</v>
      </c>
      <c r="H75" t="str">
        <f t="shared" si="1"/>
        <v>***</v>
      </c>
    </row>
    <row r="76" spans="1:12" s="7" customFormat="1" ht="17" thickBot="1" x14ac:dyDescent="0.25">
      <c r="A76" s="12">
        <v>12.2181816835528</v>
      </c>
      <c r="B76" s="13">
        <v>3</v>
      </c>
      <c r="C76" s="14">
        <v>6.6719359301183603E-3</v>
      </c>
      <c r="D76" s="13" t="s">
        <v>10</v>
      </c>
      <c r="E76" s="13" t="s">
        <v>20</v>
      </c>
      <c r="F76" s="13" t="s">
        <v>9</v>
      </c>
      <c r="G76" s="15" t="s">
        <v>10</v>
      </c>
      <c r="H76" s="6" t="str">
        <f t="shared" si="1"/>
        <v>***</v>
      </c>
      <c r="I76" s="7" t="str">
        <f>D76</f>
        <v>DemersPelag</v>
      </c>
      <c r="J76" s="7" t="str">
        <f>E76</f>
        <v>MMR</v>
      </c>
      <c r="K76" s="7" t="str">
        <f>F76</f>
        <v>opt</v>
      </c>
      <c r="L76" s="55" t="s">
        <v>68</v>
      </c>
    </row>
    <row r="77" spans="1:12" x14ac:dyDescent="0.2">
      <c r="A77">
        <v>10.861646151645401</v>
      </c>
      <c r="B77">
        <v>1</v>
      </c>
      <c r="C77" s="1">
        <v>9.8176387470371709E-4</v>
      </c>
      <c r="D77" t="s">
        <v>21</v>
      </c>
      <c r="E77" t="s">
        <v>20</v>
      </c>
      <c r="F77" t="s">
        <v>9</v>
      </c>
      <c r="G77" t="s">
        <v>10</v>
      </c>
      <c r="H77" t="str">
        <f t="shared" si="1"/>
        <v>***</v>
      </c>
    </row>
    <row r="78" spans="1:12" x14ac:dyDescent="0.2">
      <c r="A78">
        <v>1056.79323140313</v>
      </c>
      <c r="B78">
        <v>1</v>
      </c>
      <c r="C78" s="1">
        <v>8.1245741574777198E-232</v>
      </c>
      <c r="D78" t="s">
        <v>7</v>
      </c>
      <c r="E78" t="s">
        <v>20</v>
      </c>
      <c r="F78" t="s">
        <v>9</v>
      </c>
      <c r="G78" t="s">
        <v>12</v>
      </c>
      <c r="H78" t="str">
        <f t="shared" si="1"/>
        <v>***</v>
      </c>
    </row>
    <row r="79" spans="1:12" x14ac:dyDescent="0.2">
      <c r="A79">
        <v>144.016379107061</v>
      </c>
      <c r="B79">
        <v>1</v>
      </c>
      <c r="C79" s="1">
        <v>3.5237881477994302E-33</v>
      </c>
      <c r="D79" t="s">
        <v>11</v>
      </c>
      <c r="E79" t="s">
        <v>20</v>
      </c>
      <c r="F79" t="s">
        <v>9</v>
      </c>
      <c r="G79" t="s">
        <v>12</v>
      </c>
      <c r="H79" t="str">
        <f t="shared" si="1"/>
        <v>***</v>
      </c>
    </row>
    <row r="80" spans="1:12" x14ac:dyDescent="0.2">
      <c r="A80" s="2">
        <v>9.6859675473206799E-2</v>
      </c>
      <c r="B80" s="2">
        <v>2</v>
      </c>
      <c r="C80" s="3">
        <v>0.95272418224590105</v>
      </c>
      <c r="D80" s="2" t="s">
        <v>12</v>
      </c>
      <c r="E80" s="2" t="s">
        <v>20</v>
      </c>
      <c r="F80" s="2" t="s">
        <v>9</v>
      </c>
      <c r="G80" s="2" t="s">
        <v>12</v>
      </c>
      <c r="H80" s="2" t="str">
        <f t="shared" si="1"/>
        <v>ns</v>
      </c>
    </row>
    <row r="81" spans="1:12" x14ac:dyDescent="0.2">
      <c r="A81">
        <v>13.2732897300848</v>
      </c>
      <c r="B81">
        <v>1</v>
      </c>
      <c r="C81" s="1">
        <v>2.6921437356784299E-4</v>
      </c>
      <c r="D81" t="s">
        <v>21</v>
      </c>
      <c r="E81" t="s">
        <v>20</v>
      </c>
      <c r="F81" t="s">
        <v>9</v>
      </c>
      <c r="G81" t="s">
        <v>12</v>
      </c>
      <c r="H81" t="str">
        <f t="shared" si="1"/>
        <v>***</v>
      </c>
    </row>
    <row r="82" spans="1:12" x14ac:dyDescent="0.2">
      <c r="A82">
        <v>1052.43649751968</v>
      </c>
      <c r="B82">
        <v>1</v>
      </c>
      <c r="C82" s="1">
        <v>7.1903282559629196E-231</v>
      </c>
      <c r="D82" t="s">
        <v>7</v>
      </c>
      <c r="E82" t="s">
        <v>20</v>
      </c>
      <c r="F82" t="s">
        <v>9</v>
      </c>
      <c r="G82" t="s">
        <v>13</v>
      </c>
      <c r="H82" t="str">
        <f t="shared" si="1"/>
        <v>***</v>
      </c>
    </row>
    <row r="83" spans="1:12" x14ac:dyDescent="0.2">
      <c r="A83">
        <v>139.83894988947</v>
      </c>
      <c r="B83">
        <v>1</v>
      </c>
      <c r="C83" s="1">
        <v>2.8869005286108598E-32</v>
      </c>
      <c r="D83" t="s">
        <v>11</v>
      </c>
      <c r="E83" t="s">
        <v>20</v>
      </c>
      <c r="F83" t="s">
        <v>9</v>
      </c>
      <c r="G83" t="s">
        <v>13</v>
      </c>
      <c r="H83" t="str">
        <f t="shared" si="1"/>
        <v>***</v>
      </c>
    </row>
    <row r="84" spans="1:12" x14ac:dyDescent="0.2">
      <c r="A84" s="2">
        <v>1.3565117507701201</v>
      </c>
      <c r="B84" s="2">
        <v>3</v>
      </c>
      <c r="C84" s="3">
        <v>0.71575951399919302</v>
      </c>
      <c r="D84" s="2" t="s">
        <v>13</v>
      </c>
      <c r="E84" s="2" t="s">
        <v>20</v>
      </c>
      <c r="F84" s="2" t="s">
        <v>9</v>
      </c>
      <c r="G84" s="2" t="s">
        <v>13</v>
      </c>
      <c r="H84" s="2" t="str">
        <f t="shared" si="1"/>
        <v>ns</v>
      </c>
    </row>
    <row r="85" spans="1:12" x14ac:dyDescent="0.2">
      <c r="A85">
        <v>13.643809466009101</v>
      </c>
      <c r="B85">
        <v>1</v>
      </c>
      <c r="C85" s="1">
        <v>2.20968653949957E-4</v>
      </c>
      <c r="D85" t="s">
        <v>21</v>
      </c>
      <c r="E85" t="s">
        <v>20</v>
      </c>
      <c r="F85" t="s">
        <v>9</v>
      </c>
      <c r="G85" t="s">
        <v>13</v>
      </c>
      <c r="H85" t="str">
        <f t="shared" si="1"/>
        <v>***</v>
      </c>
    </row>
    <row r="86" spans="1:12" x14ac:dyDescent="0.2">
      <c r="A86">
        <v>1212.83144230881</v>
      </c>
      <c r="B86">
        <v>1</v>
      </c>
      <c r="C86" s="1">
        <v>9.9238696926134598E-266</v>
      </c>
      <c r="D86" t="s">
        <v>7</v>
      </c>
      <c r="E86" t="s">
        <v>20</v>
      </c>
      <c r="F86" t="s">
        <v>9</v>
      </c>
      <c r="G86" t="s">
        <v>14</v>
      </c>
      <c r="H86" t="str">
        <f t="shared" si="1"/>
        <v>***</v>
      </c>
    </row>
    <row r="87" spans="1:12" ht="17" thickBot="1" x14ac:dyDescent="0.25">
      <c r="A87">
        <v>149.262905132784</v>
      </c>
      <c r="B87">
        <v>1</v>
      </c>
      <c r="C87" s="1">
        <v>2.5123126841187702E-34</v>
      </c>
      <c r="D87" t="s">
        <v>11</v>
      </c>
      <c r="E87" t="s">
        <v>20</v>
      </c>
      <c r="F87" t="s">
        <v>9</v>
      </c>
      <c r="G87" t="s">
        <v>14</v>
      </c>
      <c r="H87" t="str">
        <f t="shared" si="1"/>
        <v>***</v>
      </c>
    </row>
    <row r="88" spans="1:12" s="7" customFormat="1" ht="17" thickBot="1" x14ac:dyDescent="0.25">
      <c r="A88" s="12">
        <v>10.112695233523599</v>
      </c>
      <c r="B88" s="13">
        <v>4</v>
      </c>
      <c r="C88" s="14">
        <v>3.85715353047014E-2</v>
      </c>
      <c r="D88" s="13" t="s">
        <v>14</v>
      </c>
      <c r="E88" s="13" t="s">
        <v>20</v>
      </c>
      <c r="F88" s="13" t="s">
        <v>9</v>
      </c>
      <c r="G88" s="15" t="s">
        <v>14</v>
      </c>
      <c r="H88" s="6" t="str">
        <f t="shared" si="1"/>
        <v>***</v>
      </c>
      <c r="I88" s="7" t="str">
        <f>D88</f>
        <v>salintyComb</v>
      </c>
      <c r="J88" s="7" t="str">
        <f>E88</f>
        <v>MMR</v>
      </c>
      <c r="K88" s="7" t="str">
        <f>F88</f>
        <v>opt</v>
      </c>
    </row>
    <row r="89" spans="1:12" x14ac:dyDescent="0.2">
      <c r="A89">
        <v>11.1698798546243</v>
      </c>
      <c r="B89">
        <v>1</v>
      </c>
      <c r="C89" s="1">
        <v>8.31360108205579E-4</v>
      </c>
      <c r="D89" t="s">
        <v>21</v>
      </c>
      <c r="E89" t="s">
        <v>20</v>
      </c>
      <c r="F89" t="s">
        <v>9</v>
      </c>
      <c r="G89" t="s">
        <v>14</v>
      </c>
      <c r="H89" t="str">
        <f t="shared" si="1"/>
        <v>***</v>
      </c>
    </row>
    <row r="90" spans="1:12" x14ac:dyDescent="0.2">
      <c r="A90">
        <v>626.83717229997796</v>
      </c>
      <c r="B90">
        <v>1</v>
      </c>
      <c r="C90" s="1">
        <v>2.4361841108232501E-138</v>
      </c>
      <c r="D90" t="s">
        <v>7</v>
      </c>
      <c r="E90" t="s">
        <v>20</v>
      </c>
      <c r="F90" t="s">
        <v>15</v>
      </c>
      <c r="G90" t="s">
        <v>10</v>
      </c>
      <c r="H90" t="str">
        <f t="shared" si="1"/>
        <v>***</v>
      </c>
    </row>
    <row r="91" spans="1:12" x14ac:dyDescent="0.2">
      <c r="A91">
        <v>47.855972668728597</v>
      </c>
      <c r="B91">
        <v>1</v>
      </c>
      <c r="C91" s="1">
        <v>4.5870755566751599E-12</v>
      </c>
      <c r="D91" t="s">
        <v>11</v>
      </c>
      <c r="E91" t="s">
        <v>20</v>
      </c>
      <c r="F91" t="s">
        <v>15</v>
      </c>
      <c r="G91" t="s">
        <v>10</v>
      </c>
      <c r="H91" t="str">
        <f t="shared" si="1"/>
        <v>***</v>
      </c>
    </row>
    <row r="92" spans="1:12" x14ac:dyDescent="0.2">
      <c r="A92" s="2">
        <v>5.5547654443410099</v>
      </c>
      <c r="B92" s="2">
        <v>3</v>
      </c>
      <c r="C92" s="3">
        <v>0.135399484561362</v>
      </c>
      <c r="D92" s="2" t="s">
        <v>10</v>
      </c>
      <c r="E92" s="2" t="s">
        <v>20</v>
      </c>
      <c r="F92" s="2" t="s">
        <v>15</v>
      </c>
      <c r="G92" s="2" t="s">
        <v>10</v>
      </c>
      <c r="H92" s="2" t="str">
        <f t="shared" si="1"/>
        <v>ns</v>
      </c>
      <c r="I92" s="7" t="str">
        <f>D92</f>
        <v>DemersPelag</v>
      </c>
      <c r="J92" s="7" t="str">
        <f>E92</f>
        <v>MMR</v>
      </c>
      <c r="K92" s="7" t="str">
        <f>F92</f>
        <v>warm</v>
      </c>
      <c r="L92" s="55" t="s">
        <v>68</v>
      </c>
    </row>
    <row r="93" spans="1:12" x14ac:dyDescent="0.2">
      <c r="A93">
        <v>467.448541416843</v>
      </c>
      <c r="B93">
        <v>1</v>
      </c>
      <c r="C93" s="1">
        <v>1.1507684438708401E-103</v>
      </c>
      <c r="D93" t="s">
        <v>7</v>
      </c>
      <c r="E93" t="s">
        <v>20</v>
      </c>
      <c r="F93" t="s">
        <v>15</v>
      </c>
      <c r="G93" t="s">
        <v>12</v>
      </c>
      <c r="H93" t="str">
        <f t="shared" si="1"/>
        <v>***</v>
      </c>
    </row>
    <row r="94" spans="1:12" x14ac:dyDescent="0.2">
      <c r="A94">
        <v>45.069055047187199</v>
      </c>
      <c r="B94">
        <v>1</v>
      </c>
      <c r="C94" s="1">
        <v>1.9020741651062199E-11</v>
      </c>
      <c r="D94" t="s">
        <v>11</v>
      </c>
      <c r="E94" t="s">
        <v>20</v>
      </c>
      <c r="F94" t="s">
        <v>15</v>
      </c>
      <c r="G94" t="s">
        <v>12</v>
      </c>
      <c r="H94" t="str">
        <f t="shared" si="1"/>
        <v>***</v>
      </c>
    </row>
    <row r="95" spans="1:12" x14ac:dyDescent="0.2">
      <c r="A95" s="2">
        <v>4.2425155378137402</v>
      </c>
      <c r="B95" s="2">
        <v>2</v>
      </c>
      <c r="C95" s="3">
        <v>0.11988075136545601</v>
      </c>
      <c r="D95" s="2" t="s">
        <v>12</v>
      </c>
      <c r="E95" s="2" t="s">
        <v>20</v>
      </c>
      <c r="F95" s="2" t="s">
        <v>15</v>
      </c>
      <c r="G95" s="2" t="s">
        <v>12</v>
      </c>
      <c r="H95" s="2" t="str">
        <f t="shared" si="1"/>
        <v>ns</v>
      </c>
    </row>
    <row r="96" spans="1:12" x14ac:dyDescent="0.2">
      <c r="A96">
        <v>501.22617806153602</v>
      </c>
      <c r="B96">
        <v>1</v>
      </c>
      <c r="C96" s="1">
        <v>5.1425597430461897E-111</v>
      </c>
      <c r="D96" t="s">
        <v>7</v>
      </c>
      <c r="E96" t="s">
        <v>20</v>
      </c>
      <c r="F96" t="s">
        <v>15</v>
      </c>
      <c r="G96" t="s">
        <v>13</v>
      </c>
      <c r="H96" t="str">
        <f t="shared" si="1"/>
        <v>***</v>
      </c>
    </row>
    <row r="97" spans="1:8" x14ac:dyDescent="0.2">
      <c r="A97">
        <v>45.491465510500703</v>
      </c>
      <c r="B97">
        <v>1</v>
      </c>
      <c r="C97" s="1">
        <v>1.5330537458228901E-11</v>
      </c>
      <c r="D97" t="s">
        <v>11</v>
      </c>
      <c r="E97" t="s">
        <v>20</v>
      </c>
      <c r="F97" t="s">
        <v>15</v>
      </c>
      <c r="G97" t="s">
        <v>13</v>
      </c>
      <c r="H97" t="str">
        <f t="shared" si="1"/>
        <v>***</v>
      </c>
    </row>
    <row r="98" spans="1:8" x14ac:dyDescent="0.2">
      <c r="A98" s="2">
        <v>4.9462741904286496</v>
      </c>
      <c r="B98" s="2">
        <v>3</v>
      </c>
      <c r="C98" s="3">
        <v>0.175773749986112</v>
      </c>
      <c r="D98" s="2" t="s">
        <v>13</v>
      </c>
      <c r="E98" s="2" t="s">
        <v>20</v>
      </c>
      <c r="F98" s="2" t="s">
        <v>15</v>
      </c>
      <c r="G98" s="2" t="s">
        <v>13</v>
      </c>
      <c r="H98" s="2" t="str">
        <f t="shared" si="1"/>
        <v>ns</v>
      </c>
    </row>
    <row r="99" spans="1:8" x14ac:dyDescent="0.2">
      <c r="A99">
        <v>519.85992893653895</v>
      </c>
      <c r="B99">
        <v>1</v>
      </c>
      <c r="C99" s="1">
        <v>4.5395856362589004E-115</v>
      </c>
      <c r="D99" t="s">
        <v>7</v>
      </c>
      <c r="E99" t="s">
        <v>20</v>
      </c>
      <c r="F99" t="s">
        <v>15</v>
      </c>
      <c r="G99" t="s">
        <v>14</v>
      </c>
      <c r="H99" t="str">
        <f t="shared" si="1"/>
        <v>***</v>
      </c>
    </row>
    <row r="100" spans="1:8" x14ac:dyDescent="0.2">
      <c r="A100">
        <v>46.776862774870601</v>
      </c>
      <c r="B100">
        <v>1</v>
      </c>
      <c r="C100" s="1">
        <v>7.9547041592967495E-12</v>
      </c>
      <c r="D100" t="s">
        <v>11</v>
      </c>
      <c r="E100" t="s">
        <v>20</v>
      </c>
      <c r="F100" t="s">
        <v>15</v>
      </c>
      <c r="G100" t="s">
        <v>14</v>
      </c>
      <c r="H100" t="str">
        <f t="shared" si="1"/>
        <v>***</v>
      </c>
    </row>
    <row r="101" spans="1:8" x14ac:dyDescent="0.2">
      <c r="A101" s="2">
        <v>5.8312981859226998</v>
      </c>
      <c r="B101" s="2">
        <v>4</v>
      </c>
      <c r="C101" s="3">
        <v>0.21210624358719299</v>
      </c>
      <c r="D101" s="2" t="s">
        <v>14</v>
      </c>
      <c r="E101" s="2" t="s">
        <v>20</v>
      </c>
      <c r="F101" s="2" t="s">
        <v>15</v>
      </c>
      <c r="G101" s="2" t="s">
        <v>14</v>
      </c>
      <c r="H101" s="2" t="str">
        <f t="shared" si="1"/>
        <v>ns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workbookViewId="0">
      <selection activeCell="J18" sqref="J18:J21"/>
    </sheetView>
  </sheetViews>
  <sheetFormatPr baseColWidth="10" defaultRowHeight="16" x14ac:dyDescent="0.2"/>
  <sheetData>
    <row r="1" spans="1:10" x14ac:dyDescent="0.2">
      <c r="A1" t="s">
        <v>69</v>
      </c>
      <c r="B1" t="s">
        <v>70</v>
      </c>
      <c r="C1" t="s">
        <v>32</v>
      </c>
      <c r="D1" t="s">
        <v>33</v>
      </c>
      <c r="E1" t="s">
        <v>71</v>
      </c>
      <c r="F1" t="s">
        <v>72</v>
      </c>
      <c r="G1" t="s">
        <v>4</v>
      </c>
      <c r="H1" t="s">
        <v>5</v>
      </c>
      <c r="I1" t="s">
        <v>6</v>
      </c>
    </row>
    <row r="2" spans="1:10" x14ac:dyDescent="0.2">
      <c r="A2" s="16" t="s">
        <v>73</v>
      </c>
      <c r="B2" s="16">
        <v>-0.451735</v>
      </c>
      <c r="C2" s="16">
        <v>0.1051537</v>
      </c>
      <c r="D2" s="16">
        <v>68.734511100000006</v>
      </c>
      <c r="E2" s="16">
        <v>-0.66152540000000004</v>
      </c>
      <c r="F2" s="16">
        <v>-0.24194470000000001</v>
      </c>
      <c r="G2" s="16" t="s">
        <v>8</v>
      </c>
      <c r="H2" s="16" t="s">
        <v>9</v>
      </c>
      <c r="I2" s="16" t="s">
        <v>10</v>
      </c>
      <c r="J2">
        <f>EXP(B2)</f>
        <v>0.63652282592602383</v>
      </c>
    </row>
    <row r="3" spans="1:10" x14ac:dyDescent="0.2">
      <c r="A3" s="16" t="s">
        <v>74</v>
      </c>
      <c r="B3" s="16">
        <v>-0.6056511</v>
      </c>
      <c r="C3" s="16">
        <v>0.13107666000000001</v>
      </c>
      <c r="D3" s="16">
        <v>64.969770400000002</v>
      </c>
      <c r="E3" s="16">
        <v>-0.86743159999999997</v>
      </c>
      <c r="F3" s="16">
        <v>-0.34387069999999997</v>
      </c>
      <c r="G3" s="16" t="s">
        <v>8</v>
      </c>
      <c r="H3" s="16" t="s">
        <v>9</v>
      </c>
      <c r="I3" s="16" t="s">
        <v>10</v>
      </c>
      <c r="J3">
        <f t="shared" ref="J3:J5" si="0">EXP(B3)</f>
        <v>0.54571899330440321</v>
      </c>
    </row>
    <row r="4" spans="1:10" x14ac:dyDescent="0.2">
      <c r="A4" s="16" t="s">
        <v>75</v>
      </c>
      <c r="B4" s="16">
        <v>0.40023238</v>
      </c>
      <c r="C4" s="16">
        <v>0.38968838</v>
      </c>
      <c r="D4" s="16">
        <v>75.185403100000002</v>
      </c>
      <c r="E4" s="16">
        <v>-0.37603530000000002</v>
      </c>
      <c r="F4" s="16">
        <v>1.17650006</v>
      </c>
      <c r="G4" s="16" t="s">
        <v>8</v>
      </c>
      <c r="H4" s="16" t="s">
        <v>9</v>
      </c>
      <c r="I4" s="16" t="s">
        <v>10</v>
      </c>
      <c r="J4">
        <f t="shared" si="0"/>
        <v>1.4921714081472417</v>
      </c>
    </row>
    <row r="5" spans="1:10" x14ac:dyDescent="0.2">
      <c r="A5" s="16" t="s">
        <v>76</v>
      </c>
      <c r="B5" s="16">
        <v>-0.54270419999999997</v>
      </c>
      <c r="C5" s="16">
        <v>0.17757331000000001</v>
      </c>
      <c r="D5" s="16">
        <v>61.936638600000002</v>
      </c>
      <c r="E5" s="16">
        <v>-0.89767540000000001</v>
      </c>
      <c r="F5" s="16">
        <v>-0.18773300000000001</v>
      </c>
      <c r="G5" s="16" t="s">
        <v>8</v>
      </c>
      <c r="H5" s="16" t="s">
        <v>9</v>
      </c>
      <c r="I5" s="16" t="s">
        <v>10</v>
      </c>
      <c r="J5">
        <f t="shared" si="0"/>
        <v>0.58117451336146175</v>
      </c>
    </row>
    <row r="6" spans="1:10" x14ac:dyDescent="0.2">
      <c r="A6" t="s">
        <v>77</v>
      </c>
      <c r="B6">
        <v>-0.59574879999999997</v>
      </c>
      <c r="C6">
        <v>0.14335050999999999</v>
      </c>
      <c r="D6">
        <v>80.356179699999998</v>
      </c>
      <c r="E6">
        <v>-0.88100599999999996</v>
      </c>
      <c r="F6">
        <v>-0.31049159999999998</v>
      </c>
      <c r="G6" t="s">
        <v>8</v>
      </c>
      <c r="H6" t="s">
        <v>9</v>
      </c>
      <c r="I6" t="s">
        <v>12</v>
      </c>
    </row>
    <row r="7" spans="1:10" x14ac:dyDescent="0.2">
      <c r="A7" t="s">
        <v>78</v>
      </c>
      <c r="B7">
        <v>-0.4388976</v>
      </c>
      <c r="C7">
        <v>9.3727699999999997E-2</v>
      </c>
      <c r="D7">
        <v>56.482333300000001</v>
      </c>
      <c r="E7">
        <v>-0.6266214</v>
      </c>
      <c r="F7">
        <v>-0.25117390000000001</v>
      </c>
      <c r="G7" t="s">
        <v>8</v>
      </c>
      <c r="H7" t="s">
        <v>9</v>
      </c>
      <c r="I7" t="s">
        <v>12</v>
      </c>
    </row>
    <row r="8" spans="1:10" x14ac:dyDescent="0.2">
      <c r="A8" t="s">
        <v>79</v>
      </c>
      <c r="B8">
        <v>-0.52097590000000005</v>
      </c>
      <c r="C8">
        <v>0.24667221</v>
      </c>
      <c r="D8">
        <v>69.581601899999995</v>
      </c>
      <c r="E8">
        <v>-1.0130002</v>
      </c>
      <c r="F8">
        <v>-2.89517E-2</v>
      </c>
      <c r="G8" t="s">
        <v>8</v>
      </c>
      <c r="H8" t="s">
        <v>9</v>
      </c>
      <c r="I8" t="s">
        <v>12</v>
      </c>
    </row>
    <row r="9" spans="1:10" x14ac:dyDescent="0.2">
      <c r="A9" t="s">
        <v>80</v>
      </c>
      <c r="B9">
        <v>-1.8030499</v>
      </c>
      <c r="C9">
        <v>0.54687401000000002</v>
      </c>
      <c r="D9">
        <v>78.3457212</v>
      </c>
      <c r="E9">
        <v>-2.8917168000000002</v>
      </c>
      <c r="F9">
        <v>-0.71438310000000005</v>
      </c>
      <c r="G9" t="s">
        <v>8</v>
      </c>
      <c r="H9" t="s">
        <v>9</v>
      </c>
      <c r="I9" t="s">
        <v>13</v>
      </c>
    </row>
    <row r="10" spans="1:10" x14ac:dyDescent="0.2">
      <c r="A10" t="s">
        <v>81</v>
      </c>
      <c r="B10">
        <v>-0.4042482</v>
      </c>
      <c r="C10">
        <v>0.10419908</v>
      </c>
      <c r="D10">
        <v>67.440375500000002</v>
      </c>
      <c r="E10">
        <v>-0.61220549999999996</v>
      </c>
      <c r="F10">
        <v>-0.19629089999999999</v>
      </c>
      <c r="G10" t="s">
        <v>8</v>
      </c>
      <c r="H10" t="s">
        <v>9</v>
      </c>
      <c r="I10" t="s">
        <v>13</v>
      </c>
    </row>
    <row r="11" spans="1:10" x14ac:dyDescent="0.2">
      <c r="A11" t="s">
        <v>82</v>
      </c>
      <c r="B11">
        <v>-0.48908689999999999</v>
      </c>
      <c r="C11">
        <v>0.13944801000000001</v>
      </c>
      <c r="D11">
        <v>66.292693900000003</v>
      </c>
      <c r="E11">
        <v>-0.76748090000000002</v>
      </c>
      <c r="F11">
        <v>-0.21069289999999999</v>
      </c>
      <c r="G11" t="s">
        <v>8</v>
      </c>
      <c r="H11" t="s">
        <v>9</v>
      </c>
      <c r="I11" t="s">
        <v>13</v>
      </c>
    </row>
    <row r="12" spans="1:10" x14ac:dyDescent="0.2">
      <c r="A12" t="s">
        <v>83</v>
      </c>
      <c r="B12">
        <v>-0.59767769999999998</v>
      </c>
      <c r="C12">
        <v>0.15438177</v>
      </c>
      <c r="D12">
        <v>56.262613399999999</v>
      </c>
      <c r="E12">
        <v>-0.90690970000000004</v>
      </c>
      <c r="F12">
        <v>-0.28844570000000003</v>
      </c>
      <c r="G12" t="s">
        <v>8</v>
      </c>
      <c r="H12" t="s">
        <v>9</v>
      </c>
      <c r="I12" t="s">
        <v>13</v>
      </c>
    </row>
    <row r="13" spans="1:10" x14ac:dyDescent="0.2">
      <c r="A13" t="s">
        <v>84</v>
      </c>
      <c r="B13">
        <v>-0.41689470000000001</v>
      </c>
      <c r="C13">
        <v>0.12015228999999999</v>
      </c>
      <c r="D13">
        <v>74.809770999999998</v>
      </c>
      <c r="E13">
        <v>-0.65626030000000002</v>
      </c>
      <c r="F13">
        <v>-0.1775291</v>
      </c>
      <c r="G13" t="s">
        <v>8</v>
      </c>
      <c r="H13" t="s">
        <v>9</v>
      </c>
      <c r="I13" t="s">
        <v>14</v>
      </c>
    </row>
    <row r="14" spans="1:10" x14ac:dyDescent="0.2">
      <c r="A14" t="s">
        <v>85</v>
      </c>
      <c r="B14">
        <v>-0.51957039999999999</v>
      </c>
      <c r="C14">
        <v>0.13924026</v>
      </c>
      <c r="D14">
        <v>57.821339500000001</v>
      </c>
      <c r="E14">
        <v>-0.79830840000000003</v>
      </c>
      <c r="F14">
        <v>-0.2408324</v>
      </c>
      <c r="G14" t="s">
        <v>8</v>
      </c>
      <c r="H14" t="s">
        <v>9</v>
      </c>
      <c r="I14" t="s">
        <v>14</v>
      </c>
    </row>
    <row r="15" spans="1:10" x14ac:dyDescent="0.2">
      <c r="A15" t="s">
        <v>86</v>
      </c>
      <c r="B15">
        <v>-0.54748399999999997</v>
      </c>
      <c r="C15">
        <v>0.16684937999999999</v>
      </c>
      <c r="D15">
        <v>66.312219099999993</v>
      </c>
      <c r="E15">
        <v>-0.88058020000000004</v>
      </c>
      <c r="F15">
        <v>-0.21438769999999999</v>
      </c>
      <c r="G15" t="s">
        <v>8</v>
      </c>
      <c r="H15" t="s">
        <v>9</v>
      </c>
      <c r="I15" t="s">
        <v>14</v>
      </c>
    </row>
    <row r="16" spans="1:10" x14ac:dyDescent="0.2">
      <c r="A16" t="s">
        <v>87</v>
      </c>
      <c r="B16">
        <v>-1.8190419</v>
      </c>
      <c r="C16">
        <v>0.54970178999999997</v>
      </c>
      <c r="D16">
        <v>79.064084199999996</v>
      </c>
      <c r="E16">
        <v>-2.9131821000000002</v>
      </c>
      <c r="F16">
        <v>-0.72490160000000003</v>
      </c>
      <c r="G16" t="s">
        <v>8</v>
      </c>
      <c r="H16" t="s">
        <v>9</v>
      </c>
      <c r="I16" t="s">
        <v>14</v>
      </c>
    </row>
    <row r="17" spans="1:10" ht="17" thickBot="1" x14ac:dyDescent="0.25">
      <c r="A17" t="s">
        <v>88</v>
      </c>
      <c r="B17">
        <v>-0.40912219999999999</v>
      </c>
      <c r="C17">
        <v>0.19737473</v>
      </c>
      <c r="D17">
        <v>57.455062400000003</v>
      </c>
      <c r="E17">
        <v>-0.80429039999999996</v>
      </c>
      <c r="F17">
        <v>-1.39539E-2</v>
      </c>
      <c r="G17" t="s">
        <v>8</v>
      </c>
      <c r="H17" t="s">
        <v>9</v>
      </c>
      <c r="I17" t="s">
        <v>14</v>
      </c>
    </row>
    <row r="18" spans="1:10" x14ac:dyDescent="0.2">
      <c r="A18" s="56" t="s">
        <v>73</v>
      </c>
      <c r="B18" s="57">
        <v>-0.46188360000000001</v>
      </c>
      <c r="C18" s="57">
        <v>0.38361077999999998</v>
      </c>
      <c r="D18" s="57">
        <v>22.387236699999999</v>
      </c>
      <c r="E18" s="57">
        <v>-1.2566466000000001</v>
      </c>
      <c r="F18" s="57">
        <v>0.33287932999999997</v>
      </c>
      <c r="G18" s="57" t="s">
        <v>8</v>
      </c>
      <c r="H18" s="57" t="s">
        <v>15</v>
      </c>
      <c r="I18" s="58" t="s">
        <v>10</v>
      </c>
      <c r="J18">
        <f>EXP(B18)</f>
        <v>0.63009567881052087</v>
      </c>
    </row>
    <row r="19" spans="1:10" x14ac:dyDescent="0.2">
      <c r="A19" s="59" t="s">
        <v>74</v>
      </c>
      <c r="B19" s="60">
        <v>-0.31517489999999998</v>
      </c>
      <c r="C19" s="60">
        <v>0.32959202999999998</v>
      </c>
      <c r="D19" s="60">
        <v>34.711188100000001</v>
      </c>
      <c r="E19" s="60">
        <v>-0.9844813</v>
      </c>
      <c r="F19" s="60">
        <v>0.35413159999999999</v>
      </c>
      <c r="G19" s="60" t="s">
        <v>8</v>
      </c>
      <c r="H19" s="60" t="s">
        <v>15</v>
      </c>
      <c r="I19" s="61" t="s">
        <v>10</v>
      </c>
      <c r="J19">
        <f t="shared" ref="J19:J21" si="1">EXP(B19)</f>
        <v>0.72966124535642096</v>
      </c>
    </row>
    <row r="20" spans="1:10" x14ac:dyDescent="0.2">
      <c r="A20" s="59" t="s">
        <v>75</v>
      </c>
      <c r="B20" s="60">
        <v>1.10514914</v>
      </c>
      <c r="C20" s="60">
        <v>0.57257073000000003</v>
      </c>
      <c r="D20" s="60">
        <v>10.055721</v>
      </c>
      <c r="E20" s="60">
        <v>-0.16966029999999999</v>
      </c>
      <c r="F20" s="60">
        <v>2.3799586399999999</v>
      </c>
      <c r="G20" s="60" t="s">
        <v>8</v>
      </c>
      <c r="H20" s="60" t="s">
        <v>15</v>
      </c>
      <c r="I20" s="61" t="s">
        <v>10</v>
      </c>
      <c r="J20">
        <f t="shared" si="1"/>
        <v>3.0196747895234273</v>
      </c>
    </row>
    <row r="21" spans="1:10" ht="17" thickBot="1" x14ac:dyDescent="0.25">
      <c r="A21" s="62" t="s">
        <v>76</v>
      </c>
      <c r="B21" s="63">
        <v>-0.43892530000000002</v>
      </c>
      <c r="C21" s="63">
        <v>0.27999695000000002</v>
      </c>
      <c r="D21" s="63">
        <v>32.781199299999997</v>
      </c>
      <c r="E21" s="63">
        <v>-1.0087279</v>
      </c>
      <c r="F21" s="63">
        <v>0.13087723000000001</v>
      </c>
      <c r="G21" s="63" t="s">
        <v>8</v>
      </c>
      <c r="H21" s="63" t="s">
        <v>15</v>
      </c>
      <c r="I21" s="64" t="s">
        <v>10</v>
      </c>
      <c r="J21">
        <f t="shared" si="1"/>
        <v>0.64472893908277285</v>
      </c>
    </row>
    <row r="22" spans="1:10" x14ac:dyDescent="0.2">
      <c r="A22" t="s">
        <v>77</v>
      </c>
      <c r="B22">
        <v>-1.0444164</v>
      </c>
      <c r="C22">
        <v>0.33204259000000003</v>
      </c>
      <c r="D22">
        <v>20.837452800000001</v>
      </c>
      <c r="E22">
        <v>-1.7352649</v>
      </c>
      <c r="F22">
        <v>-0.35356789999999999</v>
      </c>
      <c r="G22" t="s">
        <v>8</v>
      </c>
      <c r="H22" t="s">
        <v>15</v>
      </c>
      <c r="I22" t="s">
        <v>12</v>
      </c>
    </row>
    <row r="23" spans="1:10" x14ac:dyDescent="0.2">
      <c r="A23" t="s">
        <v>78</v>
      </c>
      <c r="B23">
        <v>-6.6977999999999996E-2</v>
      </c>
      <c r="C23">
        <v>0.23701559999999999</v>
      </c>
      <c r="D23">
        <v>29.0102653</v>
      </c>
      <c r="E23">
        <v>-0.55172189999999999</v>
      </c>
      <c r="F23">
        <v>0.41776588999999997</v>
      </c>
      <c r="G23" t="s">
        <v>8</v>
      </c>
      <c r="H23" t="s">
        <v>15</v>
      </c>
      <c r="I23" t="s">
        <v>12</v>
      </c>
    </row>
    <row r="24" spans="1:10" x14ac:dyDescent="0.2">
      <c r="A24" t="s">
        <v>79</v>
      </c>
      <c r="B24">
        <v>-0.31592589999999998</v>
      </c>
      <c r="C24">
        <v>0.47685654999999999</v>
      </c>
      <c r="D24">
        <v>22.5759799</v>
      </c>
      <c r="E24">
        <v>-1.3034051</v>
      </c>
      <c r="F24">
        <v>0.67155321999999995</v>
      </c>
      <c r="G24" t="s">
        <v>8</v>
      </c>
      <c r="H24" t="s">
        <v>15</v>
      </c>
      <c r="I24" t="s">
        <v>12</v>
      </c>
    </row>
    <row r="25" spans="1:10" x14ac:dyDescent="0.2">
      <c r="A25" t="s">
        <v>80</v>
      </c>
      <c r="B25">
        <v>-2.1282583000000002</v>
      </c>
      <c r="C25">
        <v>0.67285923000000003</v>
      </c>
      <c r="D25">
        <v>27.766195499999998</v>
      </c>
      <c r="E25">
        <v>-3.5070709999999998</v>
      </c>
      <c r="F25">
        <v>-0.74944560000000005</v>
      </c>
      <c r="G25" t="s">
        <v>8</v>
      </c>
      <c r="H25" t="s">
        <v>15</v>
      </c>
      <c r="I25" t="s">
        <v>13</v>
      </c>
    </row>
    <row r="26" spans="1:10" x14ac:dyDescent="0.2">
      <c r="A26" t="s">
        <v>81</v>
      </c>
      <c r="B26">
        <v>-0.21758459999999999</v>
      </c>
      <c r="C26">
        <v>0.33924554000000001</v>
      </c>
      <c r="D26">
        <v>21.278894600000001</v>
      </c>
      <c r="E26">
        <v>-0.9225217</v>
      </c>
      <c r="F26">
        <v>0.48735252000000001</v>
      </c>
      <c r="G26" t="s">
        <v>8</v>
      </c>
      <c r="H26" t="s">
        <v>15</v>
      </c>
      <c r="I26" t="s">
        <v>13</v>
      </c>
    </row>
    <row r="27" spans="1:10" x14ac:dyDescent="0.2">
      <c r="A27" t="s">
        <v>82</v>
      </c>
      <c r="B27">
        <v>-8.0573400000000003E-2</v>
      </c>
      <c r="C27">
        <v>0.41659316000000002</v>
      </c>
      <c r="D27">
        <v>37.169170600000001</v>
      </c>
      <c r="E27">
        <v>-0.92454170000000002</v>
      </c>
      <c r="F27">
        <v>0.76339484999999996</v>
      </c>
      <c r="G27" t="s">
        <v>8</v>
      </c>
      <c r="H27" t="s">
        <v>15</v>
      </c>
      <c r="I27" t="s">
        <v>13</v>
      </c>
    </row>
    <row r="28" spans="1:10" x14ac:dyDescent="0.2">
      <c r="A28" t="s">
        <v>83</v>
      </c>
      <c r="B28">
        <v>-0.33352159999999997</v>
      </c>
      <c r="C28">
        <v>0.24469094</v>
      </c>
      <c r="D28">
        <v>31.075152899999999</v>
      </c>
      <c r="E28">
        <v>-0.83252309999999996</v>
      </c>
      <c r="F28">
        <v>0.16547997</v>
      </c>
      <c r="G28" t="s">
        <v>8</v>
      </c>
      <c r="H28" t="s">
        <v>15</v>
      </c>
      <c r="I28" t="s">
        <v>13</v>
      </c>
    </row>
    <row r="29" spans="1:10" x14ac:dyDescent="0.2">
      <c r="A29" t="s">
        <v>84</v>
      </c>
      <c r="B29">
        <v>0.34575317</v>
      </c>
      <c r="C29">
        <v>0.77515491999999997</v>
      </c>
      <c r="D29">
        <v>23.428944399999999</v>
      </c>
      <c r="E29">
        <v>-1.256154</v>
      </c>
      <c r="F29">
        <v>1.9476603699999999</v>
      </c>
      <c r="G29" t="s">
        <v>8</v>
      </c>
      <c r="H29" t="s">
        <v>15</v>
      </c>
      <c r="I29" t="s">
        <v>14</v>
      </c>
    </row>
    <row r="30" spans="1:10" x14ac:dyDescent="0.2">
      <c r="A30" t="s">
        <v>85</v>
      </c>
      <c r="B30">
        <v>-0.25967600000000002</v>
      </c>
      <c r="C30">
        <v>0.54189140000000002</v>
      </c>
      <c r="D30">
        <v>22.398207800000002</v>
      </c>
      <c r="E30">
        <v>-1.3823327000000001</v>
      </c>
      <c r="F30">
        <v>0.86298065000000002</v>
      </c>
      <c r="G30" t="s">
        <v>8</v>
      </c>
      <c r="H30" t="s">
        <v>15</v>
      </c>
      <c r="I30" t="s">
        <v>14</v>
      </c>
    </row>
    <row r="31" spans="1:10" x14ac:dyDescent="0.2">
      <c r="A31" t="s">
        <v>86</v>
      </c>
      <c r="B31">
        <v>-0.429421</v>
      </c>
      <c r="C31">
        <v>0.30830783</v>
      </c>
      <c r="D31">
        <v>28.967934799999998</v>
      </c>
      <c r="E31">
        <v>-1.0600117</v>
      </c>
      <c r="F31">
        <v>0.20116959000000001</v>
      </c>
      <c r="G31" t="s">
        <v>8</v>
      </c>
      <c r="H31" t="s">
        <v>15</v>
      </c>
      <c r="I31" t="s">
        <v>14</v>
      </c>
    </row>
    <row r="32" spans="1:10" x14ac:dyDescent="0.2">
      <c r="A32" t="s">
        <v>87</v>
      </c>
      <c r="B32">
        <v>-1.0409208000000001</v>
      </c>
      <c r="C32">
        <v>0.53948499999999999</v>
      </c>
      <c r="D32">
        <v>22.316943500000001</v>
      </c>
      <c r="E32">
        <v>-2.1588237000000001</v>
      </c>
      <c r="F32">
        <v>7.6982099999999998E-2</v>
      </c>
      <c r="G32" t="s">
        <v>8</v>
      </c>
      <c r="H32" t="s">
        <v>15</v>
      </c>
      <c r="I32" t="s">
        <v>14</v>
      </c>
    </row>
    <row r="33" spans="1:9" x14ac:dyDescent="0.2">
      <c r="A33" t="s">
        <v>88</v>
      </c>
      <c r="B33">
        <v>0.19160801999999999</v>
      </c>
      <c r="C33">
        <v>0.41410719000000001</v>
      </c>
      <c r="D33">
        <v>34.114873500000002</v>
      </c>
      <c r="E33">
        <v>-0.64985470000000001</v>
      </c>
      <c r="F33">
        <v>1.03307072</v>
      </c>
      <c r="G33" t="s">
        <v>8</v>
      </c>
      <c r="H33" t="s">
        <v>15</v>
      </c>
      <c r="I33" t="s">
        <v>14</v>
      </c>
    </row>
    <row r="34" spans="1:9" x14ac:dyDescent="0.2">
      <c r="A34" t="s">
        <v>73</v>
      </c>
      <c r="B34">
        <v>1.4973347800000001</v>
      </c>
      <c r="C34">
        <v>7.1959590000000004E-2</v>
      </c>
      <c r="D34">
        <v>73.046547399999994</v>
      </c>
      <c r="E34">
        <v>1.3539210699999999</v>
      </c>
      <c r="F34">
        <v>1.64074849</v>
      </c>
      <c r="G34" t="s">
        <v>16</v>
      </c>
      <c r="H34" t="s">
        <v>9</v>
      </c>
      <c r="I34" t="s">
        <v>10</v>
      </c>
    </row>
    <row r="35" spans="1:9" x14ac:dyDescent="0.2">
      <c r="A35" t="s">
        <v>74</v>
      </c>
      <c r="B35">
        <v>1.4467554300000001</v>
      </c>
      <c r="C35">
        <v>8.9561370000000001E-2</v>
      </c>
      <c r="D35">
        <v>71.794760800000006</v>
      </c>
      <c r="E35">
        <v>1.2682093699999999</v>
      </c>
      <c r="F35">
        <v>1.62530149</v>
      </c>
      <c r="G35" t="s">
        <v>16</v>
      </c>
      <c r="H35" t="s">
        <v>9</v>
      </c>
      <c r="I35" t="s">
        <v>10</v>
      </c>
    </row>
    <row r="36" spans="1:9" x14ac:dyDescent="0.2">
      <c r="A36" t="s">
        <v>75</v>
      </c>
      <c r="B36">
        <v>1.68499895</v>
      </c>
      <c r="C36">
        <v>0.25169623000000002</v>
      </c>
      <c r="D36">
        <v>60.310375100000002</v>
      </c>
      <c r="E36">
        <v>1.1815848200000001</v>
      </c>
      <c r="F36">
        <v>2.1884130800000001</v>
      </c>
      <c r="G36" t="s">
        <v>16</v>
      </c>
      <c r="H36" t="s">
        <v>9</v>
      </c>
      <c r="I36" t="s">
        <v>10</v>
      </c>
    </row>
    <row r="37" spans="1:9" x14ac:dyDescent="0.2">
      <c r="A37" t="s">
        <v>76</v>
      </c>
      <c r="B37">
        <v>1.5564700300000001</v>
      </c>
      <c r="C37">
        <v>0.11914864</v>
      </c>
      <c r="D37">
        <v>64.507615599999994</v>
      </c>
      <c r="E37">
        <v>1.3184793299999999</v>
      </c>
      <c r="F37">
        <v>1.7944607400000001</v>
      </c>
      <c r="G37" t="s">
        <v>16</v>
      </c>
      <c r="H37" t="s">
        <v>9</v>
      </c>
      <c r="I37" t="s">
        <v>10</v>
      </c>
    </row>
    <row r="38" spans="1:9" x14ac:dyDescent="0.2">
      <c r="A38" t="s">
        <v>77</v>
      </c>
      <c r="B38">
        <v>1.38304619</v>
      </c>
      <c r="C38">
        <v>9.2792280000000005E-2</v>
      </c>
      <c r="D38">
        <v>82.816281200000006</v>
      </c>
      <c r="E38">
        <v>1.19848003</v>
      </c>
      <c r="F38">
        <v>1.5676123500000001</v>
      </c>
      <c r="G38" t="s">
        <v>16</v>
      </c>
      <c r="H38" t="s">
        <v>9</v>
      </c>
      <c r="I38" t="s">
        <v>12</v>
      </c>
    </row>
    <row r="39" spans="1:9" x14ac:dyDescent="0.2">
      <c r="A39" t="s">
        <v>78</v>
      </c>
      <c r="B39">
        <v>1.5433359900000001</v>
      </c>
      <c r="C39">
        <v>6.3223349999999998E-2</v>
      </c>
      <c r="D39">
        <v>65.358001599999994</v>
      </c>
      <c r="E39">
        <v>1.41708335</v>
      </c>
      <c r="F39">
        <v>1.6695886200000001</v>
      </c>
      <c r="G39" t="s">
        <v>16</v>
      </c>
      <c r="H39" t="s">
        <v>9</v>
      </c>
      <c r="I39" t="s">
        <v>12</v>
      </c>
    </row>
    <row r="40" spans="1:9" x14ac:dyDescent="0.2">
      <c r="A40" t="s">
        <v>79</v>
      </c>
      <c r="B40">
        <v>1.47728758</v>
      </c>
      <c r="C40">
        <v>0.15619146</v>
      </c>
      <c r="D40">
        <v>68.370128899999997</v>
      </c>
      <c r="E40">
        <v>1.1656429100000001</v>
      </c>
      <c r="F40">
        <v>1.7889322400000001</v>
      </c>
      <c r="G40" t="s">
        <v>16</v>
      </c>
      <c r="H40" t="s">
        <v>9</v>
      </c>
      <c r="I40" t="s">
        <v>12</v>
      </c>
    </row>
    <row r="41" spans="1:9" x14ac:dyDescent="0.2">
      <c r="A41" t="s">
        <v>80</v>
      </c>
      <c r="B41">
        <v>-1.6315799999999998E-2</v>
      </c>
      <c r="C41">
        <v>0.27378226</v>
      </c>
      <c r="D41">
        <v>60.640685099999999</v>
      </c>
      <c r="E41">
        <v>-0.56384279999999998</v>
      </c>
      <c r="F41">
        <v>0.53121130000000005</v>
      </c>
      <c r="G41" t="s">
        <v>16</v>
      </c>
      <c r="H41" t="s">
        <v>9</v>
      </c>
      <c r="I41" t="s">
        <v>13</v>
      </c>
    </row>
    <row r="42" spans="1:9" x14ac:dyDescent="0.2">
      <c r="A42" t="s">
        <v>81</v>
      </c>
      <c r="B42">
        <v>1.51676283</v>
      </c>
      <c r="C42">
        <v>6.1832520000000002E-2</v>
      </c>
      <c r="D42">
        <v>80.8089674</v>
      </c>
      <c r="E42">
        <v>1.3937310999999999</v>
      </c>
      <c r="F42">
        <v>1.6397945700000001</v>
      </c>
      <c r="G42" t="s">
        <v>16</v>
      </c>
      <c r="H42" t="s">
        <v>9</v>
      </c>
      <c r="I42" t="s">
        <v>13</v>
      </c>
    </row>
    <row r="43" spans="1:9" x14ac:dyDescent="0.2">
      <c r="A43" t="s">
        <v>82</v>
      </c>
      <c r="B43">
        <v>1.43023218</v>
      </c>
      <c r="C43">
        <v>7.9591259999999997E-2</v>
      </c>
      <c r="D43">
        <v>72.179353300000002</v>
      </c>
      <c r="E43">
        <v>1.2715766500000001</v>
      </c>
      <c r="F43">
        <v>1.58888772</v>
      </c>
      <c r="G43" t="s">
        <v>16</v>
      </c>
      <c r="H43" t="s">
        <v>9</v>
      </c>
      <c r="I43" t="s">
        <v>13</v>
      </c>
    </row>
    <row r="44" spans="1:9" x14ac:dyDescent="0.2">
      <c r="A44" t="s">
        <v>83</v>
      </c>
      <c r="B44">
        <v>1.5730641000000001</v>
      </c>
      <c r="C44">
        <v>9.0048260000000005E-2</v>
      </c>
      <c r="D44">
        <v>61.784274600000003</v>
      </c>
      <c r="E44">
        <v>1.3930476899999999</v>
      </c>
      <c r="F44">
        <v>1.75308051</v>
      </c>
      <c r="G44" t="s">
        <v>16</v>
      </c>
      <c r="H44" t="s">
        <v>9</v>
      </c>
      <c r="I44" t="s">
        <v>13</v>
      </c>
    </row>
    <row r="45" spans="1:9" x14ac:dyDescent="0.2">
      <c r="A45" t="s">
        <v>84</v>
      </c>
      <c r="B45">
        <v>1.5161081199999999</v>
      </c>
      <c r="C45">
        <v>7.0816180000000006E-2</v>
      </c>
      <c r="D45">
        <v>86.244466500000001</v>
      </c>
      <c r="E45">
        <v>1.37533591</v>
      </c>
      <c r="F45">
        <v>1.6568803400000001</v>
      </c>
      <c r="G45" t="s">
        <v>16</v>
      </c>
      <c r="H45" t="s">
        <v>9</v>
      </c>
      <c r="I45" t="s">
        <v>14</v>
      </c>
    </row>
    <row r="46" spans="1:9" x14ac:dyDescent="0.2">
      <c r="A46" t="s">
        <v>85</v>
      </c>
      <c r="B46">
        <v>1.46983094</v>
      </c>
      <c r="C46">
        <v>8.1956719999999997E-2</v>
      </c>
      <c r="D46">
        <v>65.3815539</v>
      </c>
      <c r="E46">
        <v>1.3061701800000001</v>
      </c>
      <c r="F46">
        <v>1.6334917</v>
      </c>
      <c r="G46" t="s">
        <v>16</v>
      </c>
      <c r="H46" t="s">
        <v>9</v>
      </c>
      <c r="I46" t="s">
        <v>14</v>
      </c>
    </row>
    <row r="47" spans="1:9" x14ac:dyDescent="0.2">
      <c r="A47" t="s">
        <v>86</v>
      </c>
      <c r="B47">
        <v>1.5547373</v>
      </c>
      <c r="C47">
        <v>9.2850619999999995E-2</v>
      </c>
      <c r="D47">
        <v>67.541598500000006</v>
      </c>
      <c r="E47">
        <v>1.3694339900000001</v>
      </c>
      <c r="F47">
        <v>1.7400406100000001</v>
      </c>
      <c r="G47" t="s">
        <v>16</v>
      </c>
      <c r="H47" t="s">
        <v>9</v>
      </c>
      <c r="I47" t="s">
        <v>14</v>
      </c>
    </row>
    <row r="48" spans="1:9" x14ac:dyDescent="0.2">
      <c r="A48" t="s">
        <v>87</v>
      </c>
      <c r="B48">
        <v>-6.3524000000000002E-3</v>
      </c>
      <c r="C48">
        <v>0.2768331</v>
      </c>
      <c r="D48">
        <v>61.938612800000001</v>
      </c>
      <c r="E48">
        <v>-0.55974480000000004</v>
      </c>
      <c r="F48">
        <v>0.54703997999999998</v>
      </c>
      <c r="G48" t="s">
        <v>16</v>
      </c>
      <c r="H48" t="s">
        <v>9</v>
      </c>
      <c r="I48" t="s">
        <v>14</v>
      </c>
    </row>
    <row r="49" spans="1:9" x14ac:dyDescent="0.2">
      <c r="A49" t="s">
        <v>88</v>
      </c>
      <c r="B49">
        <v>1.46639494</v>
      </c>
      <c r="C49">
        <v>0.11043675999999999</v>
      </c>
      <c r="D49">
        <v>60.7988328</v>
      </c>
      <c r="E49">
        <v>1.2455482200000001</v>
      </c>
      <c r="F49">
        <v>1.68724166</v>
      </c>
      <c r="G49" t="s">
        <v>16</v>
      </c>
      <c r="H49" t="s">
        <v>9</v>
      </c>
      <c r="I49" t="s">
        <v>14</v>
      </c>
    </row>
    <row r="50" spans="1:9" x14ac:dyDescent="0.2">
      <c r="A50" t="s">
        <v>73</v>
      </c>
      <c r="B50">
        <v>1.4542797300000001</v>
      </c>
      <c r="C50">
        <v>0.96331697000000005</v>
      </c>
      <c r="D50">
        <v>193.152286</v>
      </c>
      <c r="E50">
        <v>-0.44569140000000002</v>
      </c>
      <c r="F50">
        <v>3.3542508600000001</v>
      </c>
      <c r="G50" t="s">
        <v>16</v>
      </c>
      <c r="H50" t="s">
        <v>15</v>
      </c>
      <c r="I50" t="s">
        <v>10</v>
      </c>
    </row>
    <row r="51" spans="1:9" x14ac:dyDescent="0.2">
      <c r="A51" t="s">
        <v>74</v>
      </c>
      <c r="B51">
        <v>0.72264647000000004</v>
      </c>
      <c r="C51">
        <v>0.69640983999999995</v>
      </c>
      <c r="D51">
        <v>152.95675299999999</v>
      </c>
      <c r="E51">
        <v>-0.65317720000000001</v>
      </c>
      <c r="F51">
        <v>2.0984701100000001</v>
      </c>
      <c r="G51" t="s">
        <v>16</v>
      </c>
      <c r="H51" t="s">
        <v>15</v>
      </c>
      <c r="I51" t="s">
        <v>10</v>
      </c>
    </row>
    <row r="52" spans="1:9" x14ac:dyDescent="0.2">
      <c r="A52" t="s">
        <v>75</v>
      </c>
      <c r="B52">
        <v>2.72919182</v>
      </c>
      <c r="C52">
        <v>1.0775063300000001</v>
      </c>
      <c r="D52">
        <v>131.89650399999999</v>
      </c>
      <c r="E52">
        <v>0.59776233000000001</v>
      </c>
      <c r="F52">
        <v>4.86062131</v>
      </c>
      <c r="G52" t="s">
        <v>16</v>
      </c>
      <c r="H52" t="s">
        <v>15</v>
      </c>
      <c r="I52" t="s">
        <v>10</v>
      </c>
    </row>
    <row r="53" spans="1:9" x14ac:dyDescent="0.2">
      <c r="A53" t="s">
        <v>76</v>
      </c>
      <c r="B53">
        <v>2.37487168</v>
      </c>
      <c r="C53">
        <v>0.69122779999999995</v>
      </c>
      <c r="D53">
        <v>128.66294099999999</v>
      </c>
      <c r="E53">
        <v>1.00722662</v>
      </c>
      <c r="F53">
        <v>3.7425167400000001</v>
      </c>
      <c r="G53" t="s">
        <v>16</v>
      </c>
      <c r="H53" t="s">
        <v>15</v>
      </c>
      <c r="I53" t="s">
        <v>10</v>
      </c>
    </row>
    <row r="54" spans="1:9" x14ac:dyDescent="0.2">
      <c r="A54" t="s">
        <v>77</v>
      </c>
      <c r="B54">
        <v>1.36575851</v>
      </c>
      <c r="C54">
        <v>0.91136119000000004</v>
      </c>
      <c r="D54">
        <v>173.83156700000001</v>
      </c>
      <c r="E54">
        <v>-0.43299949999999998</v>
      </c>
      <c r="F54">
        <v>3.1645165</v>
      </c>
      <c r="G54" t="s">
        <v>16</v>
      </c>
      <c r="H54" t="s">
        <v>15</v>
      </c>
      <c r="I54" t="s">
        <v>12</v>
      </c>
    </row>
    <row r="55" spans="1:9" x14ac:dyDescent="0.2">
      <c r="A55" t="s">
        <v>78</v>
      </c>
      <c r="B55">
        <v>1.6381924699999999</v>
      </c>
      <c r="C55">
        <v>0.56710722999999996</v>
      </c>
      <c r="D55">
        <v>223.93937399999999</v>
      </c>
      <c r="E55">
        <v>0.52064310999999996</v>
      </c>
      <c r="F55">
        <v>2.7557418400000002</v>
      </c>
      <c r="G55" t="s">
        <v>16</v>
      </c>
      <c r="H55" t="s">
        <v>15</v>
      </c>
      <c r="I55" t="s">
        <v>12</v>
      </c>
    </row>
    <row r="56" spans="1:9" x14ac:dyDescent="0.2">
      <c r="A56" t="s">
        <v>79</v>
      </c>
      <c r="B56">
        <v>3.0503173800000001</v>
      </c>
      <c r="C56">
        <v>1.3175183800000001</v>
      </c>
      <c r="D56">
        <v>130.12512000000001</v>
      </c>
      <c r="E56">
        <v>0.44378837999999998</v>
      </c>
      <c r="F56">
        <v>5.6568463800000002</v>
      </c>
      <c r="G56" t="s">
        <v>16</v>
      </c>
      <c r="H56" t="s">
        <v>15</v>
      </c>
      <c r="I56" t="s">
        <v>12</v>
      </c>
    </row>
    <row r="57" spans="1:9" x14ac:dyDescent="0.2">
      <c r="A57" t="s">
        <v>80</v>
      </c>
      <c r="B57">
        <v>0.13981479999999999</v>
      </c>
      <c r="C57">
        <v>1.5281696499999999</v>
      </c>
      <c r="D57">
        <v>10031.1446</v>
      </c>
      <c r="E57">
        <v>-2.8557041000000001</v>
      </c>
      <c r="F57">
        <v>3.1353337300000002</v>
      </c>
      <c r="G57" t="s">
        <v>16</v>
      </c>
      <c r="H57" t="s">
        <v>15</v>
      </c>
      <c r="I57" t="s">
        <v>13</v>
      </c>
    </row>
    <row r="58" spans="1:9" x14ac:dyDescent="0.2">
      <c r="A58" t="s">
        <v>81</v>
      </c>
      <c r="B58">
        <v>1.47133643</v>
      </c>
      <c r="C58">
        <v>0.89875404999999997</v>
      </c>
      <c r="D58">
        <v>26749.070500000002</v>
      </c>
      <c r="E58">
        <v>-0.29026879999999999</v>
      </c>
      <c r="F58">
        <v>3.23294171</v>
      </c>
      <c r="G58" t="s">
        <v>16</v>
      </c>
      <c r="H58" t="s">
        <v>15</v>
      </c>
      <c r="I58" t="s">
        <v>13</v>
      </c>
    </row>
    <row r="59" spans="1:9" x14ac:dyDescent="0.2">
      <c r="A59" t="s">
        <v>82</v>
      </c>
      <c r="B59">
        <v>1.71448347</v>
      </c>
      <c r="C59">
        <v>0.88083054999999999</v>
      </c>
      <c r="D59">
        <v>5208.86654</v>
      </c>
      <c r="E59">
        <v>-1.2313899999999999E-2</v>
      </c>
      <c r="F59">
        <v>3.4412808699999999</v>
      </c>
      <c r="G59" t="s">
        <v>16</v>
      </c>
      <c r="H59" t="s">
        <v>15</v>
      </c>
      <c r="I59" t="s">
        <v>13</v>
      </c>
    </row>
    <row r="60" spans="1:9" x14ac:dyDescent="0.2">
      <c r="A60" t="s">
        <v>83</v>
      </c>
      <c r="B60">
        <v>1.77108603</v>
      </c>
      <c r="C60">
        <v>0.70469208000000005</v>
      </c>
      <c r="D60">
        <v>4369.6603800000003</v>
      </c>
      <c r="E60">
        <v>0.38953226000000002</v>
      </c>
      <c r="F60">
        <v>3.1526398000000002</v>
      </c>
      <c r="G60" t="s">
        <v>16</v>
      </c>
      <c r="H60" t="s">
        <v>15</v>
      </c>
      <c r="I60" t="s">
        <v>13</v>
      </c>
    </row>
    <row r="61" spans="1:9" x14ac:dyDescent="0.2">
      <c r="A61" t="s">
        <v>84</v>
      </c>
      <c r="B61">
        <v>0.19428427000000001</v>
      </c>
      <c r="C61">
        <v>1.90025935</v>
      </c>
      <c r="D61">
        <v>79.494664799999995</v>
      </c>
      <c r="E61">
        <v>-3.5877213999999999</v>
      </c>
      <c r="F61">
        <v>3.9762899599999999</v>
      </c>
      <c r="G61" t="s">
        <v>16</v>
      </c>
      <c r="H61" t="s">
        <v>15</v>
      </c>
      <c r="I61" t="s">
        <v>14</v>
      </c>
    </row>
    <row r="62" spans="1:9" x14ac:dyDescent="0.2">
      <c r="A62" t="s">
        <v>85</v>
      </c>
      <c r="B62">
        <v>2.0388499499999999</v>
      </c>
      <c r="C62">
        <v>1.83135366</v>
      </c>
      <c r="D62">
        <v>212.05715000000001</v>
      </c>
      <c r="E62">
        <v>-1.57114</v>
      </c>
      <c r="F62">
        <v>5.6488398599999998</v>
      </c>
      <c r="G62" t="s">
        <v>16</v>
      </c>
      <c r="H62" t="s">
        <v>15</v>
      </c>
      <c r="I62" t="s">
        <v>14</v>
      </c>
    </row>
    <row r="63" spans="1:9" x14ac:dyDescent="0.2">
      <c r="A63" t="s">
        <v>86</v>
      </c>
      <c r="B63">
        <v>2.3854932099999999</v>
      </c>
      <c r="C63">
        <v>0.84919686999999999</v>
      </c>
      <c r="D63">
        <v>147.425838</v>
      </c>
      <c r="E63">
        <v>0.70732231000000001</v>
      </c>
      <c r="F63">
        <v>4.0636641100000004</v>
      </c>
      <c r="G63" t="s">
        <v>16</v>
      </c>
      <c r="H63" t="s">
        <v>15</v>
      </c>
      <c r="I63" t="s">
        <v>14</v>
      </c>
    </row>
    <row r="64" spans="1:9" x14ac:dyDescent="0.2">
      <c r="A64" t="s">
        <v>87</v>
      </c>
      <c r="B64">
        <v>0.79023905000000005</v>
      </c>
      <c r="C64">
        <v>1.34590944</v>
      </c>
      <c r="D64">
        <v>155.21768900000001</v>
      </c>
      <c r="E64">
        <v>-1.8684238</v>
      </c>
      <c r="F64">
        <v>3.44890191</v>
      </c>
      <c r="G64" t="s">
        <v>16</v>
      </c>
      <c r="H64" t="s">
        <v>15</v>
      </c>
      <c r="I64" t="s">
        <v>14</v>
      </c>
    </row>
    <row r="65" spans="1:9" x14ac:dyDescent="0.2">
      <c r="A65" t="s">
        <v>88</v>
      </c>
      <c r="B65">
        <v>1.62993386</v>
      </c>
      <c r="C65">
        <v>0.86137182000000001</v>
      </c>
      <c r="D65">
        <v>160.12464199999999</v>
      </c>
      <c r="E65">
        <v>-7.1180599999999997E-2</v>
      </c>
      <c r="F65">
        <v>3.3310483299999998</v>
      </c>
      <c r="G65" t="s">
        <v>16</v>
      </c>
      <c r="H65" t="s">
        <v>15</v>
      </c>
      <c r="I65" t="s">
        <v>14</v>
      </c>
    </row>
    <row r="66" spans="1:9" x14ac:dyDescent="0.2">
      <c r="A66" t="s">
        <v>73</v>
      </c>
      <c r="B66">
        <v>-1.6096398999999999</v>
      </c>
      <c r="C66">
        <v>9.0507619999999997E-2</v>
      </c>
      <c r="D66">
        <v>78.050173299999997</v>
      </c>
      <c r="E66">
        <v>-1.7898248999999999</v>
      </c>
      <c r="F66">
        <v>-1.4294549000000001</v>
      </c>
      <c r="G66" t="s">
        <v>19</v>
      </c>
      <c r="H66" t="s">
        <v>9</v>
      </c>
      <c r="I66" t="s">
        <v>10</v>
      </c>
    </row>
    <row r="67" spans="1:9" x14ac:dyDescent="0.2">
      <c r="A67" t="s">
        <v>74</v>
      </c>
      <c r="B67">
        <v>-1.7457421</v>
      </c>
      <c r="C67">
        <v>0.11797404</v>
      </c>
      <c r="D67">
        <v>91.147914999999998</v>
      </c>
      <c r="E67">
        <v>-1.9800778999999999</v>
      </c>
      <c r="F67">
        <v>-1.5114063</v>
      </c>
      <c r="G67" t="s">
        <v>19</v>
      </c>
      <c r="H67" t="s">
        <v>9</v>
      </c>
      <c r="I67" t="s">
        <v>10</v>
      </c>
    </row>
    <row r="68" spans="1:9" x14ac:dyDescent="0.2">
      <c r="A68" t="s">
        <v>75</v>
      </c>
      <c r="B68">
        <v>-0.95344039999999997</v>
      </c>
      <c r="C68">
        <v>0.30069754999999998</v>
      </c>
      <c r="D68">
        <v>83.070454100000006</v>
      </c>
      <c r="E68">
        <v>-1.5515082</v>
      </c>
      <c r="F68">
        <v>-0.35537249999999998</v>
      </c>
      <c r="G68" t="s">
        <v>19</v>
      </c>
      <c r="H68" t="s">
        <v>9</v>
      </c>
      <c r="I68" t="s">
        <v>10</v>
      </c>
    </row>
    <row r="69" spans="1:9" x14ac:dyDescent="0.2">
      <c r="A69" t="s">
        <v>76</v>
      </c>
      <c r="B69">
        <v>-1.9369578000000001</v>
      </c>
      <c r="C69">
        <v>0.15467291</v>
      </c>
      <c r="D69">
        <v>79.798083700000007</v>
      </c>
      <c r="E69">
        <v>-2.2447786000000001</v>
      </c>
      <c r="F69">
        <v>-1.6291369</v>
      </c>
      <c r="G69" t="s">
        <v>19</v>
      </c>
      <c r="H69" t="s">
        <v>9</v>
      </c>
      <c r="I69" t="s">
        <v>10</v>
      </c>
    </row>
    <row r="70" spans="1:9" x14ac:dyDescent="0.2">
      <c r="A70" t="s">
        <v>89</v>
      </c>
      <c r="B70">
        <v>-3.8390363000000001</v>
      </c>
      <c r="C70">
        <v>0.61273045000000004</v>
      </c>
      <c r="D70">
        <v>152.253501</v>
      </c>
      <c r="E70">
        <v>-5.0495878999999997</v>
      </c>
      <c r="F70">
        <v>-2.6284846000000002</v>
      </c>
      <c r="G70" t="s">
        <v>19</v>
      </c>
      <c r="H70" t="s">
        <v>9</v>
      </c>
      <c r="I70" t="s">
        <v>12</v>
      </c>
    </row>
    <row r="71" spans="1:9" x14ac:dyDescent="0.2">
      <c r="A71" t="s">
        <v>90</v>
      </c>
      <c r="B71">
        <v>-3.3958523999999999</v>
      </c>
      <c r="C71">
        <v>0.68178320000000003</v>
      </c>
      <c r="D71">
        <v>204.64313899999999</v>
      </c>
      <c r="E71">
        <v>-4.7400725000000001</v>
      </c>
      <c r="F71">
        <v>-2.0516323000000001</v>
      </c>
      <c r="G71" t="s">
        <v>19</v>
      </c>
      <c r="H71" t="s">
        <v>9</v>
      </c>
      <c r="I71" t="s">
        <v>12</v>
      </c>
    </row>
    <row r="72" spans="1:9" x14ac:dyDescent="0.2">
      <c r="A72" t="s">
        <v>77</v>
      </c>
      <c r="B72">
        <v>-1.5426911999999999</v>
      </c>
      <c r="C72">
        <v>0.12447323</v>
      </c>
      <c r="D72">
        <v>96.871675499999995</v>
      </c>
      <c r="E72">
        <v>-1.7897402</v>
      </c>
      <c r="F72">
        <v>-1.2956422000000001</v>
      </c>
      <c r="G72" t="s">
        <v>19</v>
      </c>
      <c r="H72" t="s">
        <v>9</v>
      </c>
      <c r="I72" t="s">
        <v>12</v>
      </c>
    </row>
    <row r="73" spans="1:9" x14ac:dyDescent="0.2">
      <c r="A73" t="s">
        <v>78</v>
      </c>
      <c r="B73">
        <v>-1.6685812</v>
      </c>
      <c r="C73">
        <v>7.8850519999999993E-2</v>
      </c>
      <c r="D73">
        <v>74.8413769</v>
      </c>
      <c r="E73">
        <v>-1.8256650000000001</v>
      </c>
      <c r="F73">
        <v>-1.5114974999999999</v>
      </c>
      <c r="G73" t="s">
        <v>19</v>
      </c>
      <c r="H73" t="s">
        <v>9</v>
      </c>
      <c r="I73" t="s">
        <v>12</v>
      </c>
    </row>
    <row r="74" spans="1:9" x14ac:dyDescent="0.2">
      <c r="A74" t="s">
        <v>79</v>
      </c>
      <c r="B74">
        <v>-1.7648054</v>
      </c>
      <c r="C74">
        <v>0.16369576999999999</v>
      </c>
      <c r="D74">
        <v>75.692533299999994</v>
      </c>
      <c r="E74">
        <v>-2.0908552</v>
      </c>
      <c r="F74">
        <v>-1.4387555000000001</v>
      </c>
      <c r="G74" t="s">
        <v>19</v>
      </c>
      <c r="H74" t="s">
        <v>9</v>
      </c>
      <c r="I74" t="s">
        <v>12</v>
      </c>
    </row>
    <row r="75" spans="1:9" x14ac:dyDescent="0.2">
      <c r="A75" t="s">
        <v>80</v>
      </c>
      <c r="B75">
        <v>-1.5729911000000001</v>
      </c>
      <c r="C75">
        <v>0.36136311999999998</v>
      </c>
      <c r="D75">
        <v>194.904721</v>
      </c>
      <c r="E75">
        <v>-2.2856751000000002</v>
      </c>
      <c r="F75">
        <v>-0.86030709999999999</v>
      </c>
      <c r="G75" t="s">
        <v>19</v>
      </c>
      <c r="H75" t="s">
        <v>9</v>
      </c>
      <c r="I75" t="s">
        <v>13</v>
      </c>
    </row>
    <row r="76" spans="1:9" x14ac:dyDescent="0.2">
      <c r="A76" t="s">
        <v>81</v>
      </c>
      <c r="B76">
        <v>-1.6368045</v>
      </c>
      <c r="C76">
        <v>9.804446E-2</v>
      </c>
      <c r="D76">
        <v>84.9093108</v>
      </c>
      <c r="E76">
        <v>-1.8317462</v>
      </c>
      <c r="F76">
        <v>-1.4418629000000001</v>
      </c>
      <c r="G76" t="s">
        <v>19</v>
      </c>
      <c r="H76" t="s">
        <v>9</v>
      </c>
      <c r="I76" t="s">
        <v>13</v>
      </c>
    </row>
    <row r="77" spans="1:9" x14ac:dyDescent="0.2">
      <c r="A77" t="s">
        <v>82</v>
      </c>
      <c r="B77">
        <v>-1.6246073999999999</v>
      </c>
      <c r="C77">
        <v>0.12009606</v>
      </c>
      <c r="D77">
        <v>85.408770099999998</v>
      </c>
      <c r="E77">
        <v>-1.8633740999999999</v>
      </c>
      <c r="F77">
        <v>-1.3858408</v>
      </c>
      <c r="G77" t="s">
        <v>19</v>
      </c>
      <c r="H77" t="s">
        <v>9</v>
      </c>
      <c r="I77" t="s">
        <v>13</v>
      </c>
    </row>
    <row r="78" spans="1:9" x14ac:dyDescent="0.2">
      <c r="A78" t="s">
        <v>83</v>
      </c>
      <c r="B78">
        <v>-1.8343951999999999</v>
      </c>
      <c r="C78">
        <v>0.13555113999999999</v>
      </c>
      <c r="D78">
        <v>68.121674499999997</v>
      </c>
      <c r="E78">
        <v>-2.1048745000000002</v>
      </c>
      <c r="F78">
        <v>-1.5639158</v>
      </c>
      <c r="G78" t="s">
        <v>19</v>
      </c>
      <c r="H78" t="s">
        <v>9</v>
      </c>
      <c r="I78" t="s">
        <v>13</v>
      </c>
    </row>
    <row r="79" spans="1:9" x14ac:dyDescent="0.2">
      <c r="A79" t="s">
        <v>84</v>
      </c>
      <c r="B79">
        <v>-1.6204893</v>
      </c>
      <c r="C79">
        <v>0.12326622</v>
      </c>
      <c r="D79">
        <v>93.635199999999998</v>
      </c>
      <c r="E79">
        <v>-1.8652496999999999</v>
      </c>
      <c r="F79">
        <v>-1.3757288999999999</v>
      </c>
      <c r="G79" t="s">
        <v>19</v>
      </c>
      <c r="H79" t="s">
        <v>9</v>
      </c>
      <c r="I79" t="s">
        <v>14</v>
      </c>
    </row>
    <row r="80" spans="1:9" x14ac:dyDescent="0.2">
      <c r="A80" t="s">
        <v>85</v>
      </c>
      <c r="B80">
        <v>-1.6413017999999999</v>
      </c>
      <c r="C80">
        <v>0.13826376000000001</v>
      </c>
      <c r="D80">
        <v>68.935379400000002</v>
      </c>
      <c r="E80">
        <v>-1.9171351000000001</v>
      </c>
      <c r="F80">
        <v>-1.3654686</v>
      </c>
      <c r="G80" t="s">
        <v>19</v>
      </c>
      <c r="H80" t="s">
        <v>9</v>
      </c>
      <c r="I80" t="s">
        <v>14</v>
      </c>
    </row>
    <row r="81" spans="1:9" x14ac:dyDescent="0.2">
      <c r="A81" t="s">
        <v>86</v>
      </c>
      <c r="B81">
        <v>-1.7556118000000001</v>
      </c>
      <c r="C81">
        <v>0.13110329000000001</v>
      </c>
      <c r="D81">
        <v>82.620290699999998</v>
      </c>
      <c r="E81">
        <v>-2.0163886999999998</v>
      </c>
      <c r="F81">
        <v>-1.4948349000000001</v>
      </c>
      <c r="G81" t="s">
        <v>19</v>
      </c>
      <c r="H81" t="s">
        <v>9</v>
      </c>
      <c r="I81" t="s">
        <v>14</v>
      </c>
    </row>
    <row r="82" spans="1:9" x14ac:dyDescent="0.2">
      <c r="A82" t="s">
        <v>87</v>
      </c>
      <c r="B82">
        <v>-1.7906626999999999</v>
      </c>
      <c r="C82">
        <v>0.28650292999999999</v>
      </c>
      <c r="D82">
        <v>139.569658</v>
      </c>
      <c r="E82">
        <v>-2.3571095999999998</v>
      </c>
      <c r="F82">
        <v>-1.2242158000000001</v>
      </c>
      <c r="G82" t="s">
        <v>19</v>
      </c>
      <c r="H82" t="s">
        <v>9</v>
      </c>
      <c r="I82" t="s">
        <v>14</v>
      </c>
    </row>
    <row r="83" spans="1:9" x14ac:dyDescent="0.2">
      <c r="A83" t="s">
        <v>88</v>
      </c>
      <c r="B83">
        <v>-1.6753642</v>
      </c>
      <c r="C83">
        <v>0.15512064</v>
      </c>
      <c r="D83">
        <v>76.060236099999997</v>
      </c>
      <c r="E83">
        <v>-1.9843097999999999</v>
      </c>
      <c r="F83">
        <v>-1.3664186</v>
      </c>
      <c r="G83" t="s">
        <v>19</v>
      </c>
      <c r="H83" t="s">
        <v>9</v>
      </c>
      <c r="I83" t="s">
        <v>14</v>
      </c>
    </row>
    <row r="84" spans="1:9" x14ac:dyDescent="0.2">
      <c r="A84" t="s">
        <v>73</v>
      </c>
      <c r="B84">
        <v>-1.3270701</v>
      </c>
      <c r="C84">
        <v>0.23584243999999999</v>
      </c>
      <c r="D84">
        <v>30.612959499999999</v>
      </c>
      <c r="E84">
        <v>-1.8083205</v>
      </c>
      <c r="F84">
        <v>-0.84581969999999995</v>
      </c>
      <c r="G84" t="s">
        <v>19</v>
      </c>
      <c r="H84" t="s">
        <v>15</v>
      </c>
      <c r="I84" t="s">
        <v>10</v>
      </c>
    </row>
    <row r="85" spans="1:9" x14ac:dyDescent="0.2">
      <c r="A85" t="s">
        <v>74</v>
      </c>
      <c r="B85">
        <v>-1.5036948000000001</v>
      </c>
      <c r="C85">
        <v>0.24164013000000001</v>
      </c>
      <c r="D85">
        <v>33.780358200000002</v>
      </c>
      <c r="E85">
        <v>-1.9948843000000001</v>
      </c>
      <c r="F85">
        <v>-1.0125052999999999</v>
      </c>
      <c r="G85" t="s">
        <v>19</v>
      </c>
      <c r="H85" t="s">
        <v>15</v>
      </c>
      <c r="I85" t="s">
        <v>10</v>
      </c>
    </row>
    <row r="86" spans="1:9" x14ac:dyDescent="0.2">
      <c r="A86" t="s">
        <v>75</v>
      </c>
      <c r="B86">
        <v>-0.34628100000000001</v>
      </c>
      <c r="C86">
        <v>0.45260758000000001</v>
      </c>
      <c r="D86">
        <v>34.143838100000004</v>
      </c>
      <c r="E86">
        <v>-1.2659476000000001</v>
      </c>
      <c r="F86">
        <v>0.57338553999999997</v>
      </c>
      <c r="G86" t="s">
        <v>19</v>
      </c>
      <c r="H86" t="s">
        <v>15</v>
      </c>
      <c r="I86" t="s">
        <v>10</v>
      </c>
    </row>
    <row r="87" spans="1:9" x14ac:dyDescent="0.2">
      <c r="A87" t="s">
        <v>76</v>
      </c>
      <c r="B87">
        <v>-2.0295025999999998</v>
      </c>
      <c r="C87">
        <v>0.23734784</v>
      </c>
      <c r="D87">
        <v>31.526373799999998</v>
      </c>
      <c r="E87">
        <v>-2.5132493999999999</v>
      </c>
      <c r="F87">
        <v>-1.5457559000000001</v>
      </c>
      <c r="G87" t="s">
        <v>19</v>
      </c>
      <c r="H87" t="s">
        <v>15</v>
      </c>
      <c r="I87" t="s">
        <v>10</v>
      </c>
    </row>
    <row r="88" spans="1:9" x14ac:dyDescent="0.2">
      <c r="A88" t="s">
        <v>77</v>
      </c>
      <c r="B88">
        <v>-1.9070867</v>
      </c>
      <c r="C88">
        <v>0.36111167</v>
      </c>
      <c r="D88">
        <v>27.7198885</v>
      </c>
      <c r="E88">
        <v>-2.6471273000000002</v>
      </c>
      <c r="F88">
        <v>-1.1670461000000001</v>
      </c>
      <c r="G88" t="s">
        <v>19</v>
      </c>
      <c r="H88" t="s">
        <v>15</v>
      </c>
      <c r="I88" t="s">
        <v>12</v>
      </c>
    </row>
    <row r="89" spans="1:9" x14ac:dyDescent="0.2">
      <c r="A89" t="s">
        <v>78</v>
      </c>
      <c r="B89">
        <v>-1.3462168000000001</v>
      </c>
      <c r="C89">
        <v>0.19079009</v>
      </c>
      <c r="D89">
        <v>34.630466599999998</v>
      </c>
      <c r="E89">
        <v>-1.7336891000000001</v>
      </c>
      <c r="F89">
        <v>-0.9587445</v>
      </c>
      <c r="G89" t="s">
        <v>19</v>
      </c>
      <c r="H89" t="s">
        <v>15</v>
      </c>
      <c r="I89" t="s">
        <v>12</v>
      </c>
    </row>
    <row r="90" spans="1:9" x14ac:dyDescent="0.2">
      <c r="A90" t="s">
        <v>79</v>
      </c>
      <c r="B90">
        <v>-1.9264291</v>
      </c>
      <c r="C90">
        <v>0.41826727000000002</v>
      </c>
      <c r="D90">
        <v>28.105557099999999</v>
      </c>
      <c r="E90">
        <v>-2.7830658000000001</v>
      </c>
      <c r="F90">
        <v>-1.0697923</v>
      </c>
      <c r="G90" t="s">
        <v>19</v>
      </c>
      <c r="H90" t="s">
        <v>15</v>
      </c>
      <c r="I90" t="s">
        <v>12</v>
      </c>
    </row>
    <row r="91" spans="1:9" x14ac:dyDescent="0.2">
      <c r="A91" t="s">
        <v>80</v>
      </c>
      <c r="B91">
        <v>-1.0023148</v>
      </c>
      <c r="C91">
        <v>0.37242804000000002</v>
      </c>
      <c r="D91">
        <v>32.603954999999999</v>
      </c>
      <c r="E91">
        <v>-1.7603751999999999</v>
      </c>
      <c r="F91">
        <v>-0.24425450000000001</v>
      </c>
      <c r="G91" t="s">
        <v>19</v>
      </c>
      <c r="H91" t="s">
        <v>15</v>
      </c>
      <c r="I91" t="s">
        <v>13</v>
      </c>
    </row>
    <row r="92" spans="1:9" x14ac:dyDescent="0.2">
      <c r="A92" t="s">
        <v>81</v>
      </c>
      <c r="B92">
        <v>-1.0361853000000001</v>
      </c>
      <c r="C92">
        <v>0.28410264000000002</v>
      </c>
      <c r="D92">
        <v>30.741290200000002</v>
      </c>
      <c r="E92">
        <v>-1.6158142</v>
      </c>
      <c r="F92">
        <v>-0.45655639999999997</v>
      </c>
      <c r="G92" t="s">
        <v>19</v>
      </c>
      <c r="H92" t="s">
        <v>15</v>
      </c>
      <c r="I92" t="s">
        <v>13</v>
      </c>
    </row>
    <row r="93" spans="1:9" x14ac:dyDescent="0.2">
      <c r="A93" t="s">
        <v>82</v>
      </c>
      <c r="B93">
        <v>-1.4132197</v>
      </c>
      <c r="C93">
        <v>0.26658179999999998</v>
      </c>
      <c r="D93">
        <v>34.337664500000002</v>
      </c>
      <c r="E93">
        <v>-1.9547829000000001</v>
      </c>
      <c r="F93">
        <v>-0.87165649999999995</v>
      </c>
      <c r="G93" t="s">
        <v>19</v>
      </c>
      <c r="H93" t="s">
        <v>15</v>
      </c>
      <c r="I93" t="s">
        <v>13</v>
      </c>
    </row>
    <row r="94" spans="1:9" x14ac:dyDescent="0.2">
      <c r="A94" t="s">
        <v>83</v>
      </c>
      <c r="B94">
        <v>-2.0595488</v>
      </c>
      <c r="C94">
        <v>0.21471396000000001</v>
      </c>
      <c r="D94">
        <v>32.930900200000004</v>
      </c>
      <c r="E94">
        <v>-2.4964225</v>
      </c>
      <c r="F94">
        <v>-1.6226750999999999</v>
      </c>
      <c r="G94" t="s">
        <v>19</v>
      </c>
      <c r="H94" t="s">
        <v>15</v>
      </c>
      <c r="I94" t="s">
        <v>13</v>
      </c>
    </row>
    <row r="95" spans="1:9" x14ac:dyDescent="0.2">
      <c r="A95" t="s">
        <v>84</v>
      </c>
      <c r="B95">
        <v>-1.4607250000000001</v>
      </c>
      <c r="C95">
        <v>0.46702697999999998</v>
      </c>
      <c r="D95">
        <v>31.466041799999999</v>
      </c>
      <c r="E95">
        <v>-2.4126614000000002</v>
      </c>
      <c r="F95">
        <v>-0.50878869999999998</v>
      </c>
      <c r="G95" t="s">
        <v>19</v>
      </c>
      <c r="H95" t="s">
        <v>15</v>
      </c>
      <c r="I95" t="s">
        <v>14</v>
      </c>
    </row>
    <row r="96" spans="1:9" x14ac:dyDescent="0.2">
      <c r="A96" t="s">
        <v>85</v>
      </c>
      <c r="B96">
        <v>-2.0207123</v>
      </c>
      <c r="C96">
        <v>0.46646006000000001</v>
      </c>
      <c r="D96">
        <v>31.415551099999998</v>
      </c>
      <c r="E96">
        <v>-2.9715541000000001</v>
      </c>
      <c r="F96">
        <v>-1.0698704999999999</v>
      </c>
      <c r="G96" t="s">
        <v>19</v>
      </c>
      <c r="H96" t="s">
        <v>15</v>
      </c>
      <c r="I96" t="s">
        <v>14</v>
      </c>
    </row>
    <row r="97" spans="1:9" x14ac:dyDescent="0.2">
      <c r="A97" t="s">
        <v>86</v>
      </c>
      <c r="B97">
        <v>-1.8697398999999999</v>
      </c>
      <c r="C97">
        <v>0.21194745000000001</v>
      </c>
      <c r="D97">
        <v>33.4916287</v>
      </c>
      <c r="E97">
        <v>-2.3007099000000002</v>
      </c>
      <c r="F97">
        <v>-1.4387699</v>
      </c>
      <c r="G97" t="s">
        <v>19</v>
      </c>
      <c r="H97" t="s">
        <v>15</v>
      </c>
      <c r="I97" t="s">
        <v>14</v>
      </c>
    </row>
    <row r="98" spans="1:9" x14ac:dyDescent="0.2">
      <c r="A98" t="s">
        <v>87</v>
      </c>
      <c r="B98">
        <v>-0.67799739999999997</v>
      </c>
      <c r="C98">
        <v>0.47305314999999998</v>
      </c>
      <c r="D98">
        <v>32.787805200000001</v>
      </c>
      <c r="E98">
        <v>-1.640668</v>
      </c>
      <c r="F98">
        <v>0.28467314999999999</v>
      </c>
      <c r="G98" t="s">
        <v>19</v>
      </c>
      <c r="H98" t="s">
        <v>15</v>
      </c>
      <c r="I98" t="s">
        <v>14</v>
      </c>
    </row>
    <row r="99" spans="1:9" x14ac:dyDescent="0.2">
      <c r="A99" t="s">
        <v>88</v>
      </c>
      <c r="B99">
        <v>-1.1383852000000001</v>
      </c>
      <c r="C99">
        <v>0.26043043999999999</v>
      </c>
      <c r="D99">
        <v>38.005833299999999</v>
      </c>
      <c r="E99">
        <v>-1.6655964000000001</v>
      </c>
      <c r="F99">
        <v>-0.611174</v>
      </c>
      <c r="G99" t="s">
        <v>19</v>
      </c>
      <c r="H99" t="s">
        <v>15</v>
      </c>
      <c r="I99" t="s">
        <v>14</v>
      </c>
    </row>
    <row r="100" spans="1:9" x14ac:dyDescent="0.2">
      <c r="A100" t="s">
        <v>73</v>
      </c>
      <c r="B100">
        <v>-0.42608040000000003</v>
      </c>
      <c r="C100">
        <v>9.2663029999999993E-2</v>
      </c>
      <c r="D100">
        <v>77.049846700000003</v>
      </c>
      <c r="E100">
        <v>-0.61059419999999998</v>
      </c>
      <c r="F100">
        <v>-0.2415667</v>
      </c>
      <c r="G100" t="s">
        <v>20</v>
      </c>
      <c r="H100" t="s">
        <v>9</v>
      </c>
      <c r="I100" t="s">
        <v>10</v>
      </c>
    </row>
    <row r="101" spans="1:9" x14ac:dyDescent="0.2">
      <c r="A101" t="s">
        <v>74</v>
      </c>
      <c r="B101">
        <v>-0.25522010000000001</v>
      </c>
      <c r="C101">
        <v>0.12633438999999999</v>
      </c>
      <c r="D101">
        <v>75.395452000000006</v>
      </c>
      <c r="E101">
        <v>-0.50686949999999997</v>
      </c>
      <c r="F101">
        <v>-3.5707E-3</v>
      </c>
      <c r="G101" t="s">
        <v>20</v>
      </c>
      <c r="H101" t="s">
        <v>9</v>
      </c>
      <c r="I101" t="s">
        <v>10</v>
      </c>
    </row>
    <row r="102" spans="1:9" x14ac:dyDescent="0.2">
      <c r="A102" t="s">
        <v>75</v>
      </c>
      <c r="B102">
        <v>0.63692185000000001</v>
      </c>
      <c r="C102">
        <v>0.32358225000000002</v>
      </c>
      <c r="D102">
        <v>79.671167999999994</v>
      </c>
      <c r="E102">
        <v>-7.0682000000000002E-3</v>
      </c>
      <c r="F102">
        <v>1.28091186</v>
      </c>
      <c r="G102" t="s">
        <v>20</v>
      </c>
      <c r="H102" t="s">
        <v>9</v>
      </c>
      <c r="I102" t="s">
        <v>10</v>
      </c>
    </row>
    <row r="103" spans="1:9" x14ac:dyDescent="0.2">
      <c r="A103" t="s">
        <v>76</v>
      </c>
      <c r="B103">
        <v>-0.19573670000000001</v>
      </c>
      <c r="C103">
        <v>0.18432960000000001</v>
      </c>
      <c r="D103">
        <v>74.793271700000005</v>
      </c>
      <c r="E103">
        <v>-0.56295669999999998</v>
      </c>
      <c r="F103">
        <v>0.17148334000000001</v>
      </c>
      <c r="G103" t="s">
        <v>20</v>
      </c>
      <c r="H103" t="s">
        <v>9</v>
      </c>
      <c r="I103" t="s">
        <v>10</v>
      </c>
    </row>
    <row r="104" spans="1:9" x14ac:dyDescent="0.2">
      <c r="A104" t="s">
        <v>77</v>
      </c>
      <c r="B104">
        <v>-0.29034749999999998</v>
      </c>
      <c r="C104">
        <v>0.1441827</v>
      </c>
      <c r="D104">
        <v>98.957735900000003</v>
      </c>
      <c r="E104">
        <v>-0.57643869999999997</v>
      </c>
      <c r="F104">
        <v>-4.2561999999999999E-3</v>
      </c>
      <c r="G104" t="s">
        <v>20</v>
      </c>
      <c r="H104" t="s">
        <v>9</v>
      </c>
      <c r="I104" t="s">
        <v>12</v>
      </c>
    </row>
    <row r="105" spans="1:9" x14ac:dyDescent="0.2">
      <c r="A105" t="s">
        <v>78</v>
      </c>
      <c r="B105">
        <v>-0.31147809999999998</v>
      </c>
      <c r="C105">
        <v>8.8081789999999993E-2</v>
      </c>
      <c r="D105">
        <v>66.676038000000005</v>
      </c>
      <c r="E105">
        <v>-0.48730580000000001</v>
      </c>
      <c r="F105">
        <v>-0.1356504</v>
      </c>
      <c r="G105" t="s">
        <v>20</v>
      </c>
      <c r="H105" t="s">
        <v>9</v>
      </c>
      <c r="I105" t="s">
        <v>12</v>
      </c>
    </row>
    <row r="106" spans="1:9" x14ac:dyDescent="0.2">
      <c r="A106" t="s">
        <v>79</v>
      </c>
      <c r="B106">
        <v>-0.2400014</v>
      </c>
      <c r="C106">
        <v>0.23380049999999999</v>
      </c>
      <c r="D106">
        <v>96.738393200000004</v>
      </c>
      <c r="E106">
        <v>-0.70404650000000002</v>
      </c>
      <c r="F106">
        <v>0.22404377</v>
      </c>
      <c r="G106" t="s">
        <v>20</v>
      </c>
      <c r="H106" t="s">
        <v>9</v>
      </c>
      <c r="I106" t="s">
        <v>12</v>
      </c>
    </row>
    <row r="107" spans="1:9" x14ac:dyDescent="0.2">
      <c r="A107" t="s">
        <v>80</v>
      </c>
      <c r="B107">
        <v>-0.934195</v>
      </c>
      <c r="C107">
        <v>0.63542317999999998</v>
      </c>
      <c r="D107">
        <v>147.37218100000001</v>
      </c>
      <c r="E107">
        <v>-2.1899131999999999</v>
      </c>
      <c r="F107">
        <v>0.32152311</v>
      </c>
      <c r="G107" t="s">
        <v>20</v>
      </c>
      <c r="H107" t="s">
        <v>9</v>
      </c>
      <c r="I107" t="s">
        <v>13</v>
      </c>
    </row>
    <row r="108" spans="1:9" x14ac:dyDescent="0.2">
      <c r="A108" t="s">
        <v>81</v>
      </c>
      <c r="B108">
        <v>-0.29698770000000002</v>
      </c>
      <c r="C108">
        <v>0.10047760999999999</v>
      </c>
      <c r="D108">
        <v>81.146687900000003</v>
      </c>
      <c r="E108">
        <v>-0.49690109999999998</v>
      </c>
      <c r="F108">
        <v>-9.7074199999999999E-2</v>
      </c>
      <c r="G108" t="s">
        <v>20</v>
      </c>
      <c r="H108" t="s">
        <v>9</v>
      </c>
      <c r="I108" t="s">
        <v>13</v>
      </c>
    </row>
    <row r="109" spans="1:9" x14ac:dyDescent="0.2">
      <c r="A109" t="s">
        <v>82</v>
      </c>
      <c r="B109">
        <v>-0.34110829999999998</v>
      </c>
      <c r="C109">
        <v>0.14089403</v>
      </c>
      <c r="D109">
        <v>78.376020199999999</v>
      </c>
      <c r="E109">
        <v>-0.62158550000000001</v>
      </c>
      <c r="F109">
        <v>-6.0630999999999997E-2</v>
      </c>
      <c r="G109" t="s">
        <v>20</v>
      </c>
      <c r="H109" t="s">
        <v>9</v>
      </c>
      <c r="I109" t="s">
        <v>13</v>
      </c>
    </row>
    <row r="110" spans="1:9" x14ac:dyDescent="0.2">
      <c r="A110" t="s">
        <v>83</v>
      </c>
      <c r="B110">
        <v>-0.2378931</v>
      </c>
      <c r="C110">
        <v>0.15172327999999999</v>
      </c>
      <c r="D110">
        <v>64.545797899999997</v>
      </c>
      <c r="E110">
        <v>-0.54094580000000003</v>
      </c>
      <c r="F110">
        <v>6.515965E-2</v>
      </c>
      <c r="G110" t="s">
        <v>20</v>
      </c>
      <c r="H110" t="s">
        <v>9</v>
      </c>
      <c r="I110" t="s">
        <v>13</v>
      </c>
    </row>
    <row r="111" spans="1:9" x14ac:dyDescent="0.2">
      <c r="A111" t="s">
        <v>84</v>
      </c>
      <c r="B111">
        <v>-0.27532489999999998</v>
      </c>
      <c r="C111">
        <v>0.11428561</v>
      </c>
      <c r="D111">
        <v>93.287039899999996</v>
      </c>
      <c r="E111">
        <v>-0.5022643</v>
      </c>
      <c r="F111">
        <v>-4.8385499999999998E-2</v>
      </c>
      <c r="G111" t="s">
        <v>20</v>
      </c>
      <c r="H111" t="s">
        <v>9</v>
      </c>
      <c r="I111" t="s">
        <v>14</v>
      </c>
    </row>
    <row r="112" spans="1:9" x14ac:dyDescent="0.2">
      <c r="A112" t="s">
        <v>85</v>
      </c>
      <c r="B112">
        <v>-0.55173130000000004</v>
      </c>
      <c r="C112">
        <v>0.12041883</v>
      </c>
      <c r="D112">
        <v>67.983532800000006</v>
      </c>
      <c r="E112">
        <v>-0.79202439999999996</v>
      </c>
      <c r="F112">
        <v>-0.3114382</v>
      </c>
      <c r="G112" t="s">
        <v>20</v>
      </c>
      <c r="H112" t="s">
        <v>9</v>
      </c>
      <c r="I112" t="s">
        <v>14</v>
      </c>
    </row>
    <row r="113" spans="1:9" x14ac:dyDescent="0.2">
      <c r="A113" t="s">
        <v>86</v>
      </c>
      <c r="B113">
        <v>-0.22712080000000001</v>
      </c>
      <c r="C113">
        <v>0.17147793</v>
      </c>
      <c r="D113">
        <v>82.056070500000004</v>
      </c>
      <c r="E113">
        <v>-0.56824160000000001</v>
      </c>
      <c r="F113">
        <v>0.11399993</v>
      </c>
      <c r="G113" t="s">
        <v>20</v>
      </c>
      <c r="H113" t="s">
        <v>9</v>
      </c>
      <c r="I113" t="s">
        <v>14</v>
      </c>
    </row>
    <row r="114" spans="1:9" x14ac:dyDescent="0.2">
      <c r="A114" t="s">
        <v>87</v>
      </c>
      <c r="B114">
        <v>0.13848376000000001</v>
      </c>
      <c r="C114">
        <v>0.37137256000000002</v>
      </c>
      <c r="D114">
        <v>142.339923</v>
      </c>
      <c r="E114">
        <v>-0.59563449999999996</v>
      </c>
      <c r="F114">
        <v>0.87260205000000002</v>
      </c>
      <c r="G114" t="s">
        <v>20</v>
      </c>
      <c r="H114" t="s">
        <v>9</v>
      </c>
      <c r="I114" t="s">
        <v>14</v>
      </c>
    </row>
    <row r="115" spans="1:9" x14ac:dyDescent="0.2">
      <c r="A115" t="s">
        <v>88</v>
      </c>
      <c r="B115">
        <v>-1.7794399999999998E-2</v>
      </c>
      <c r="C115">
        <v>0.17083010000000001</v>
      </c>
      <c r="D115">
        <v>62.075991399999999</v>
      </c>
      <c r="E115">
        <v>-0.3592706</v>
      </c>
      <c r="F115">
        <v>0.32368175999999999</v>
      </c>
      <c r="G115" t="s">
        <v>20</v>
      </c>
      <c r="H115" t="s">
        <v>9</v>
      </c>
      <c r="I115" t="s">
        <v>14</v>
      </c>
    </row>
    <row r="116" spans="1:9" x14ac:dyDescent="0.2">
      <c r="A116" t="s">
        <v>73</v>
      </c>
      <c r="B116">
        <v>0.11577113</v>
      </c>
      <c r="C116">
        <v>0.23562248</v>
      </c>
      <c r="D116">
        <v>36.515152499999999</v>
      </c>
      <c r="E116">
        <v>-0.3618594</v>
      </c>
      <c r="F116">
        <v>0.59340170000000003</v>
      </c>
      <c r="G116" t="s">
        <v>20</v>
      </c>
      <c r="H116" t="s">
        <v>15</v>
      </c>
      <c r="I116" t="s">
        <v>10</v>
      </c>
    </row>
    <row r="117" spans="1:9" x14ac:dyDescent="0.2">
      <c r="A117" t="s">
        <v>74</v>
      </c>
      <c r="B117">
        <v>-3.7366499999999997E-2</v>
      </c>
      <c r="C117">
        <v>0.23366149</v>
      </c>
      <c r="D117">
        <v>39.263168899999997</v>
      </c>
      <c r="E117">
        <v>-0.50989019999999996</v>
      </c>
      <c r="F117">
        <v>0.43515725</v>
      </c>
      <c r="G117" t="s">
        <v>20</v>
      </c>
      <c r="H117" t="s">
        <v>15</v>
      </c>
      <c r="I117" t="s">
        <v>10</v>
      </c>
    </row>
    <row r="118" spans="1:9" x14ac:dyDescent="0.2">
      <c r="A118" t="s">
        <v>75</v>
      </c>
      <c r="B118">
        <v>0.54752252999999995</v>
      </c>
      <c r="C118">
        <v>0.51510301999999997</v>
      </c>
      <c r="D118">
        <v>75.807540500000002</v>
      </c>
      <c r="E118">
        <v>-0.47843619999999998</v>
      </c>
      <c r="F118">
        <v>1.57348124</v>
      </c>
      <c r="G118" t="s">
        <v>20</v>
      </c>
      <c r="H118" t="s">
        <v>15</v>
      </c>
      <c r="I118" t="s">
        <v>10</v>
      </c>
    </row>
    <row r="119" spans="1:9" x14ac:dyDescent="0.2">
      <c r="A119" t="s">
        <v>76</v>
      </c>
      <c r="B119">
        <v>-0.35254229999999998</v>
      </c>
      <c r="C119">
        <v>0.23227956</v>
      </c>
      <c r="D119">
        <v>39.368227500000003</v>
      </c>
      <c r="E119">
        <v>-0.82223159999999995</v>
      </c>
      <c r="F119">
        <v>0.11714697</v>
      </c>
      <c r="G119" t="s">
        <v>20</v>
      </c>
      <c r="H119" t="s">
        <v>15</v>
      </c>
      <c r="I119" t="s">
        <v>10</v>
      </c>
    </row>
    <row r="120" spans="1:9" x14ac:dyDescent="0.2">
      <c r="A120" t="s">
        <v>77</v>
      </c>
      <c r="B120">
        <v>-0.4731033</v>
      </c>
      <c r="C120">
        <v>0.27836830000000001</v>
      </c>
      <c r="D120">
        <v>33.711512200000001</v>
      </c>
      <c r="E120">
        <v>-1.0389941</v>
      </c>
      <c r="F120">
        <v>9.278757E-2</v>
      </c>
      <c r="G120" t="s">
        <v>20</v>
      </c>
      <c r="H120" t="s">
        <v>15</v>
      </c>
      <c r="I120" t="s">
        <v>12</v>
      </c>
    </row>
    <row r="121" spans="1:9" x14ac:dyDescent="0.2">
      <c r="A121" t="s">
        <v>78</v>
      </c>
      <c r="B121">
        <v>7.6618019999999995E-2</v>
      </c>
      <c r="C121">
        <v>0.15924679999999999</v>
      </c>
      <c r="D121">
        <v>30.290106399999999</v>
      </c>
      <c r="E121">
        <v>-0.2484768</v>
      </c>
      <c r="F121">
        <v>0.40171278999999999</v>
      </c>
      <c r="G121" t="s">
        <v>20</v>
      </c>
      <c r="H121" t="s">
        <v>15</v>
      </c>
      <c r="I121" t="s">
        <v>12</v>
      </c>
    </row>
    <row r="122" spans="1:9" x14ac:dyDescent="0.2">
      <c r="A122" t="s">
        <v>79</v>
      </c>
      <c r="B122">
        <v>-0.20180699999999999</v>
      </c>
      <c r="C122">
        <v>0.39592778000000001</v>
      </c>
      <c r="D122">
        <v>40.536184200000001</v>
      </c>
      <c r="E122">
        <v>-1.0016773000000001</v>
      </c>
      <c r="F122">
        <v>0.59806334999999999</v>
      </c>
      <c r="G122" t="s">
        <v>20</v>
      </c>
      <c r="H122" t="s">
        <v>15</v>
      </c>
      <c r="I122" t="s">
        <v>12</v>
      </c>
    </row>
    <row r="123" spans="1:9" x14ac:dyDescent="0.2">
      <c r="A123" t="s">
        <v>80</v>
      </c>
      <c r="B123">
        <v>-0.85933099999999996</v>
      </c>
      <c r="C123">
        <v>0.69449622</v>
      </c>
      <c r="D123">
        <v>52.634447100000003</v>
      </c>
      <c r="E123">
        <v>-2.2525398999999999</v>
      </c>
      <c r="F123">
        <v>0.53387790999999996</v>
      </c>
      <c r="G123" t="s">
        <v>20</v>
      </c>
      <c r="H123" t="s">
        <v>15</v>
      </c>
      <c r="I123" t="s">
        <v>13</v>
      </c>
    </row>
    <row r="124" spans="1:9" x14ac:dyDescent="0.2">
      <c r="A124" t="s">
        <v>81</v>
      </c>
      <c r="B124">
        <v>0.12984283999999999</v>
      </c>
      <c r="C124">
        <v>0.20786073999999999</v>
      </c>
      <c r="D124">
        <v>31.5573309</v>
      </c>
      <c r="E124">
        <v>-0.29378870000000001</v>
      </c>
      <c r="F124">
        <v>0.55347436000000005</v>
      </c>
      <c r="G124" t="s">
        <v>20</v>
      </c>
      <c r="H124" t="s">
        <v>15</v>
      </c>
      <c r="I124" t="s">
        <v>13</v>
      </c>
    </row>
    <row r="125" spans="1:9" x14ac:dyDescent="0.2">
      <c r="A125" t="s">
        <v>82</v>
      </c>
      <c r="B125">
        <v>0.10739959</v>
      </c>
      <c r="C125">
        <v>0.33509963999999998</v>
      </c>
      <c r="D125">
        <v>48.638533899999999</v>
      </c>
      <c r="E125">
        <v>-0.56613500000000005</v>
      </c>
      <c r="F125">
        <v>0.78093413</v>
      </c>
      <c r="G125" t="s">
        <v>20</v>
      </c>
      <c r="H125" t="s">
        <v>15</v>
      </c>
      <c r="I125" t="s">
        <v>13</v>
      </c>
    </row>
    <row r="126" spans="1:9" x14ac:dyDescent="0.2">
      <c r="A126" t="s">
        <v>83</v>
      </c>
      <c r="B126">
        <v>-0.26217560000000001</v>
      </c>
      <c r="C126">
        <v>0.20744770000000001</v>
      </c>
      <c r="D126">
        <v>37.2178781</v>
      </c>
      <c r="E126">
        <v>-0.68242150000000001</v>
      </c>
      <c r="F126">
        <v>0.15807034</v>
      </c>
      <c r="G126" t="s">
        <v>20</v>
      </c>
      <c r="H126" t="s">
        <v>15</v>
      </c>
      <c r="I126" t="s">
        <v>13</v>
      </c>
    </row>
    <row r="127" spans="1:9" x14ac:dyDescent="0.2">
      <c r="A127" t="s">
        <v>84</v>
      </c>
      <c r="B127">
        <v>0.45293407000000002</v>
      </c>
      <c r="C127">
        <v>0.48255958999999998</v>
      </c>
      <c r="D127">
        <v>54.652602899999998</v>
      </c>
      <c r="E127">
        <v>-0.51427509999999999</v>
      </c>
      <c r="F127">
        <v>1.4201432899999999</v>
      </c>
      <c r="G127" t="s">
        <v>20</v>
      </c>
      <c r="H127" t="s">
        <v>15</v>
      </c>
      <c r="I127" t="s">
        <v>14</v>
      </c>
    </row>
    <row r="128" spans="1:9" x14ac:dyDescent="0.2">
      <c r="A128" t="s">
        <v>85</v>
      </c>
      <c r="B128">
        <v>-0.23664640000000001</v>
      </c>
      <c r="C128">
        <v>0.36787909000000002</v>
      </c>
      <c r="D128">
        <v>49.539322900000002</v>
      </c>
      <c r="E128">
        <v>-0.97572360000000002</v>
      </c>
      <c r="F128">
        <v>0.50243081000000001</v>
      </c>
      <c r="G128" t="s">
        <v>20</v>
      </c>
      <c r="H128" t="s">
        <v>15</v>
      </c>
      <c r="I128" t="s">
        <v>14</v>
      </c>
    </row>
    <row r="129" spans="1:9" x14ac:dyDescent="0.2">
      <c r="A129" t="s">
        <v>86</v>
      </c>
      <c r="B129">
        <v>-0.33298119999999998</v>
      </c>
      <c r="C129">
        <v>0.23842009</v>
      </c>
      <c r="D129">
        <v>52.376135900000001</v>
      </c>
      <c r="E129">
        <v>-0.8113243</v>
      </c>
      <c r="F129">
        <v>0.14536198</v>
      </c>
      <c r="G129" t="s">
        <v>20</v>
      </c>
      <c r="H129" t="s">
        <v>15</v>
      </c>
      <c r="I129" t="s">
        <v>14</v>
      </c>
    </row>
    <row r="130" spans="1:9" x14ac:dyDescent="0.2">
      <c r="A130" t="s">
        <v>87</v>
      </c>
      <c r="B130">
        <v>-2.4992E-3</v>
      </c>
      <c r="C130">
        <v>0.36578753000000003</v>
      </c>
      <c r="D130">
        <v>49.743243399999997</v>
      </c>
      <c r="E130">
        <v>-0.73729900000000004</v>
      </c>
      <c r="F130">
        <v>0.73230063999999995</v>
      </c>
      <c r="G130" t="s">
        <v>20</v>
      </c>
      <c r="H130" t="s">
        <v>15</v>
      </c>
      <c r="I130" t="s">
        <v>14</v>
      </c>
    </row>
    <row r="131" spans="1:9" x14ac:dyDescent="0.2">
      <c r="A131" t="s">
        <v>88</v>
      </c>
      <c r="B131">
        <v>9.0343039999999999E-2</v>
      </c>
      <c r="C131">
        <v>0.23006319</v>
      </c>
      <c r="D131">
        <v>50.142533100000001</v>
      </c>
      <c r="E131">
        <v>-0.37171989999999999</v>
      </c>
      <c r="F131">
        <v>0.55240601</v>
      </c>
      <c r="G131" t="s">
        <v>20</v>
      </c>
      <c r="H131" t="s">
        <v>15</v>
      </c>
      <c r="I13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"/>
  <sheetViews>
    <sheetView topLeftCell="A2" workbookViewId="0">
      <selection activeCell="C19" sqref="C19"/>
    </sheetView>
  </sheetViews>
  <sheetFormatPr baseColWidth="10" defaultRowHeight="16" x14ac:dyDescent="0.2"/>
  <cols>
    <col min="1" max="1" width="44.33203125" bestFit="1" customWidth="1"/>
  </cols>
  <sheetData>
    <row r="1" spans="1:9" x14ac:dyDescent="0.2">
      <c r="A1" s="42" t="s">
        <v>31</v>
      </c>
      <c r="B1" s="42" t="s">
        <v>24</v>
      </c>
      <c r="C1" s="42" t="s">
        <v>32</v>
      </c>
      <c r="D1" s="42" t="s">
        <v>33</v>
      </c>
      <c r="E1" s="42" t="s">
        <v>34</v>
      </c>
      <c r="F1" s="42" t="s">
        <v>35</v>
      </c>
      <c r="G1" s="42" t="s">
        <v>4</v>
      </c>
      <c r="H1" s="42" t="s">
        <v>5</v>
      </c>
      <c r="I1" s="42" t="s">
        <v>6</v>
      </c>
    </row>
    <row r="2" spans="1:9" x14ac:dyDescent="0.2">
      <c r="A2" s="42" t="s">
        <v>36</v>
      </c>
      <c r="B2" s="42">
        <v>0.15391609000000001</v>
      </c>
      <c r="C2" s="42">
        <v>0.15966079999999999</v>
      </c>
      <c r="D2" s="42">
        <v>58.920403700000001</v>
      </c>
      <c r="E2" s="42">
        <v>0.96401928999999997</v>
      </c>
      <c r="F2" s="42">
        <v>0.77027120999999998</v>
      </c>
      <c r="G2" s="42" t="s">
        <v>8</v>
      </c>
      <c r="H2" s="42" t="s">
        <v>9</v>
      </c>
      <c r="I2" s="42" t="s">
        <v>10</v>
      </c>
    </row>
    <row r="3" spans="1:9" x14ac:dyDescent="0.2">
      <c r="A3" s="42" t="s">
        <v>37</v>
      </c>
      <c r="B3" s="42">
        <v>-0.85196740000000004</v>
      </c>
      <c r="C3" s="42">
        <v>0.39851478000000001</v>
      </c>
      <c r="D3" s="42">
        <v>74.193770200000003</v>
      </c>
      <c r="E3" s="42">
        <v>-2.1378564999999998</v>
      </c>
      <c r="F3" s="42">
        <v>0.15076828</v>
      </c>
      <c r="G3" s="42" t="s">
        <v>8</v>
      </c>
      <c r="H3" s="42" t="s">
        <v>9</v>
      </c>
      <c r="I3" s="42" t="s">
        <v>10</v>
      </c>
    </row>
    <row r="4" spans="1:9" x14ac:dyDescent="0.2">
      <c r="A4" s="42" t="s">
        <v>38</v>
      </c>
      <c r="B4" s="42">
        <v>9.0969149999999999E-2</v>
      </c>
      <c r="C4" s="42">
        <v>0.20088871</v>
      </c>
      <c r="D4" s="42">
        <v>59.8371055</v>
      </c>
      <c r="E4" s="42">
        <v>0.45283356000000002</v>
      </c>
      <c r="F4" s="42">
        <v>0.96882606000000004</v>
      </c>
      <c r="G4" s="42" t="s">
        <v>8</v>
      </c>
      <c r="H4" s="42" t="s">
        <v>9</v>
      </c>
      <c r="I4" s="42" t="s">
        <v>10</v>
      </c>
    </row>
    <row r="5" spans="1:9" x14ac:dyDescent="0.2">
      <c r="A5" s="42" t="s">
        <v>39</v>
      </c>
      <c r="B5" s="42">
        <v>-1.0058834999999999</v>
      </c>
      <c r="C5" s="42">
        <v>0.40609081000000002</v>
      </c>
      <c r="D5" s="42">
        <v>73.434301300000001</v>
      </c>
      <c r="E5" s="42">
        <v>-2.4769915999999998</v>
      </c>
      <c r="F5" s="42">
        <v>7.2024950000000004E-2</v>
      </c>
      <c r="G5" s="42" t="s">
        <v>8</v>
      </c>
      <c r="H5" s="42" t="s">
        <v>9</v>
      </c>
      <c r="I5" s="42" t="s">
        <v>10</v>
      </c>
    </row>
    <row r="6" spans="1:9" x14ac:dyDescent="0.2">
      <c r="A6" s="42" t="s">
        <v>40</v>
      </c>
      <c r="B6" s="42">
        <v>-6.29469E-2</v>
      </c>
      <c r="C6" s="42">
        <v>0.21625548999999999</v>
      </c>
      <c r="D6" s="42">
        <v>60.311623500000003</v>
      </c>
      <c r="E6" s="42">
        <v>-0.29107670000000002</v>
      </c>
      <c r="F6" s="42">
        <v>0.99132547999999998</v>
      </c>
      <c r="G6" s="42" t="s">
        <v>8</v>
      </c>
      <c r="H6" s="42" t="s">
        <v>9</v>
      </c>
      <c r="I6" s="42" t="s">
        <v>10</v>
      </c>
    </row>
    <row r="7" spans="1:9" x14ac:dyDescent="0.2">
      <c r="A7" s="42" t="s">
        <v>41</v>
      </c>
      <c r="B7" s="42">
        <v>0.94293656999999997</v>
      </c>
      <c r="C7" s="42">
        <v>0.42656071000000001</v>
      </c>
      <c r="D7" s="42">
        <v>74.107284000000007</v>
      </c>
      <c r="E7" s="42">
        <v>2.2105565399999998</v>
      </c>
      <c r="F7" s="42">
        <v>0.12985231</v>
      </c>
      <c r="G7" s="42" t="s">
        <v>8</v>
      </c>
      <c r="H7" s="42" t="s">
        <v>9</v>
      </c>
      <c r="I7" s="42" t="s">
        <v>10</v>
      </c>
    </row>
    <row r="8" spans="1:9" x14ac:dyDescent="0.2">
      <c r="A8" s="42" t="s">
        <v>42</v>
      </c>
      <c r="B8" s="42">
        <v>-0.1568512</v>
      </c>
      <c r="C8" s="42">
        <v>0.16173056</v>
      </c>
      <c r="D8" s="42">
        <v>65.469314699999998</v>
      </c>
      <c r="E8" s="42">
        <v>-0.96983030000000003</v>
      </c>
      <c r="F8" s="42">
        <v>0.59840799</v>
      </c>
      <c r="G8" s="42" t="s">
        <v>8</v>
      </c>
      <c r="H8" s="42" t="s">
        <v>9</v>
      </c>
      <c r="I8" s="42" t="s">
        <v>12</v>
      </c>
    </row>
    <row r="9" spans="1:9" x14ac:dyDescent="0.2">
      <c r="A9" s="42" t="s">
        <v>43</v>
      </c>
      <c r="B9" s="42">
        <v>-7.4772900000000003E-2</v>
      </c>
      <c r="C9" s="42">
        <v>0.27831878999999998</v>
      </c>
      <c r="D9" s="42">
        <v>67.981915400000005</v>
      </c>
      <c r="E9" s="42">
        <v>-0.26865919999999999</v>
      </c>
      <c r="F9" s="42">
        <v>0.96101603000000002</v>
      </c>
      <c r="G9" s="42" t="s">
        <v>8</v>
      </c>
      <c r="H9" s="42" t="s">
        <v>9</v>
      </c>
      <c r="I9" s="42" t="s">
        <v>12</v>
      </c>
    </row>
    <row r="10" spans="1:9" x14ac:dyDescent="0.2">
      <c r="A10" s="42" t="s">
        <v>44</v>
      </c>
      <c r="B10" s="42">
        <v>8.2078289999999998E-2</v>
      </c>
      <c r="C10" s="42">
        <v>0.25984531999999999</v>
      </c>
      <c r="D10" s="42">
        <v>65.805538100000007</v>
      </c>
      <c r="E10" s="42">
        <v>0.31587364000000001</v>
      </c>
      <c r="F10" s="42">
        <v>0.94653091</v>
      </c>
      <c r="G10" s="42" t="s">
        <v>8</v>
      </c>
      <c r="H10" s="42" t="s">
        <v>9</v>
      </c>
      <c r="I10" s="42" t="s">
        <v>12</v>
      </c>
    </row>
    <row r="11" spans="1:9" x14ac:dyDescent="0.2">
      <c r="A11" s="42" t="s">
        <v>45</v>
      </c>
      <c r="B11" s="42">
        <v>-1.3988016999999999</v>
      </c>
      <c r="C11" s="42">
        <v>0.55131562999999995</v>
      </c>
      <c r="D11" s="42">
        <v>78.545762400000001</v>
      </c>
      <c r="E11" s="42">
        <v>-2.5372067</v>
      </c>
      <c r="F11" s="42">
        <v>6.194177E-2</v>
      </c>
      <c r="G11" s="42" t="s">
        <v>8</v>
      </c>
      <c r="H11" s="42" t="s">
        <v>9</v>
      </c>
      <c r="I11" s="42" t="s">
        <v>13</v>
      </c>
    </row>
    <row r="12" spans="1:9" x14ac:dyDescent="0.2">
      <c r="A12" s="42" t="s">
        <v>46</v>
      </c>
      <c r="B12" s="42">
        <v>-1.3139631000000001</v>
      </c>
      <c r="C12" s="42">
        <v>0.55760894000000005</v>
      </c>
      <c r="D12" s="42">
        <v>78.238011400000005</v>
      </c>
      <c r="E12" s="42">
        <v>-2.3564238999999998</v>
      </c>
      <c r="F12" s="42">
        <v>9.4279940000000007E-2</v>
      </c>
      <c r="G12" s="42" t="s">
        <v>8</v>
      </c>
      <c r="H12" s="42" t="s">
        <v>9</v>
      </c>
      <c r="I12" s="42" t="s">
        <v>13</v>
      </c>
    </row>
    <row r="13" spans="1:9" x14ac:dyDescent="0.2">
      <c r="A13" s="42" t="s">
        <v>47</v>
      </c>
      <c r="B13" s="42">
        <v>-1.2053722</v>
      </c>
      <c r="C13" s="42">
        <v>0.56838732999999997</v>
      </c>
      <c r="D13" s="42">
        <v>81.082504900000004</v>
      </c>
      <c r="E13" s="42">
        <v>-2.1206879999999999</v>
      </c>
      <c r="F13" s="42">
        <v>0.15526144</v>
      </c>
      <c r="G13" s="42" t="s">
        <v>8</v>
      </c>
      <c r="H13" s="42" t="s">
        <v>9</v>
      </c>
      <c r="I13" s="42" t="s">
        <v>13</v>
      </c>
    </row>
    <row r="14" spans="1:9" x14ac:dyDescent="0.2">
      <c r="A14" s="42" t="s">
        <v>48</v>
      </c>
      <c r="B14" s="42">
        <v>8.4838659999999996E-2</v>
      </c>
      <c r="C14" s="42">
        <v>0.16525861</v>
      </c>
      <c r="D14" s="42">
        <v>60.624279600000001</v>
      </c>
      <c r="E14" s="42">
        <v>0.51336910000000002</v>
      </c>
      <c r="F14" s="42">
        <v>0.95559305000000005</v>
      </c>
      <c r="G14" s="42" t="s">
        <v>8</v>
      </c>
      <c r="H14" s="42" t="s">
        <v>9</v>
      </c>
      <c r="I14" s="42" t="s">
        <v>13</v>
      </c>
    </row>
    <row r="15" spans="1:9" x14ac:dyDescent="0.2">
      <c r="A15" s="42" t="s">
        <v>49</v>
      </c>
      <c r="B15" s="42">
        <v>0.1934295</v>
      </c>
      <c r="C15" s="42">
        <v>0.18087130000000001</v>
      </c>
      <c r="D15" s="42">
        <v>55.297193399999998</v>
      </c>
      <c r="E15" s="42">
        <v>1.0694317</v>
      </c>
      <c r="F15" s="42">
        <v>0.70940163000000001</v>
      </c>
      <c r="G15" s="42" t="s">
        <v>8</v>
      </c>
      <c r="H15" s="42" t="s">
        <v>9</v>
      </c>
      <c r="I15" s="42" t="s">
        <v>13</v>
      </c>
    </row>
    <row r="16" spans="1:9" x14ac:dyDescent="0.2">
      <c r="A16" s="42" t="s">
        <v>50</v>
      </c>
      <c r="B16" s="42">
        <v>0.10859083999999999</v>
      </c>
      <c r="C16" s="42">
        <v>0.2033373</v>
      </c>
      <c r="D16" s="42">
        <v>58.123245400000002</v>
      </c>
      <c r="E16" s="42">
        <v>0.53404289999999999</v>
      </c>
      <c r="F16" s="42">
        <v>0.95040665999999996</v>
      </c>
      <c r="G16" s="42" t="s">
        <v>8</v>
      </c>
      <c r="H16" s="42" t="s">
        <v>9</v>
      </c>
      <c r="I16" s="42" t="s">
        <v>13</v>
      </c>
    </row>
    <row r="17" spans="1:9" x14ac:dyDescent="0.2">
      <c r="A17" s="42" t="s">
        <v>51</v>
      </c>
      <c r="B17" s="42">
        <v>0.10267572</v>
      </c>
      <c r="C17" s="42">
        <v>0.17615573000000001</v>
      </c>
      <c r="D17" s="42">
        <v>57.297102099999996</v>
      </c>
      <c r="E17" s="42">
        <v>0.58286903000000001</v>
      </c>
      <c r="F17" s="42">
        <v>0.97709583</v>
      </c>
      <c r="G17" s="42" t="s">
        <v>8</v>
      </c>
      <c r="H17" s="42" t="s">
        <v>9</v>
      </c>
      <c r="I17" s="42" t="s">
        <v>14</v>
      </c>
    </row>
    <row r="18" spans="1:9" x14ac:dyDescent="0.2">
      <c r="A18" s="42" t="s">
        <v>52</v>
      </c>
      <c r="B18" s="42">
        <v>0.13058932000000001</v>
      </c>
      <c r="C18" s="42">
        <v>0.19804939999999999</v>
      </c>
      <c r="D18" s="42">
        <v>63.314913699999998</v>
      </c>
      <c r="E18" s="42">
        <v>0.65937752999999999</v>
      </c>
      <c r="F18" s="42">
        <v>0.96423501</v>
      </c>
      <c r="G18" s="42" t="s">
        <v>8</v>
      </c>
      <c r="H18" s="42" t="s">
        <v>9</v>
      </c>
      <c r="I18" s="42" t="s">
        <v>14</v>
      </c>
    </row>
    <row r="19" spans="1:9" x14ac:dyDescent="0.2">
      <c r="A19" s="42" t="s">
        <v>53</v>
      </c>
      <c r="B19" s="42">
        <v>1.40214719</v>
      </c>
      <c r="C19" s="42">
        <v>0.55761669000000003</v>
      </c>
      <c r="D19" s="42">
        <v>80.233622800000006</v>
      </c>
      <c r="E19" s="42">
        <v>2.5145359300000001</v>
      </c>
      <c r="F19" s="42">
        <v>9.7529400000000002E-2</v>
      </c>
      <c r="G19" s="42" t="s">
        <v>8</v>
      </c>
      <c r="H19" s="42" t="s">
        <v>9</v>
      </c>
      <c r="I19" s="42" t="s">
        <v>14</v>
      </c>
    </row>
    <row r="20" spans="1:9" x14ac:dyDescent="0.2">
      <c r="A20" s="42" t="s">
        <v>54</v>
      </c>
      <c r="B20" s="42">
        <v>-7.7724999999999999E-3</v>
      </c>
      <c r="C20" s="42">
        <v>0.22637362</v>
      </c>
      <c r="D20" s="42">
        <v>60.436396100000003</v>
      </c>
      <c r="E20" s="42">
        <v>-3.4334900000000002E-2</v>
      </c>
      <c r="F20" s="42">
        <v>0.99999967000000001</v>
      </c>
      <c r="G20" s="42" t="s">
        <v>8</v>
      </c>
      <c r="H20" s="42" t="s">
        <v>9</v>
      </c>
      <c r="I20" s="42" t="s">
        <v>14</v>
      </c>
    </row>
    <row r="21" spans="1:9" x14ac:dyDescent="0.2">
      <c r="A21" s="42" t="s">
        <v>55</v>
      </c>
      <c r="B21" s="42">
        <v>2.79136E-2</v>
      </c>
      <c r="C21" s="42">
        <v>0.21217380999999999</v>
      </c>
      <c r="D21" s="42">
        <v>59.4768349</v>
      </c>
      <c r="E21" s="42">
        <v>0.13156008999999999</v>
      </c>
      <c r="F21" s="42">
        <v>0.99993045000000003</v>
      </c>
      <c r="G21" s="42" t="s">
        <v>8</v>
      </c>
      <c r="H21" s="42" t="s">
        <v>9</v>
      </c>
      <c r="I21" s="42" t="s">
        <v>14</v>
      </c>
    </row>
    <row r="22" spans="1:9" x14ac:dyDescent="0.2">
      <c r="A22" s="42" t="s">
        <v>56</v>
      </c>
      <c r="B22" s="42">
        <v>1.2994714700000001</v>
      </c>
      <c r="C22" s="42">
        <v>0.56343931999999997</v>
      </c>
      <c r="D22" s="42">
        <v>80.327592100000004</v>
      </c>
      <c r="E22" s="42">
        <v>2.3063201699999998</v>
      </c>
      <c r="F22" s="42">
        <v>0.15356889000000001</v>
      </c>
      <c r="G22" s="42" t="s">
        <v>8</v>
      </c>
      <c r="H22" s="42" t="s">
        <v>9</v>
      </c>
      <c r="I22" s="42" t="s">
        <v>14</v>
      </c>
    </row>
    <row r="23" spans="1:9" x14ac:dyDescent="0.2">
      <c r="A23" s="42" t="s">
        <v>57</v>
      </c>
      <c r="B23" s="42">
        <v>-0.1104482</v>
      </c>
      <c r="C23" s="42">
        <v>0.23833460000000001</v>
      </c>
      <c r="D23" s="42">
        <v>56.816428700000003</v>
      </c>
      <c r="E23" s="42">
        <v>-0.46341670000000001</v>
      </c>
      <c r="F23" s="42">
        <v>0.99027268999999996</v>
      </c>
      <c r="G23" s="42" t="s">
        <v>8</v>
      </c>
      <c r="H23" s="42" t="s">
        <v>9</v>
      </c>
      <c r="I23" s="42" t="s">
        <v>14</v>
      </c>
    </row>
    <row r="24" spans="1:9" x14ac:dyDescent="0.2">
      <c r="A24" s="42" t="s">
        <v>58</v>
      </c>
      <c r="B24" s="42">
        <v>1.2715578700000001</v>
      </c>
      <c r="C24" s="42">
        <v>0.57111263999999995</v>
      </c>
      <c r="D24" s="42">
        <v>80.4674756</v>
      </c>
      <c r="E24" s="42">
        <v>2.2264572199999999</v>
      </c>
      <c r="F24" s="42">
        <v>0.18059383000000001</v>
      </c>
      <c r="G24" s="42" t="s">
        <v>8</v>
      </c>
      <c r="H24" s="42" t="s">
        <v>9</v>
      </c>
      <c r="I24" s="42" t="s">
        <v>14</v>
      </c>
    </row>
    <row r="25" spans="1:9" x14ac:dyDescent="0.2">
      <c r="A25" s="42" t="s">
        <v>59</v>
      </c>
      <c r="B25" s="42">
        <v>-0.13836180000000001</v>
      </c>
      <c r="C25" s="42">
        <v>0.25547132</v>
      </c>
      <c r="D25" s="42">
        <v>60.980975200000003</v>
      </c>
      <c r="E25" s="42">
        <v>-0.54159440000000003</v>
      </c>
      <c r="F25" s="42">
        <v>0.98256456999999997</v>
      </c>
      <c r="G25" s="42" t="s">
        <v>8</v>
      </c>
      <c r="H25" s="42" t="s">
        <v>9</v>
      </c>
      <c r="I25" s="42" t="s">
        <v>14</v>
      </c>
    </row>
    <row r="26" spans="1:9" x14ac:dyDescent="0.2">
      <c r="A26" s="42" t="s">
        <v>60</v>
      </c>
      <c r="B26" s="42">
        <v>-1.4099197000000001</v>
      </c>
      <c r="C26" s="42">
        <v>0.57757612999999997</v>
      </c>
      <c r="D26" s="42">
        <v>78.568859099999997</v>
      </c>
      <c r="E26" s="42">
        <v>-2.4410976</v>
      </c>
      <c r="F26" s="42">
        <v>0.11526786</v>
      </c>
      <c r="G26" s="42" t="s">
        <v>8</v>
      </c>
      <c r="H26" s="42" t="s">
        <v>9</v>
      </c>
      <c r="I26" s="42" t="s">
        <v>14</v>
      </c>
    </row>
    <row r="27" spans="1:9" x14ac:dyDescent="0.2">
      <c r="A27" s="42" t="s">
        <v>36</v>
      </c>
      <c r="B27" s="42">
        <v>-0.1467088</v>
      </c>
      <c r="C27" s="42">
        <v>0.49749528999999998</v>
      </c>
      <c r="D27" s="42">
        <v>25.039748899999999</v>
      </c>
      <c r="E27" s="42">
        <v>-0.29489480000000001</v>
      </c>
      <c r="F27" s="42">
        <v>0.99085453999999995</v>
      </c>
      <c r="G27" s="42" t="s">
        <v>8</v>
      </c>
      <c r="H27" s="42" t="s">
        <v>15</v>
      </c>
      <c r="I27" s="42" t="s">
        <v>10</v>
      </c>
    </row>
    <row r="28" spans="1:9" x14ac:dyDescent="0.2">
      <c r="A28" s="42" t="s">
        <v>37</v>
      </c>
      <c r="B28" s="42">
        <v>-1.5670328</v>
      </c>
      <c r="C28" s="42">
        <v>0.67544420000000005</v>
      </c>
      <c r="D28" s="42">
        <v>17.384101600000001</v>
      </c>
      <c r="E28" s="42">
        <v>-2.3200033000000002</v>
      </c>
      <c r="F28" s="42">
        <v>0.13168236999999999</v>
      </c>
      <c r="G28" s="42" t="s">
        <v>8</v>
      </c>
      <c r="H28" s="42" t="s">
        <v>15</v>
      </c>
      <c r="I28" s="42" t="s">
        <v>10</v>
      </c>
    </row>
    <row r="29" spans="1:9" x14ac:dyDescent="0.2">
      <c r="A29" s="42" t="s">
        <v>38</v>
      </c>
      <c r="B29" s="42">
        <v>-2.2958300000000001E-2</v>
      </c>
      <c r="C29" s="42">
        <v>0.46653088999999998</v>
      </c>
      <c r="D29" s="42">
        <v>23.916911899999999</v>
      </c>
      <c r="E29" s="42">
        <v>-4.9210700000000003E-2</v>
      </c>
      <c r="F29" s="42">
        <v>0.99995590999999995</v>
      </c>
      <c r="G29" s="42" t="s">
        <v>8</v>
      </c>
      <c r="H29" s="42" t="s">
        <v>15</v>
      </c>
      <c r="I29" s="42" t="s">
        <v>10</v>
      </c>
    </row>
    <row r="30" spans="1:9" x14ac:dyDescent="0.2">
      <c r="A30" s="42" t="s">
        <v>39</v>
      </c>
      <c r="B30" s="42">
        <v>-1.4203239999999999</v>
      </c>
      <c r="C30" s="42">
        <v>0.59733822999999997</v>
      </c>
      <c r="D30" s="42">
        <v>12.872290899999999</v>
      </c>
      <c r="E30" s="42">
        <v>-2.3777550999999999</v>
      </c>
      <c r="F30" s="42">
        <v>0.13129868</v>
      </c>
      <c r="G30" s="42" t="s">
        <v>8</v>
      </c>
      <c r="H30" s="42" t="s">
        <v>15</v>
      </c>
      <c r="I30" s="42" t="s">
        <v>10</v>
      </c>
    </row>
    <row r="31" spans="1:9" x14ac:dyDescent="0.2">
      <c r="A31" s="42" t="s">
        <v>40</v>
      </c>
      <c r="B31" s="42">
        <v>0.12375045</v>
      </c>
      <c r="C31" s="42">
        <v>0.40192223999999999</v>
      </c>
      <c r="D31" s="42">
        <v>25.071477000000002</v>
      </c>
      <c r="E31" s="42">
        <v>0.30789651000000001</v>
      </c>
      <c r="F31" s="42">
        <v>0.98962490000000003</v>
      </c>
      <c r="G31" s="42" t="s">
        <v>8</v>
      </c>
      <c r="H31" s="42" t="s">
        <v>15</v>
      </c>
      <c r="I31" s="42" t="s">
        <v>10</v>
      </c>
    </row>
    <row r="32" spans="1:9" x14ac:dyDescent="0.2">
      <c r="A32" s="42" t="s">
        <v>41</v>
      </c>
      <c r="B32" s="42">
        <v>1.54407446</v>
      </c>
      <c r="C32" s="42">
        <v>0.58984504000000004</v>
      </c>
      <c r="D32" s="42">
        <v>13.8670899</v>
      </c>
      <c r="E32" s="42">
        <v>2.6177628899999998</v>
      </c>
      <c r="F32" s="42">
        <v>8.4525520000000007E-2</v>
      </c>
      <c r="G32" s="42" t="s">
        <v>8</v>
      </c>
      <c r="H32" s="42" t="s">
        <v>15</v>
      </c>
      <c r="I32" s="42" t="s">
        <v>10</v>
      </c>
    </row>
    <row r="33" spans="1:9" x14ac:dyDescent="0.2">
      <c r="A33" s="42" t="s">
        <v>42</v>
      </c>
      <c r="B33" s="42">
        <v>-0.97743840000000004</v>
      </c>
      <c r="C33" s="42">
        <v>0.38733627999999998</v>
      </c>
      <c r="D33" s="42">
        <v>20.4543018</v>
      </c>
      <c r="E33" s="42">
        <v>-2.523488</v>
      </c>
      <c r="F33" s="42">
        <v>5.0214509999999997E-2</v>
      </c>
      <c r="G33" s="42" t="s">
        <v>8</v>
      </c>
      <c r="H33" s="42" t="s">
        <v>15</v>
      </c>
      <c r="I33" s="42" t="s">
        <v>12</v>
      </c>
    </row>
    <row r="34" spans="1:9" x14ac:dyDescent="0.2">
      <c r="A34" s="42" t="s">
        <v>43</v>
      </c>
      <c r="B34" s="42">
        <v>-0.72849050000000004</v>
      </c>
      <c r="C34" s="42">
        <v>0.56630727999999997</v>
      </c>
      <c r="D34" s="42">
        <v>20.351225800000002</v>
      </c>
      <c r="E34" s="42">
        <v>-1.2863872999999999</v>
      </c>
      <c r="F34" s="42">
        <v>0.41859930000000001</v>
      </c>
      <c r="G34" s="42" t="s">
        <v>8</v>
      </c>
      <c r="H34" s="42" t="s">
        <v>15</v>
      </c>
      <c r="I34" s="42" t="s">
        <v>12</v>
      </c>
    </row>
    <row r="35" spans="1:9" x14ac:dyDescent="0.2">
      <c r="A35" s="42" t="s">
        <v>44</v>
      </c>
      <c r="B35" s="42">
        <v>0.24894794000000001</v>
      </c>
      <c r="C35" s="42">
        <v>0.50431682</v>
      </c>
      <c r="D35" s="42">
        <v>20.235795299999999</v>
      </c>
      <c r="E35" s="42">
        <v>0.49363401000000001</v>
      </c>
      <c r="F35" s="42">
        <v>0.87512639999999997</v>
      </c>
      <c r="G35" s="42" t="s">
        <v>8</v>
      </c>
      <c r="H35" s="42" t="s">
        <v>15</v>
      </c>
      <c r="I35" s="42" t="s">
        <v>12</v>
      </c>
    </row>
    <row r="36" spans="1:9" x14ac:dyDescent="0.2">
      <c r="A36" s="42" t="s">
        <v>45</v>
      </c>
      <c r="B36" s="42">
        <v>-1.9106737</v>
      </c>
      <c r="C36" s="42">
        <v>0.74554414000000002</v>
      </c>
      <c r="D36" s="42">
        <v>26.444989</v>
      </c>
      <c r="E36" s="42">
        <v>-2.5627909</v>
      </c>
      <c r="F36" s="42">
        <v>7.2971330000000001E-2</v>
      </c>
      <c r="G36" s="42" t="s">
        <v>8</v>
      </c>
      <c r="H36" s="42" t="s">
        <v>15</v>
      </c>
      <c r="I36" s="42" t="s">
        <v>13</v>
      </c>
    </row>
    <row r="37" spans="1:9" x14ac:dyDescent="0.2">
      <c r="A37" s="42" t="s">
        <v>46</v>
      </c>
      <c r="B37" s="42">
        <v>-2.0476849000000001</v>
      </c>
      <c r="C37" s="42">
        <v>0.76574301</v>
      </c>
      <c r="D37" s="42">
        <v>28.712965799999999</v>
      </c>
      <c r="E37" s="42">
        <v>-2.6741150999999999</v>
      </c>
      <c r="F37" s="42">
        <v>5.6049649999999999E-2</v>
      </c>
      <c r="G37" s="42" t="s">
        <v>8</v>
      </c>
      <c r="H37" s="42" t="s">
        <v>15</v>
      </c>
      <c r="I37" s="42" t="s">
        <v>13</v>
      </c>
    </row>
    <row r="38" spans="1:9" x14ac:dyDescent="0.2">
      <c r="A38" s="42" t="s">
        <v>47</v>
      </c>
      <c r="B38" s="42">
        <v>-1.7947367000000001</v>
      </c>
      <c r="C38" s="42">
        <v>0.71318946999999999</v>
      </c>
      <c r="D38" s="42">
        <v>29.0012787</v>
      </c>
      <c r="E38" s="42">
        <v>-2.5164936</v>
      </c>
      <c r="F38" s="42">
        <v>7.8291959999999994E-2</v>
      </c>
      <c r="G38" s="42" t="s">
        <v>8</v>
      </c>
      <c r="H38" s="42" t="s">
        <v>15</v>
      </c>
      <c r="I38" s="42" t="s">
        <v>13</v>
      </c>
    </row>
    <row r="39" spans="1:9" x14ac:dyDescent="0.2">
      <c r="A39" s="42" t="s">
        <v>48</v>
      </c>
      <c r="B39" s="42">
        <v>-0.1370112</v>
      </c>
      <c r="C39" s="42">
        <v>0.51966999999999997</v>
      </c>
      <c r="D39" s="42">
        <v>28.605866599999999</v>
      </c>
      <c r="E39" s="42">
        <v>-0.2636503</v>
      </c>
      <c r="F39" s="42">
        <v>0.99343760000000003</v>
      </c>
      <c r="G39" s="42" t="s">
        <v>8</v>
      </c>
      <c r="H39" s="42" t="s">
        <v>15</v>
      </c>
      <c r="I39" s="42" t="s">
        <v>13</v>
      </c>
    </row>
    <row r="40" spans="1:9" x14ac:dyDescent="0.2">
      <c r="A40" s="42" t="s">
        <v>49</v>
      </c>
      <c r="B40" s="42">
        <v>0.115937</v>
      </c>
      <c r="C40" s="42">
        <v>0.40731858999999998</v>
      </c>
      <c r="D40" s="42">
        <v>22.769015100000001</v>
      </c>
      <c r="E40" s="42">
        <v>0.28463467999999997</v>
      </c>
      <c r="F40" s="42">
        <v>0.99173553999999997</v>
      </c>
      <c r="G40" s="42" t="s">
        <v>8</v>
      </c>
      <c r="H40" s="42" t="s">
        <v>15</v>
      </c>
      <c r="I40" s="42" t="s">
        <v>13</v>
      </c>
    </row>
    <row r="41" spans="1:9" x14ac:dyDescent="0.2">
      <c r="A41" s="42" t="s">
        <v>50</v>
      </c>
      <c r="B41" s="42">
        <v>0.25294815999999998</v>
      </c>
      <c r="C41" s="42">
        <v>0.44917547000000002</v>
      </c>
      <c r="D41" s="42">
        <v>28.696958500000001</v>
      </c>
      <c r="E41" s="42">
        <v>0.56313886000000002</v>
      </c>
      <c r="F41" s="42">
        <v>0.94215367999999999</v>
      </c>
      <c r="G41" s="42" t="s">
        <v>8</v>
      </c>
      <c r="H41" s="42" t="s">
        <v>15</v>
      </c>
      <c r="I41" s="42" t="s">
        <v>13</v>
      </c>
    </row>
    <row r="42" spans="1:9" x14ac:dyDescent="0.2">
      <c r="A42" s="42" t="s">
        <v>51</v>
      </c>
      <c r="B42" s="42">
        <v>0.60542921000000005</v>
      </c>
      <c r="C42" s="42">
        <v>0.93689073</v>
      </c>
      <c r="D42" s="42">
        <v>21.760958299999999</v>
      </c>
      <c r="E42" s="42">
        <v>0.64621112000000003</v>
      </c>
      <c r="F42" s="42">
        <v>0.96552883</v>
      </c>
      <c r="G42" s="42" t="s">
        <v>8</v>
      </c>
      <c r="H42" s="42" t="s">
        <v>15</v>
      </c>
      <c r="I42" s="42" t="s">
        <v>14</v>
      </c>
    </row>
    <row r="43" spans="1:9" x14ac:dyDescent="0.2">
      <c r="A43" s="42" t="s">
        <v>52</v>
      </c>
      <c r="B43" s="42">
        <v>0.77517422000000002</v>
      </c>
      <c r="C43" s="42">
        <v>0.81373258999999998</v>
      </c>
      <c r="D43" s="42">
        <v>22.002864200000001</v>
      </c>
      <c r="E43" s="42">
        <v>0.95261543000000004</v>
      </c>
      <c r="F43" s="42">
        <v>0.87296574999999998</v>
      </c>
      <c r="G43" s="42" t="s">
        <v>8</v>
      </c>
      <c r="H43" s="42" t="s">
        <v>15</v>
      </c>
      <c r="I43" s="42" t="s">
        <v>14</v>
      </c>
    </row>
    <row r="44" spans="1:9" x14ac:dyDescent="0.2">
      <c r="A44" s="42" t="s">
        <v>53</v>
      </c>
      <c r="B44" s="42">
        <v>1.38667396</v>
      </c>
      <c r="C44" s="42">
        <v>0.94240416000000005</v>
      </c>
      <c r="D44" s="42">
        <v>23.2652982</v>
      </c>
      <c r="E44" s="42">
        <v>1.4714217300000001</v>
      </c>
      <c r="F44" s="42">
        <v>0.59009003000000004</v>
      </c>
      <c r="G44" s="42" t="s">
        <v>8</v>
      </c>
      <c r="H44" s="42" t="s">
        <v>15</v>
      </c>
      <c r="I44" s="42" t="s">
        <v>14</v>
      </c>
    </row>
    <row r="45" spans="1:9" x14ac:dyDescent="0.2">
      <c r="A45" s="42" t="s">
        <v>54</v>
      </c>
      <c r="B45" s="42">
        <v>0.15414516</v>
      </c>
      <c r="C45" s="42">
        <v>0.84941707</v>
      </c>
      <c r="D45" s="42">
        <v>23.469305200000001</v>
      </c>
      <c r="E45" s="42">
        <v>0.18147170000000001</v>
      </c>
      <c r="F45" s="42">
        <v>0.99973809999999996</v>
      </c>
      <c r="G45" s="42" t="s">
        <v>8</v>
      </c>
      <c r="H45" s="42" t="s">
        <v>15</v>
      </c>
      <c r="I45" s="42" t="s">
        <v>14</v>
      </c>
    </row>
    <row r="46" spans="1:9" x14ac:dyDescent="0.2">
      <c r="A46" s="42" t="s">
        <v>55</v>
      </c>
      <c r="B46" s="42">
        <v>0.16974501</v>
      </c>
      <c r="C46" s="42">
        <v>0.61055773999999996</v>
      </c>
      <c r="D46" s="42">
        <v>21.360754</v>
      </c>
      <c r="E46" s="42">
        <v>0.27801630999999999</v>
      </c>
      <c r="F46" s="42">
        <v>0.99858148000000002</v>
      </c>
      <c r="G46" s="42" t="s">
        <v>8</v>
      </c>
      <c r="H46" s="42" t="s">
        <v>15</v>
      </c>
      <c r="I46" s="42" t="s">
        <v>14</v>
      </c>
    </row>
    <row r="47" spans="1:9" x14ac:dyDescent="0.2">
      <c r="A47" s="42" t="s">
        <v>56</v>
      </c>
      <c r="B47" s="42">
        <v>0.78124475000000004</v>
      </c>
      <c r="C47" s="42">
        <v>0.76543349000000005</v>
      </c>
      <c r="D47" s="42">
        <v>22.621581299999999</v>
      </c>
      <c r="E47" s="42">
        <v>1.0206565999999999</v>
      </c>
      <c r="F47" s="42">
        <v>0.84321751</v>
      </c>
      <c r="G47" s="42" t="s">
        <v>8</v>
      </c>
      <c r="H47" s="42" t="s">
        <v>15</v>
      </c>
      <c r="I47" s="42" t="s">
        <v>14</v>
      </c>
    </row>
    <row r="48" spans="1:9" x14ac:dyDescent="0.2">
      <c r="A48" s="42" t="s">
        <v>57</v>
      </c>
      <c r="B48" s="42">
        <v>-0.45128410000000002</v>
      </c>
      <c r="C48" s="42">
        <v>0.66971599000000004</v>
      </c>
      <c r="D48" s="42">
        <v>24.309398099999999</v>
      </c>
      <c r="E48" s="42">
        <v>-0.67384390000000005</v>
      </c>
      <c r="F48" s="42">
        <v>0.96021995999999998</v>
      </c>
      <c r="G48" s="42" t="s">
        <v>8</v>
      </c>
      <c r="H48" s="42" t="s">
        <v>15</v>
      </c>
      <c r="I48" s="42" t="s">
        <v>14</v>
      </c>
    </row>
    <row r="49" spans="1:9" x14ac:dyDescent="0.2">
      <c r="A49" s="42" t="s">
        <v>58</v>
      </c>
      <c r="B49" s="42">
        <v>0.61149973999999996</v>
      </c>
      <c r="C49" s="42">
        <v>0.61951603</v>
      </c>
      <c r="D49" s="42">
        <v>24.097712600000001</v>
      </c>
      <c r="E49" s="42">
        <v>0.98706039999999995</v>
      </c>
      <c r="F49" s="42">
        <v>0.85850148000000004</v>
      </c>
      <c r="G49" s="42" t="s">
        <v>8</v>
      </c>
      <c r="H49" s="42" t="s">
        <v>15</v>
      </c>
      <c r="I49" s="42" t="s">
        <v>14</v>
      </c>
    </row>
    <row r="50" spans="1:9" x14ac:dyDescent="0.2">
      <c r="A50" s="42" t="s">
        <v>59</v>
      </c>
      <c r="B50" s="42">
        <v>-0.6210291</v>
      </c>
      <c r="C50" s="42">
        <v>0.47738721000000001</v>
      </c>
      <c r="D50" s="42">
        <v>27.3390512</v>
      </c>
      <c r="E50" s="42">
        <v>-1.3008917</v>
      </c>
      <c r="F50" s="42">
        <v>0.69288234000000004</v>
      </c>
      <c r="G50" s="42" t="s">
        <v>8</v>
      </c>
      <c r="H50" s="42" t="s">
        <v>15</v>
      </c>
      <c r="I50" s="42" t="s">
        <v>14</v>
      </c>
    </row>
    <row r="51" spans="1:9" x14ac:dyDescent="0.2">
      <c r="A51" s="42" t="s">
        <v>60</v>
      </c>
      <c r="B51" s="42">
        <v>-1.2325288000000001</v>
      </c>
      <c r="C51" s="42">
        <v>0.66748004000000005</v>
      </c>
      <c r="D51" s="42">
        <v>25.8887529</v>
      </c>
      <c r="E51" s="42">
        <v>-1.8465403</v>
      </c>
      <c r="F51" s="42">
        <v>0.37003099</v>
      </c>
      <c r="G51" s="42" t="s">
        <v>8</v>
      </c>
      <c r="H51" s="42" t="s">
        <v>15</v>
      </c>
      <c r="I51" s="42" t="s">
        <v>14</v>
      </c>
    </row>
    <row r="52" spans="1:9" x14ac:dyDescent="0.2">
      <c r="A52" s="42" t="s">
        <v>36</v>
      </c>
      <c r="B52" s="42">
        <v>5.0579350000000002E-2</v>
      </c>
      <c r="C52" s="42">
        <v>0.10605320999999999</v>
      </c>
      <c r="D52" s="42">
        <v>60.497976600000001</v>
      </c>
      <c r="E52" s="42">
        <v>0.47692427999999998</v>
      </c>
      <c r="F52" s="42">
        <v>0.96389756000000004</v>
      </c>
      <c r="G52" s="42" t="s">
        <v>16</v>
      </c>
      <c r="H52" s="42" t="s">
        <v>9</v>
      </c>
      <c r="I52" s="42" t="s">
        <v>10</v>
      </c>
    </row>
    <row r="53" spans="1:9" x14ac:dyDescent="0.2">
      <c r="A53" s="42" t="s">
        <v>37</v>
      </c>
      <c r="B53" s="42">
        <v>-0.1876642</v>
      </c>
      <c r="C53" s="42">
        <v>0.25610421</v>
      </c>
      <c r="D53" s="42">
        <v>60.184655499999998</v>
      </c>
      <c r="E53" s="42">
        <v>-0.73276490000000005</v>
      </c>
      <c r="F53" s="42">
        <v>0.88354058999999996</v>
      </c>
      <c r="G53" s="42" t="s">
        <v>16</v>
      </c>
      <c r="H53" s="42" t="s">
        <v>9</v>
      </c>
      <c r="I53" s="42" t="s">
        <v>10</v>
      </c>
    </row>
    <row r="54" spans="1:9" x14ac:dyDescent="0.2">
      <c r="A54" s="42" t="s">
        <v>38</v>
      </c>
      <c r="B54" s="42">
        <v>-5.9135300000000002E-2</v>
      </c>
      <c r="C54" s="42">
        <v>0.13311137000000001</v>
      </c>
      <c r="D54" s="42">
        <v>60.466183700000002</v>
      </c>
      <c r="E54" s="42">
        <v>-0.44425389999999998</v>
      </c>
      <c r="F54" s="42">
        <v>0.97047972999999998</v>
      </c>
      <c r="G54" s="42" t="s">
        <v>16</v>
      </c>
      <c r="H54" s="42" t="s">
        <v>9</v>
      </c>
      <c r="I54" s="42" t="s">
        <v>10</v>
      </c>
    </row>
    <row r="55" spans="1:9" x14ac:dyDescent="0.2">
      <c r="A55" s="42" t="s">
        <v>39</v>
      </c>
      <c r="B55" s="42">
        <v>-0.2382435</v>
      </c>
      <c r="C55" s="42">
        <v>0.26017221000000001</v>
      </c>
      <c r="D55" s="42">
        <v>58.9615309</v>
      </c>
      <c r="E55" s="42">
        <v>-0.91571469999999999</v>
      </c>
      <c r="F55" s="42">
        <v>0.79655564999999995</v>
      </c>
      <c r="G55" s="42" t="s">
        <v>16</v>
      </c>
      <c r="H55" s="42" t="s">
        <v>9</v>
      </c>
      <c r="I55" s="42" t="s">
        <v>10</v>
      </c>
    </row>
    <row r="56" spans="1:9" x14ac:dyDescent="0.2">
      <c r="A56" s="42" t="s">
        <v>40</v>
      </c>
      <c r="B56" s="42">
        <v>-0.1097146</v>
      </c>
      <c r="C56" s="42">
        <v>0.1439011</v>
      </c>
      <c r="D56" s="42">
        <v>62.343940099999998</v>
      </c>
      <c r="E56" s="42">
        <v>-0.76243059999999996</v>
      </c>
      <c r="F56" s="42">
        <v>0.87097608000000004</v>
      </c>
      <c r="G56" s="42" t="s">
        <v>16</v>
      </c>
      <c r="H56" s="42" t="s">
        <v>9</v>
      </c>
      <c r="I56" s="42" t="s">
        <v>10</v>
      </c>
    </row>
    <row r="57" spans="1:9" x14ac:dyDescent="0.2">
      <c r="A57" s="42" t="s">
        <v>41</v>
      </c>
      <c r="B57" s="42">
        <v>0.12852891999999999</v>
      </c>
      <c r="C57" s="42">
        <v>0.27653029000000001</v>
      </c>
      <c r="D57" s="42">
        <v>63.199258999999998</v>
      </c>
      <c r="E57" s="42">
        <v>0.46479145999999999</v>
      </c>
      <c r="F57" s="42">
        <v>0.96644801000000002</v>
      </c>
      <c r="G57" s="42" t="s">
        <v>16</v>
      </c>
      <c r="H57" s="42" t="s">
        <v>9</v>
      </c>
      <c r="I57" s="42" t="s">
        <v>10</v>
      </c>
    </row>
    <row r="58" spans="1:9" x14ac:dyDescent="0.2">
      <c r="A58" s="42" t="s">
        <v>42</v>
      </c>
      <c r="B58" s="42">
        <v>-0.16028980000000001</v>
      </c>
      <c r="C58" s="42">
        <v>0.10225381</v>
      </c>
      <c r="D58" s="42">
        <v>65.359746000000001</v>
      </c>
      <c r="E58" s="42">
        <v>-1.5675680000000001</v>
      </c>
      <c r="F58" s="42">
        <v>0.26687924000000002</v>
      </c>
      <c r="G58" s="42" t="s">
        <v>16</v>
      </c>
      <c r="H58" s="42" t="s">
        <v>9</v>
      </c>
      <c r="I58" s="42" t="s">
        <v>12</v>
      </c>
    </row>
    <row r="59" spans="1:9" x14ac:dyDescent="0.2">
      <c r="A59" s="42" t="s">
        <v>43</v>
      </c>
      <c r="B59" s="42">
        <v>-9.4241400000000003E-2</v>
      </c>
      <c r="C59" s="42">
        <v>0.17538655</v>
      </c>
      <c r="D59" s="42">
        <v>66.419578599999994</v>
      </c>
      <c r="E59" s="42">
        <v>-0.53733529999999996</v>
      </c>
      <c r="F59" s="42">
        <v>0.85324739999999999</v>
      </c>
      <c r="G59" s="42" t="s">
        <v>16</v>
      </c>
      <c r="H59" s="42" t="s">
        <v>9</v>
      </c>
      <c r="I59" s="42" t="s">
        <v>12</v>
      </c>
    </row>
    <row r="60" spans="1:9" ht="17" thickBot="1" x14ac:dyDescent="0.25">
      <c r="A60" s="42" t="s">
        <v>44</v>
      </c>
      <c r="B60" s="42">
        <v>6.6048410000000002E-2</v>
      </c>
      <c r="C60" s="42">
        <v>0.16389518</v>
      </c>
      <c r="D60" s="42">
        <v>64.237228400000006</v>
      </c>
      <c r="E60" s="42">
        <v>0.40299179000000002</v>
      </c>
      <c r="F60" s="42">
        <v>0.91449698000000001</v>
      </c>
      <c r="G60" s="42" t="s">
        <v>16</v>
      </c>
      <c r="H60" s="42" t="s">
        <v>9</v>
      </c>
      <c r="I60" s="42" t="s">
        <v>12</v>
      </c>
    </row>
    <row r="61" spans="1:9" x14ac:dyDescent="0.2">
      <c r="A61" s="44" t="s">
        <v>45</v>
      </c>
      <c r="B61" s="45">
        <v>-1.5330786000000001</v>
      </c>
      <c r="C61" s="45">
        <v>0.27705940000000001</v>
      </c>
      <c r="D61" s="45">
        <v>63.386571699999998</v>
      </c>
      <c r="E61" s="45">
        <v>-5.5333931999999999</v>
      </c>
      <c r="F61" s="46">
        <v>3.7699999999999999E-6</v>
      </c>
      <c r="G61" s="45" t="s">
        <v>16</v>
      </c>
      <c r="H61" s="45" t="s">
        <v>9</v>
      </c>
      <c r="I61" s="47" t="s">
        <v>13</v>
      </c>
    </row>
    <row r="62" spans="1:9" x14ac:dyDescent="0.2">
      <c r="A62" s="48" t="s">
        <v>46</v>
      </c>
      <c r="B62" s="49">
        <v>-1.4465479999999999</v>
      </c>
      <c r="C62" s="49">
        <v>0.27921817999999998</v>
      </c>
      <c r="D62" s="49">
        <v>61.891997799999999</v>
      </c>
      <c r="E62" s="49">
        <v>-5.1807083</v>
      </c>
      <c r="F62" s="50">
        <v>1.5E-5</v>
      </c>
      <c r="G62" s="49" t="s">
        <v>16</v>
      </c>
      <c r="H62" s="49" t="s">
        <v>9</v>
      </c>
      <c r="I62" s="51" t="s">
        <v>13</v>
      </c>
    </row>
    <row r="63" spans="1:9" x14ac:dyDescent="0.2">
      <c r="A63" s="48" t="s">
        <v>47</v>
      </c>
      <c r="B63" s="49">
        <v>-1.5893799</v>
      </c>
      <c r="C63" s="49">
        <v>0.29013154000000002</v>
      </c>
      <c r="D63" s="49">
        <v>69.035889299999994</v>
      </c>
      <c r="E63" s="49">
        <v>-5.4781354000000002</v>
      </c>
      <c r="F63" s="50">
        <v>3.8700000000000002E-6</v>
      </c>
      <c r="G63" s="49" t="s">
        <v>16</v>
      </c>
      <c r="H63" s="49" t="s">
        <v>9</v>
      </c>
      <c r="I63" s="51" t="s">
        <v>13</v>
      </c>
    </row>
    <row r="64" spans="1:9" x14ac:dyDescent="0.2">
      <c r="A64" s="48" t="s">
        <v>48</v>
      </c>
      <c r="B64" s="49">
        <v>8.6530650000000001E-2</v>
      </c>
      <c r="C64" s="49">
        <v>9.2669989999999994E-2</v>
      </c>
      <c r="D64" s="49">
        <v>63.271563100000002</v>
      </c>
      <c r="E64" s="49">
        <v>0.93375048000000005</v>
      </c>
      <c r="F64" s="49">
        <v>0.78686772999999999</v>
      </c>
      <c r="G64" s="49" t="s">
        <v>16</v>
      </c>
      <c r="H64" s="49" t="s">
        <v>9</v>
      </c>
      <c r="I64" s="51" t="s">
        <v>13</v>
      </c>
    </row>
    <row r="65" spans="1:9" x14ac:dyDescent="0.2">
      <c r="A65" s="48" t="s">
        <v>49</v>
      </c>
      <c r="B65" s="49">
        <v>-5.6301299999999999E-2</v>
      </c>
      <c r="C65" s="49">
        <v>0.10222141999999999</v>
      </c>
      <c r="D65" s="49">
        <v>56.552645300000002</v>
      </c>
      <c r="E65" s="49">
        <v>-0.55077759999999998</v>
      </c>
      <c r="F65" s="49">
        <v>0.94596290999999999</v>
      </c>
      <c r="G65" s="49" t="s">
        <v>16</v>
      </c>
      <c r="H65" s="49" t="s">
        <v>9</v>
      </c>
      <c r="I65" s="51" t="s">
        <v>13</v>
      </c>
    </row>
    <row r="66" spans="1:9" ht="17" thickBot="1" x14ac:dyDescent="0.25">
      <c r="A66" s="52" t="s">
        <v>50</v>
      </c>
      <c r="B66" s="53">
        <v>-0.14283190000000001</v>
      </c>
      <c r="C66" s="53">
        <v>0.11432589</v>
      </c>
      <c r="D66" s="53">
        <v>59.769159700000003</v>
      </c>
      <c r="E66" s="53">
        <v>-1.2493401</v>
      </c>
      <c r="F66" s="53">
        <v>0.59835194999999997</v>
      </c>
      <c r="G66" s="53" t="s">
        <v>16</v>
      </c>
      <c r="H66" s="53" t="s">
        <v>9</v>
      </c>
      <c r="I66" s="54" t="s">
        <v>13</v>
      </c>
    </row>
    <row r="67" spans="1:9" x14ac:dyDescent="0.2">
      <c r="A67" s="42" t="s">
        <v>51</v>
      </c>
      <c r="B67" s="42">
        <v>4.6277180000000001E-2</v>
      </c>
      <c r="C67" s="42">
        <v>0.10097963</v>
      </c>
      <c r="D67" s="42">
        <v>60.302718599999999</v>
      </c>
      <c r="E67" s="42">
        <v>0.45828236</v>
      </c>
      <c r="F67" s="42">
        <v>0.99068990000000001</v>
      </c>
      <c r="G67" s="42" t="s">
        <v>16</v>
      </c>
      <c r="H67" s="42" t="s">
        <v>9</v>
      </c>
      <c r="I67" s="42" t="s">
        <v>14</v>
      </c>
    </row>
    <row r="68" spans="1:9" x14ac:dyDescent="0.2">
      <c r="A68" s="42" t="s">
        <v>52</v>
      </c>
      <c r="B68" s="42">
        <v>-3.8629200000000002E-2</v>
      </c>
      <c r="C68" s="42">
        <v>0.10922970999999999</v>
      </c>
      <c r="D68" s="42">
        <v>62.740517400000002</v>
      </c>
      <c r="E68" s="42">
        <v>-0.35365079999999999</v>
      </c>
      <c r="F68" s="42">
        <v>0.99656197999999996</v>
      </c>
      <c r="G68" s="42" t="s">
        <v>16</v>
      </c>
      <c r="H68" s="42" t="s">
        <v>9</v>
      </c>
      <c r="I68" s="42" t="s">
        <v>14</v>
      </c>
    </row>
    <row r="69" spans="1:9" x14ac:dyDescent="0.2">
      <c r="A69" s="42" t="s">
        <v>53</v>
      </c>
      <c r="B69" s="42">
        <v>1.52246054</v>
      </c>
      <c r="C69" s="42">
        <v>0.28435716999999999</v>
      </c>
      <c r="D69" s="42">
        <v>69.281256999999997</v>
      </c>
      <c r="E69" s="42">
        <v>5.3540430499999996</v>
      </c>
      <c r="F69" s="43">
        <v>1.03E-5</v>
      </c>
      <c r="G69" s="42" t="s">
        <v>16</v>
      </c>
      <c r="H69" s="42" t="s">
        <v>9</v>
      </c>
      <c r="I69" s="42" t="s">
        <v>14</v>
      </c>
    </row>
    <row r="70" spans="1:9" x14ac:dyDescent="0.2">
      <c r="A70" s="42" t="s">
        <v>54</v>
      </c>
      <c r="B70" s="42">
        <v>4.9713189999999997E-2</v>
      </c>
      <c r="C70" s="42">
        <v>0.12578797</v>
      </c>
      <c r="D70" s="42">
        <v>64.487207100000006</v>
      </c>
      <c r="E70" s="42">
        <v>0.39521416999999998</v>
      </c>
      <c r="F70" s="42">
        <v>0.99472274999999999</v>
      </c>
      <c r="G70" s="42" t="s">
        <v>16</v>
      </c>
      <c r="H70" s="42" t="s">
        <v>9</v>
      </c>
      <c r="I70" s="42" t="s">
        <v>14</v>
      </c>
    </row>
    <row r="71" spans="1:9" x14ac:dyDescent="0.2">
      <c r="A71" s="42" t="s">
        <v>55</v>
      </c>
      <c r="B71" s="42">
        <v>-8.4906400000000007E-2</v>
      </c>
      <c r="C71" s="42">
        <v>0.11801970000000001</v>
      </c>
      <c r="D71" s="42">
        <v>59.562746400000002</v>
      </c>
      <c r="E71" s="42">
        <v>-0.71942530000000005</v>
      </c>
      <c r="F71" s="42">
        <v>0.95121531000000004</v>
      </c>
      <c r="G71" s="42" t="s">
        <v>16</v>
      </c>
      <c r="H71" s="42" t="s">
        <v>9</v>
      </c>
      <c r="I71" s="42" t="s">
        <v>14</v>
      </c>
    </row>
    <row r="72" spans="1:9" x14ac:dyDescent="0.2">
      <c r="A72" s="42" t="s">
        <v>56</v>
      </c>
      <c r="B72" s="42">
        <v>1.4761833600000001</v>
      </c>
      <c r="C72" s="42">
        <v>0.28682635000000001</v>
      </c>
      <c r="D72" s="42">
        <v>67.237960700000002</v>
      </c>
      <c r="E72" s="42">
        <v>5.1466100600000004</v>
      </c>
      <c r="F72" s="43">
        <v>2.4199999999999999E-5</v>
      </c>
      <c r="G72" s="42" t="s">
        <v>16</v>
      </c>
      <c r="H72" s="42" t="s">
        <v>9</v>
      </c>
      <c r="I72" s="42" t="s">
        <v>14</v>
      </c>
    </row>
    <row r="73" spans="1:9" x14ac:dyDescent="0.2">
      <c r="A73" s="42" t="s">
        <v>57</v>
      </c>
      <c r="B73" s="42">
        <v>3.4359999999999998E-3</v>
      </c>
      <c r="C73" s="42">
        <v>0.13286273000000001</v>
      </c>
      <c r="D73" s="42">
        <v>59.889833299999999</v>
      </c>
      <c r="E73" s="42">
        <v>2.586132E-2</v>
      </c>
      <c r="F73" s="42">
        <v>0.99999990000000005</v>
      </c>
      <c r="G73" s="42" t="s">
        <v>16</v>
      </c>
      <c r="H73" s="42" t="s">
        <v>9</v>
      </c>
      <c r="I73" s="42" t="s">
        <v>14</v>
      </c>
    </row>
    <row r="74" spans="1:9" x14ac:dyDescent="0.2">
      <c r="A74" s="42" t="s">
        <v>58</v>
      </c>
      <c r="B74" s="42">
        <v>1.56108972</v>
      </c>
      <c r="C74" s="42">
        <v>0.28984626000000002</v>
      </c>
      <c r="D74" s="42">
        <v>66.141732700000006</v>
      </c>
      <c r="E74" s="42">
        <v>5.3859232800000001</v>
      </c>
      <c r="F74" s="43">
        <v>1.0000000000000001E-5</v>
      </c>
      <c r="G74" s="42" t="s">
        <v>16</v>
      </c>
      <c r="H74" s="42" t="s">
        <v>9</v>
      </c>
      <c r="I74" s="42" t="s">
        <v>14</v>
      </c>
    </row>
    <row r="75" spans="1:9" x14ac:dyDescent="0.2">
      <c r="A75" s="42" t="s">
        <v>59</v>
      </c>
      <c r="B75" s="42">
        <v>8.8342370000000003E-2</v>
      </c>
      <c r="C75" s="42">
        <v>0.13926960999999999</v>
      </c>
      <c r="D75" s="42">
        <v>59.650987700000002</v>
      </c>
      <c r="E75" s="42">
        <v>0.63432619999999995</v>
      </c>
      <c r="F75" s="42">
        <v>0.96885345</v>
      </c>
      <c r="G75" s="42" t="s">
        <v>16</v>
      </c>
      <c r="H75" s="42" t="s">
        <v>9</v>
      </c>
      <c r="I75" s="42" t="s">
        <v>14</v>
      </c>
    </row>
    <row r="76" spans="1:9" x14ac:dyDescent="0.2">
      <c r="A76" s="42" t="s">
        <v>60</v>
      </c>
      <c r="B76" s="42">
        <v>-1.4727474</v>
      </c>
      <c r="C76" s="42">
        <v>0.28729891000000002</v>
      </c>
      <c r="D76" s="42">
        <v>59.515320199999998</v>
      </c>
      <c r="E76" s="42">
        <v>-5.1261850000000004</v>
      </c>
      <c r="F76" s="43">
        <v>3.26E-5</v>
      </c>
      <c r="G76" s="42" t="s">
        <v>16</v>
      </c>
      <c r="H76" s="42" t="s">
        <v>9</v>
      </c>
      <c r="I76" s="42" t="s">
        <v>14</v>
      </c>
    </row>
    <row r="77" spans="1:9" x14ac:dyDescent="0.2">
      <c r="A77" s="42" t="s">
        <v>36</v>
      </c>
      <c r="B77" s="42">
        <v>0.73163325000000001</v>
      </c>
      <c r="C77" s="42">
        <v>1.18106581</v>
      </c>
      <c r="D77" s="42">
        <v>153.09936200000001</v>
      </c>
      <c r="E77" s="42">
        <v>0.61946866</v>
      </c>
      <c r="F77" s="42">
        <v>0.92572650000000001</v>
      </c>
      <c r="G77" s="42" t="s">
        <v>16</v>
      </c>
      <c r="H77" s="42" t="s">
        <v>15</v>
      </c>
      <c r="I77" s="42" t="s">
        <v>10</v>
      </c>
    </row>
    <row r="78" spans="1:9" x14ac:dyDescent="0.2">
      <c r="A78" s="42" t="s">
        <v>37</v>
      </c>
      <c r="B78" s="42">
        <v>-1.2749121000000001</v>
      </c>
      <c r="C78" s="42">
        <v>1.42028142</v>
      </c>
      <c r="D78" s="42">
        <v>128.753817</v>
      </c>
      <c r="E78" s="42">
        <v>-0.89764750000000004</v>
      </c>
      <c r="F78" s="42">
        <v>0.80606622999999999</v>
      </c>
      <c r="G78" s="42" t="s">
        <v>16</v>
      </c>
      <c r="H78" s="42" t="s">
        <v>15</v>
      </c>
      <c r="I78" s="42" t="s">
        <v>10</v>
      </c>
    </row>
    <row r="79" spans="1:9" x14ac:dyDescent="0.2">
      <c r="A79" s="42" t="s">
        <v>38</v>
      </c>
      <c r="B79" s="42">
        <v>-0.92059199999999997</v>
      </c>
      <c r="C79" s="42">
        <v>1.2189066099999999</v>
      </c>
      <c r="D79" s="42">
        <v>159.34515300000001</v>
      </c>
      <c r="E79" s="42">
        <v>-0.75526040000000005</v>
      </c>
      <c r="F79" s="42">
        <v>0.87429818999999998</v>
      </c>
      <c r="G79" s="42" t="s">
        <v>16</v>
      </c>
      <c r="H79" s="42" t="s">
        <v>15</v>
      </c>
      <c r="I79" s="42" t="s">
        <v>10</v>
      </c>
    </row>
    <row r="80" spans="1:9" x14ac:dyDescent="0.2">
      <c r="A80" s="42" t="s">
        <v>39</v>
      </c>
      <c r="B80" s="42">
        <v>-2.0065453</v>
      </c>
      <c r="C80" s="42">
        <v>1.24642783</v>
      </c>
      <c r="D80" s="42">
        <v>104.208224</v>
      </c>
      <c r="E80" s="42">
        <v>-1.6098368000000001</v>
      </c>
      <c r="F80" s="42">
        <v>0.37760543000000002</v>
      </c>
      <c r="G80" s="42" t="s">
        <v>16</v>
      </c>
      <c r="H80" s="42" t="s">
        <v>15</v>
      </c>
      <c r="I80" s="42" t="s">
        <v>10</v>
      </c>
    </row>
    <row r="81" spans="1:9" x14ac:dyDescent="0.2">
      <c r="A81" s="42" t="s">
        <v>40</v>
      </c>
      <c r="B81" s="42">
        <v>-1.6522251999999999</v>
      </c>
      <c r="C81" s="42">
        <v>0.94982343999999996</v>
      </c>
      <c r="D81" s="42">
        <v>95.230057799999997</v>
      </c>
      <c r="E81" s="42">
        <v>-1.7395077000000001</v>
      </c>
      <c r="F81" s="42">
        <v>0.30921576000000001</v>
      </c>
      <c r="G81" s="42" t="s">
        <v>16</v>
      </c>
      <c r="H81" s="42" t="s">
        <v>15</v>
      </c>
      <c r="I81" s="42" t="s">
        <v>10</v>
      </c>
    </row>
    <row r="82" spans="1:9" x14ac:dyDescent="0.2">
      <c r="A82" s="42" t="s">
        <v>41</v>
      </c>
      <c r="B82" s="42">
        <v>0.35432014000000001</v>
      </c>
      <c r="C82" s="42">
        <v>1.27951992</v>
      </c>
      <c r="D82" s="42">
        <v>117.594228</v>
      </c>
      <c r="E82" s="42">
        <v>0.27691647000000003</v>
      </c>
      <c r="F82" s="42">
        <v>0.99254679999999995</v>
      </c>
      <c r="G82" s="42" t="s">
        <v>16</v>
      </c>
      <c r="H82" s="42" t="s">
        <v>15</v>
      </c>
      <c r="I82" s="42" t="s">
        <v>10</v>
      </c>
    </row>
    <row r="83" spans="1:9" x14ac:dyDescent="0.2">
      <c r="A83" s="42" t="s">
        <v>42</v>
      </c>
      <c r="B83" s="42">
        <v>-0.27243400000000001</v>
      </c>
      <c r="C83" s="42">
        <v>1.0655874700000001</v>
      </c>
      <c r="D83" s="42">
        <v>160.38685799999999</v>
      </c>
      <c r="E83" s="42">
        <v>-0.25566549999999999</v>
      </c>
      <c r="F83" s="42">
        <v>0.96461675000000002</v>
      </c>
      <c r="G83" s="42" t="s">
        <v>16</v>
      </c>
      <c r="H83" s="42" t="s">
        <v>15</v>
      </c>
      <c r="I83" s="42" t="s">
        <v>12</v>
      </c>
    </row>
    <row r="84" spans="1:9" x14ac:dyDescent="0.2">
      <c r="A84" s="42" t="s">
        <v>43</v>
      </c>
      <c r="B84" s="42">
        <v>-1.6845589000000001</v>
      </c>
      <c r="C84" s="42">
        <v>1.6090397000000001</v>
      </c>
      <c r="D84" s="42">
        <v>142.31661199999999</v>
      </c>
      <c r="E84" s="42">
        <v>-1.0469343</v>
      </c>
      <c r="F84" s="42">
        <v>0.54860962000000002</v>
      </c>
      <c r="G84" s="42" t="s">
        <v>16</v>
      </c>
      <c r="H84" s="42" t="s">
        <v>15</v>
      </c>
      <c r="I84" s="42" t="s">
        <v>12</v>
      </c>
    </row>
    <row r="85" spans="1:9" x14ac:dyDescent="0.2">
      <c r="A85" s="42" t="s">
        <v>44</v>
      </c>
      <c r="B85" s="42">
        <v>-1.4121249</v>
      </c>
      <c r="C85" s="42">
        <v>1.4104844000000001</v>
      </c>
      <c r="D85" s="42">
        <v>123.049634</v>
      </c>
      <c r="E85" s="42">
        <v>-1.0011631000000001</v>
      </c>
      <c r="F85" s="42">
        <v>0.57753193999999997</v>
      </c>
      <c r="G85" s="42" t="s">
        <v>16</v>
      </c>
      <c r="H85" s="42" t="s">
        <v>15</v>
      </c>
      <c r="I85" s="42" t="s">
        <v>12</v>
      </c>
    </row>
    <row r="86" spans="1:9" x14ac:dyDescent="0.2">
      <c r="A86" s="42" t="s">
        <v>45</v>
      </c>
      <c r="B86" s="42">
        <v>-1.3315216000000001</v>
      </c>
      <c r="C86" s="42">
        <v>1.71387695</v>
      </c>
      <c r="D86" s="42">
        <v>8430.7604699999993</v>
      </c>
      <c r="E86" s="42">
        <v>-0.77690619999999999</v>
      </c>
      <c r="F86" s="42">
        <v>0.86494539000000004</v>
      </c>
      <c r="G86" s="42" t="s">
        <v>16</v>
      </c>
      <c r="H86" s="42" t="s">
        <v>15</v>
      </c>
      <c r="I86" s="42" t="s">
        <v>13</v>
      </c>
    </row>
    <row r="87" spans="1:9" x14ac:dyDescent="0.2">
      <c r="A87" s="42" t="s">
        <v>46</v>
      </c>
      <c r="B87" s="42">
        <v>-1.5746686999999999</v>
      </c>
      <c r="C87" s="42">
        <v>1.7350227300000001</v>
      </c>
      <c r="D87" s="42">
        <v>8046.64228</v>
      </c>
      <c r="E87" s="42">
        <v>-0.90757810000000005</v>
      </c>
      <c r="F87" s="42">
        <v>0.80081407999999998</v>
      </c>
      <c r="G87" s="42" t="s">
        <v>16</v>
      </c>
      <c r="H87" s="42" t="s">
        <v>15</v>
      </c>
      <c r="I87" s="42" t="s">
        <v>13</v>
      </c>
    </row>
    <row r="88" spans="1:9" x14ac:dyDescent="0.2">
      <c r="A88" s="42" t="s">
        <v>47</v>
      </c>
      <c r="B88" s="42">
        <v>-1.6312712</v>
      </c>
      <c r="C88" s="42">
        <v>1.7244983199999999</v>
      </c>
      <c r="D88" s="42">
        <v>10635.8791</v>
      </c>
      <c r="E88" s="42">
        <v>-0.94593959999999999</v>
      </c>
      <c r="F88" s="42">
        <v>0.78000356000000004</v>
      </c>
      <c r="G88" s="42" t="s">
        <v>16</v>
      </c>
      <c r="H88" s="42" t="s">
        <v>15</v>
      </c>
      <c r="I88" s="42" t="s">
        <v>13</v>
      </c>
    </row>
    <row r="89" spans="1:9" x14ac:dyDescent="0.2">
      <c r="A89" s="42" t="s">
        <v>48</v>
      </c>
      <c r="B89" s="42">
        <v>-0.243147</v>
      </c>
      <c r="C89" s="42">
        <v>1.2465669500000001</v>
      </c>
      <c r="D89" s="42">
        <v>11267.387199999999</v>
      </c>
      <c r="E89" s="42">
        <v>-0.19505330000000001</v>
      </c>
      <c r="F89" s="42">
        <v>0.99737211999999997</v>
      </c>
      <c r="G89" s="42" t="s">
        <v>16</v>
      </c>
      <c r="H89" s="42" t="s">
        <v>15</v>
      </c>
      <c r="I89" s="42" t="s">
        <v>13</v>
      </c>
    </row>
    <row r="90" spans="1:9" x14ac:dyDescent="0.2">
      <c r="A90" s="42" t="s">
        <v>49</v>
      </c>
      <c r="B90" s="42">
        <v>-0.2997496</v>
      </c>
      <c r="C90" s="42">
        <v>1.17028395</v>
      </c>
      <c r="D90" s="42">
        <v>13287.242899999999</v>
      </c>
      <c r="E90" s="42">
        <v>-0.25613409999999998</v>
      </c>
      <c r="F90" s="42">
        <v>0.99411057000000003</v>
      </c>
      <c r="G90" s="42" t="s">
        <v>16</v>
      </c>
      <c r="H90" s="42" t="s">
        <v>15</v>
      </c>
      <c r="I90" s="42" t="s">
        <v>13</v>
      </c>
    </row>
    <row r="91" spans="1:9" x14ac:dyDescent="0.2">
      <c r="A91" s="42" t="s">
        <v>50</v>
      </c>
      <c r="B91" s="42">
        <v>-5.6602600000000003E-2</v>
      </c>
      <c r="C91" s="42">
        <v>1.1084106</v>
      </c>
      <c r="D91" s="42">
        <v>9226.2358800000002</v>
      </c>
      <c r="E91" s="42">
        <v>-5.1066399999999998E-2</v>
      </c>
      <c r="F91" s="42">
        <v>0.99995221000000001</v>
      </c>
      <c r="G91" s="42" t="s">
        <v>16</v>
      </c>
      <c r="H91" s="42" t="s">
        <v>15</v>
      </c>
      <c r="I91" s="42" t="s">
        <v>13</v>
      </c>
    </row>
    <row r="92" spans="1:9" x14ac:dyDescent="0.2">
      <c r="A92" s="42" t="s">
        <v>51</v>
      </c>
      <c r="B92" s="42">
        <v>-1.8445657</v>
      </c>
      <c r="C92" s="42">
        <v>2.6529061500000002</v>
      </c>
      <c r="D92" s="42">
        <v>146.94924900000001</v>
      </c>
      <c r="E92" s="42">
        <v>-0.69530000000000003</v>
      </c>
      <c r="F92" s="42">
        <v>0.95723398000000004</v>
      </c>
      <c r="G92" s="42" t="s">
        <v>16</v>
      </c>
      <c r="H92" s="42" t="s">
        <v>15</v>
      </c>
      <c r="I92" s="42" t="s">
        <v>14</v>
      </c>
    </row>
    <row r="93" spans="1:9" x14ac:dyDescent="0.2">
      <c r="A93" s="42" t="s">
        <v>52</v>
      </c>
      <c r="B93" s="42">
        <v>-2.1912088999999999</v>
      </c>
      <c r="C93" s="42">
        <v>2.0236413</v>
      </c>
      <c r="D93" s="42">
        <v>74.455799400000004</v>
      </c>
      <c r="E93" s="42">
        <v>-1.082805</v>
      </c>
      <c r="F93" s="42">
        <v>0.81480273999999997</v>
      </c>
      <c r="G93" s="42" t="s">
        <v>16</v>
      </c>
      <c r="H93" s="42" t="s">
        <v>15</v>
      </c>
      <c r="I93" s="42" t="s">
        <v>14</v>
      </c>
    </row>
    <row r="94" spans="1:9" x14ac:dyDescent="0.2">
      <c r="A94" s="42" t="s">
        <v>53</v>
      </c>
      <c r="B94" s="42">
        <v>-0.59595480000000001</v>
      </c>
      <c r="C94" s="42">
        <v>2.35060271</v>
      </c>
      <c r="D94" s="42">
        <v>96.787520200000003</v>
      </c>
      <c r="E94" s="42">
        <v>-0.2535328</v>
      </c>
      <c r="F94" s="42">
        <v>0.99907385999999998</v>
      </c>
      <c r="G94" s="42" t="s">
        <v>16</v>
      </c>
      <c r="H94" s="42" t="s">
        <v>15</v>
      </c>
      <c r="I94" s="42" t="s">
        <v>14</v>
      </c>
    </row>
    <row r="95" spans="1:9" x14ac:dyDescent="0.2">
      <c r="A95" s="42" t="s">
        <v>54</v>
      </c>
      <c r="B95" s="42">
        <v>-1.4356496000000001</v>
      </c>
      <c r="C95" s="42">
        <v>2.0357439199999998</v>
      </c>
      <c r="D95" s="42">
        <v>75.550858000000005</v>
      </c>
      <c r="E95" s="42">
        <v>-0.70522110000000005</v>
      </c>
      <c r="F95" s="42">
        <v>0.95470078999999997</v>
      </c>
      <c r="G95" s="42" t="s">
        <v>16</v>
      </c>
      <c r="H95" s="42" t="s">
        <v>15</v>
      </c>
      <c r="I95" s="42" t="s">
        <v>14</v>
      </c>
    </row>
    <row r="96" spans="1:9" x14ac:dyDescent="0.2">
      <c r="A96" s="42" t="s">
        <v>55</v>
      </c>
      <c r="B96" s="42">
        <v>-0.34664329999999999</v>
      </c>
      <c r="C96" s="42">
        <v>2.02207954</v>
      </c>
      <c r="D96" s="42">
        <v>214.57647900000001</v>
      </c>
      <c r="E96" s="42">
        <v>-0.1714291</v>
      </c>
      <c r="F96" s="42">
        <v>0.99980524000000004</v>
      </c>
      <c r="G96" s="42" t="s">
        <v>16</v>
      </c>
      <c r="H96" s="42" t="s">
        <v>15</v>
      </c>
      <c r="I96" s="42" t="s">
        <v>14</v>
      </c>
    </row>
    <row r="97" spans="1:9" x14ac:dyDescent="0.2">
      <c r="A97" s="42" t="s">
        <v>56</v>
      </c>
      <c r="B97" s="42">
        <v>1.2486109000000001</v>
      </c>
      <c r="C97" s="42">
        <v>2.2982435300000001</v>
      </c>
      <c r="D97" s="42">
        <v>220.88280800000001</v>
      </c>
      <c r="E97" s="42">
        <v>0.54328920000000003</v>
      </c>
      <c r="F97" s="42">
        <v>0.98266063000000003</v>
      </c>
      <c r="G97" s="42" t="s">
        <v>16</v>
      </c>
      <c r="H97" s="42" t="s">
        <v>15</v>
      </c>
      <c r="I97" s="42" t="s">
        <v>14</v>
      </c>
    </row>
    <row r="98" spans="1:9" x14ac:dyDescent="0.2">
      <c r="A98" s="42" t="s">
        <v>57</v>
      </c>
      <c r="B98" s="42">
        <v>0.40891609000000001</v>
      </c>
      <c r="C98" s="42">
        <v>2.0634694200000001</v>
      </c>
      <c r="D98" s="42">
        <v>215.29325299999999</v>
      </c>
      <c r="E98" s="42">
        <v>0.19816919999999999</v>
      </c>
      <c r="F98" s="42">
        <v>0.99965386000000001</v>
      </c>
      <c r="G98" s="42" t="s">
        <v>16</v>
      </c>
      <c r="H98" s="42" t="s">
        <v>15</v>
      </c>
      <c r="I98" s="42" t="s">
        <v>14</v>
      </c>
    </row>
    <row r="99" spans="1:9" x14ac:dyDescent="0.2">
      <c r="A99" s="42" t="s">
        <v>58</v>
      </c>
      <c r="B99" s="42">
        <v>1.5952541600000001</v>
      </c>
      <c r="C99" s="42">
        <v>1.6114746900000001</v>
      </c>
      <c r="D99" s="42">
        <v>152.569525</v>
      </c>
      <c r="E99" s="42">
        <v>0.98993434999999996</v>
      </c>
      <c r="F99" s="42">
        <v>0.85953122999999998</v>
      </c>
      <c r="G99" s="42" t="s">
        <v>16</v>
      </c>
      <c r="H99" s="42" t="s">
        <v>15</v>
      </c>
      <c r="I99" s="42" t="s">
        <v>14</v>
      </c>
    </row>
    <row r="100" spans="1:9" x14ac:dyDescent="0.2">
      <c r="A100" s="42" t="s">
        <v>59</v>
      </c>
      <c r="B100" s="42">
        <v>0.75555934999999996</v>
      </c>
      <c r="C100" s="42">
        <v>1.1928415400000001</v>
      </c>
      <c r="D100" s="42">
        <v>119.78832800000001</v>
      </c>
      <c r="E100" s="42">
        <v>0.63341133000000005</v>
      </c>
      <c r="F100" s="42">
        <v>0.96934421999999998</v>
      </c>
      <c r="G100" s="42" t="s">
        <v>16</v>
      </c>
      <c r="H100" s="42" t="s">
        <v>15</v>
      </c>
      <c r="I100" s="42" t="s">
        <v>14</v>
      </c>
    </row>
    <row r="101" spans="1:9" ht="17" thickBot="1" x14ac:dyDescent="0.25">
      <c r="A101" s="42" t="s">
        <v>60</v>
      </c>
      <c r="B101" s="42">
        <v>-0.83969479999999996</v>
      </c>
      <c r="C101" s="42">
        <v>1.54488771</v>
      </c>
      <c r="D101" s="42">
        <v>125.611867</v>
      </c>
      <c r="E101" s="42">
        <v>-0.54353130000000005</v>
      </c>
      <c r="F101" s="42">
        <v>0.98254463999999997</v>
      </c>
      <c r="G101" s="42" t="s">
        <v>16</v>
      </c>
      <c r="H101" s="42" t="s">
        <v>15</v>
      </c>
      <c r="I101" s="42" t="s">
        <v>14</v>
      </c>
    </row>
    <row r="102" spans="1:9" x14ac:dyDescent="0.2">
      <c r="A102" s="44" t="s">
        <v>36</v>
      </c>
      <c r="B102" s="45">
        <v>0.13610222999999999</v>
      </c>
      <c r="C102" s="45">
        <v>0.14562832000000001</v>
      </c>
      <c r="D102" s="45">
        <v>81.506146200000003</v>
      </c>
      <c r="E102" s="45">
        <v>0.93458629000000004</v>
      </c>
      <c r="F102" s="45">
        <v>0.78637557999999996</v>
      </c>
      <c r="G102" s="45" t="s">
        <v>19</v>
      </c>
      <c r="H102" s="45" t="s">
        <v>9</v>
      </c>
      <c r="I102" s="47" t="s">
        <v>10</v>
      </c>
    </row>
    <row r="103" spans="1:9" x14ac:dyDescent="0.2">
      <c r="A103" s="48" t="s">
        <v>37</v>
      </c>
      <c r="B103" s="49">
        <v>-0.65619950000000005</v>
      </c>
      <c r="C103" s="49">
        <v>0.31197617999999999</v>
      </c>
      <c r="D103" s="49">
        <v>81.807348000000005</v>
      </c>
      <c r="E103" s="49">
        <v>-2.1033642000000001</v>
      </c>
      <c r="F103" s="49">
        <v>0.16067192</v>
      </c>
      <c r="G103" s="49" t="s">
        <v>19</v>
      </c>
      <c r="H103" s="49" t="s">
        <v>9</v>
      </c>
      <c r="I103" s="51" t="s">
        <v>10</v>
      </c>
    </row>
    <row r="104" spans="1:9" x14ac:dyDescent="0.2">
      <c r="A104" s="48" t="s">
        <v>38</v>
      </c>
      <c r="B104" s="49">
        <v>0.32731788000000001</v>
      </c>
      <c r="C104" s="49">
        <v>0.17875257</v>
      </c>
      <c r="D104" s="49">
        <v>78.938062799999997</v>
      </c>
      <c r="E104" s="49">
        <v>1.83112264</v>
      </c>
      <c r="F104" s="49">
        <v>0.26662323999999998</v>
      </c>
      <c r="G104" s="49" t="s">
        <v>19</v>
      </c>
      <c r="H104" s="49" t="s">
        <v>9</v>
      </c>
      <c r="I104" s="51" t="s">
        <v>10</v>
      </c>
    </row>
    <row r="105" spans="1:9" x14ac:dyDescent="0.2">
      <c r="A105" s="48" t="s">
        <v>39</v>
      </c>
      <c r="B105" s="49">
        <v>-0.79230179999999995</v>
      </c>
      <c r="C105" s="49">
        <v>0.31979305000000002</v>
      </c>
      <c r="D105" s="49">
        <v>82.520339199999995</v>
      </c>
      <c r="E105" s="49">
        <v>-2.4775453000000001</v>
      </c>
      <c r="F105" s="49">
        <v>7.0996649999999994E-2</v>
      </c>
      <c r="G105" s="49" t="s">
        <v>19</v>
      </c>
      <c r="H105" s="49" t="s">
        <v>9</v>
      </c>
      <c r="I105" s="51" t="s">
        <v>10</v>
      </c>
    </row>
    <row r="106" spans="1:9" x14ac:dyDescent="0.2">
      <c r="A106" s="48" t="s">
        <v>40</v>
      </c>
      <c r="B106" s="49">
        <v>0.19121564999999999</v>
      </c>
      <c r="C106" s="49">
        <v>0.19415515</v>
      </c>
      <c r="D106" s="49">
        <v>83.530160899999998</v>
      </c>
      <c r="E106" s="49">
        <v>0.98486006000000004</v>
      </c>
      <c r="F106" s="49">
        <v>0.75843952999999997</v>
      </c>
      <c r="G106" s="49" t="s">
        <v>19</v>
      </c>
      <c r="H106" s="49" t="s">
        <v>9</v>
      </c>
      <c r="I106" s="51" t="s">
        <v>10</v>
      </c>
    </row>
    <row r="107" spans="1:9" ht="17" thickBot="1" x14ac:dyDescent="0.25">
      <c r="A107" s="52" t="s">
        <v>41</v>
      </c>
      <c r="B107" s="53">
        <v>0.98351741000000004</v>
      </c>
      <c r="C107" s="53">
        <v>0.33812681</v>
      </c>
      <c r="D107" s="53">
        <v>82.803899900000005</v>
      </c>
      <c r="E107" s="53">
        <v>2.9087235900000001</v>
      </c>
      <c r="F107" s="53">
        <v>2.3639919999999998E-2</v>
      </c>
      <c r="G107" s="53" t="s">
        <v>19</v>
      </c>
      <c r="H107" s="53" t="s">
        <v>9</v>
      </c>
      <c r="I107" s="54" t="s">
        <v>10</v>
      </c>
    </row>
    <row r="108" spans="1:9" x14ac:dyDescent="0.2">
      <c r="A108" s="42" t="s">
        <v>61</v>
      </c>
      <c r="B108" s="42">
        <v>-0.44318390000000002</v>
      </c>
      <c r="C108" s="42">
        <v>0.91599986</v>
      </c>
      <c r="D108" s="42">
        <v>186.77622600000001</v>
      </c>
      <c r="E108" s="42">
        <v>-0.48382530000000001</v>
      </c>
      <c r="F108" s="42">
        <v>0.98876525000000004</v>
      </c>
      <c r="G108" s="42" t="s">
        <v>19</v>
      </c>
      <c r="H108" s="42" t="s">
        <v>9</v>
      </c>
      <c r="I108" s="42" t="s">
        <v>12</v>
      </c>
    </row>
    <row r="109" spans="1:9" x14ac:dyDescent="0.2">
      <c r="A109" s="42" t="s">
        <v>62</v>
      </c>
      <c r="B109" s="42">
        <v>-2.2963450999999999</v>
      </c>
      <c r="C109" s="42">
        <v>0.62486216999999999</v>
      </c>
      <c r="D109" s="42">
        <v>149.21717200000001</v>
      </c>
      <c r="E109" s="42">
        <v>-3.6749626000000002</v>
      </c>
      <c r="F109" s="42">
        <v>3.0146800000000001E-3</v>
      </c>
      <c r="G109" s="42" t="s">
        <v>19</v>
      </c>
      <c r="H109" s="42" t="s">
        <v>9</v>
      </c>
      <c r="I109" s="42" t="s">
        <v>12</v>
      </c>
    </row>
    <row r="110" spans="1:9" x14ac:dyDescent="0.2">
      <c r="A110" s="42" t="s">
        <v>63</v>
      </c>
      <c r="B110" s="42">
        <v>-2.1704550999999999</v>
      </c>
      <c r="C110" s="42">
        <v>0.61746350999999999</v>
      </c>
      <c r="D110" s="42">
        <v>150.122208</v>
      </c>
      <c r="E110" s="42">
        <v>-3.5151146999999998</v>
      </c>
      <c r="F110" s="42">
        <v>5.1948100000000002E-3</v>
      </c>
      <c r="G110" s="42" t="s">
        <v>19</v>
      </c>
      <c r="H110" s="42" t="s">
        <v>9</v>
      </c>
      <c r="I110" s="42" t="s">
        <v>12</v>
      </c>
    </row>
    <row r="111" spans="1:9" x14ac:dyDescent="0.2">
      <c r="A111" s="42" t="s">
        <v>64</v>
      </c>
      <c r="B111" s="42">
        <v>-2.0742308999999999</v>
      </c>
      <c r="C111" s="42">
        <v>0.63420072000000005</v>
      </c>
      <c r="D111" s="42">
        <v>144.36308600000001</v>
      </c>
      <c r="E111" s="42">
        <v>-3.2706222</v>
      </c>
      <c r="F111" s="42">
        <v>1.155575E-2</v>
      </c>
      <c r="G111" s="42" t="s">
        <v>19</v>
      </c>
      <c r="H111" s="42" t="s">
        <v>9</v>
      </c>
      <c r="I111" s="42" t="s">
        <v>12</v>
      </c>
    </row>
    <row r="112" spans="1:9" x14ac:dyDescent="0.2">
      <c r="A112" s="42" t="s">
        <v>65</v>
      </c>
      <c r="B112" s="42">
        <v>-1.8531612</v>
      </c>
      <c r="C112" s="42">
        <v>0.69130066000000001</v>
      </c>
      <c r="D112" s="42">
        <v>198.31752599999999</v>
      </c>
      <c r="E112" s="42">
        <v>-2.6806877</v>
      </c>
      <c r="F112" s="42">
        <v>6.0456429999999999E-2</v>
      </c>
      <c r="G112" s="42" t="s">
        <v>19</v>
      </c>
      <c r="H112" s="42" t="s">
        <v>9</v>
      </c>
      <c r="I112" s="42" t="s">
        <v>12</v>
      </c>
    </row>
    <row r="113" spans="1:9" x14ac:dyDescent="0.2">
      <c r="A113" s="42" t="s">
        <v>66</v>
      </c>
      <c r="B113" s="42">
        <v>-1.7272711999999999</v>
      </c>
      <c r="C113" s="42">
        <v>0.68492710000000001</v>
      </c>
      <c r="D113" s="42">
        <v>200.795647</v>
      </c>
      <c r="E113" s="42">
        <v>-2.5218321000000001</v>
      </c>
      <c r="F113" s="42">
        <v>8.9857850000000003E-2</v>
      </c>
      <c r="G113" s="42" t="s">
        <v>19</v>
      </c>
      <c r="H113" s="42" t="s">
        <v>9</v>
      </c>
      <c r="I113" s="42" t="s">
        <v>12</v>
      </c>
    </row>
    <row r="114" spans="1:9" x14ac:dyDescent="0.2">
      <c r="A114" s="42" t="s">
        <v>67</v>
      </c>
      <c r="B114" s="42">
        <v>-1.6310469999999999</v>
      </c>
      <c r="C114" s="42">
        <v>0.70077577999999996</v>
      </c>
      <c r="D114" s="42">
        <v>193.315314</v>
      </c>
      <c r="E114" s="42">
        <v>-2.3274876999999998</v>
      </c>
      <c r="F114" s="42">
        <v>0.14067373</v>
      </c>
      <c r="G114" s="42" t="s">
        <v>19</v>
      </c>
      <c r="H114" s="42" t="s">
        <v>9</v>
      </c>
      <c r="I114" s="42" t="s">
        <v>12</v>
      </c>
    </row>
    <row r="115" spans="1:9" x14ac:dyDescent="0.2">
      <c r="A115" s="42" t="s">
        <v>42</v>
      </c>
      <c r="B115" s="42">
        <v>0.12589003000000001</v>
      </c>
      <c r="C115" s="42">
        <v>0.14443399000000001</v>
      </c>
      <c r="D115" s="42">
        <v>86.0562611</v>
      </c>
      <c r="E115" s="42">
        <v>0.87160941999999997</v>
      </c>
      <c r="F115" s="42">
        <v>0.90652191000000004</v>
      </c>
      <c r="G115" s="42" t="s">
        <v>19</v>
      </c>
      <c r="H115" s="42" t="s">
        <v>9</v>
      </c>
      <c r="I115" s="42" t="s">
        <v>12</v>
      </c>
    </row>
    <row r="116" spans="1:9" x14ac:dyDescent="0.2">
      <c r="A116" s="42" t="s">
        <v>43</v>
      </c>
      <c r="B116" s="42">
        <v>0.22211413999999999</v>
      </c>
      <c r="C116" s="42">
        <v>0.20494296000000001</v>
      </c>
      <c r="D116" s="42">
        <v>81.852458799999994</v>
      </c>
      <c r="E116" s="42">
        <v>1.08378519</v>
      </c>
      <c r="F116" s="42">
        <v>0.81436659</v>
      </c>
      <c r="G116" s="42" t="s">
        <v>19</v>
      </c>
      <c r="H116" s="42" t="s">
        <v>9</v>
      </c>
      <c r="I116" s="42" t="s">
        <v>12</v>
      </c>
    </row>
    <row r="117" spans="1:9" x14ac:dyDescent="0.2">
      <c r="A117" s="42" t="s">
        <v>44</v>
      </c>
      <c r="B117" s="42">
        <v>9.6224110000000002E-2</v>
      </c>
      <c r="C117" s="42">
        <v>0.18111606999999999</v>
      </c>
      <c r="D117" s="42">
        <v>74.830340800000002</v>
      </c>
      <c r="E117" s="42">
        <v>0.53128425000000001</v>
      </c>
      <c r="F117" s="42">
        <v>0.98383936000000005</v>
      </c>
      <c r="G117" s="42" t="s">
        <v>19</v>
      </c>
      <c r="H117" s="42" t="s">
        <v>9</v>
      </c>
      <c r="I117" s="42" t="s">
        <v>12</v>
      </c>
    </row>
    <row r="118" spans="1:9" x14ac:dyDescent="0.2">
      <c r="A118" s="42" t="s">
        <v>45</v>
      </c>
      <c r="B118" s="42">
        <v>6.3813430000000004E-2</v>
      </c>
      <c r="C118" s="42">
        <v>0.37194019</v>
      </c>
      <c r="D118" s="42">
        <v>181.40186600000001</v>
      </c>
      <c r="E118" s="42">
        <v>0.17156908000000001</v>
      </c>
      <c r="F118" s="42">
        <v>0.99819886999999996</v>
      </c>
      <c r="G118" s="42" t="s">
        <v>19</v>
      </c>
      <c r="H118" s="42" t="s">
        <v>9</v>
      </c>
      <c r="I118" s="42" t="s">
        <v>13</v>
      </c>
    </row>
    <row r="119" spans="1:9" x14ac:dyDescent="0.2">
      <c r="A119" s="42" t="s">
        <v>46</v>
      </c>
      <c r="B119" s="42">
        <v>5.1616330000000002E-2</v>
      </c>
      <c r="C119" s="42">
        <v>0.37788247000000003</v>
      </c>
      <c r="D119" s="42">
        <v>176.137643</v>
      </c>
      <c r="E119" s="42">
        <v>0.13659361</v>
      </c>
      <c r="F119" s="42">
        <v>0.99908724999999998</v>
      </c>
      <c r="G119" s="42" t="s">
        <v>19</v>
      </c>
      <c r="H119" s="42" t="s">
        <v>9</v>
      </c>
      <c r="I119" s="42" t="s">
        <v>13</v>
      </c>
    </row>
    <row r="120" spans="1:9" x14ac:dyDescent="0.2">
      <c r="A120" s="42" t="s">
        <v>47</v>
      </c>
      <c r="B120" s="42">
        <v>0.26140406999999999</v>
      </c>
      <c r="C120" s="42">
        <v>0.38614153000000001</v>
      </c>
      <c r="D120" s="42">
        <v>170.784752</v>
      </c>
      <c r="E120" s="42">
        <v>0.67696440999999996</v>
      </c>
      <c r="F120" s="42">
        <v>0.90570918</v>
      </c>
      <c r="G120" s="42" t="s">
        <v>19</v>
      </c>
      <c r="H120" s="42" t="s">
        <v>9</v>
      </c>
      <c r="I120" s="42" t="s">
        <v>13</v>
      </c>
    </row>
    <row r="121" spans="1:9" x14ac:dyDescent="0.2">
      <c r="A121" s="42" t="s">
        <v>48</v>
      </c>
      <c r="B121" s="42">
        <v>-1.2197100000000001E-2</v>
      </c>
      <c r="C121" s="42">
        <v>0.15208991999999999</v>
      </c>
      <c r="D121" s="42">
        <v>81.5466093</v>
      </c>
      <c r="E121" s="42">
        <v>-8.0196699999999996E-2</v>
      </c>
      <c r="F121" s="42">
        <v>0.99981350999999996</v>
      </c>
      <c r="G121" s="42" t="s">
        <v>19</v>
      </c>
      <c r="H121" s="42" t="s">
        <v>9</v>
      </c>
      <c r="I121" s="42" t="s">
        <v>13</v>
      </c>
    </row>
    <row r="122" spans="1:9" x14ac:dyDescent="0.2">
      <c r="A122" s="42" t="s">
        <v>49</v>
      </c>
      <c r="B122" s="42">
        <v>0.19759064000000001</v>
      </c>
      <c r="C122" s="42">
        <v>0.16639039999999999</v>
      </c>
      <c r="D122" s="42">
        <v>71.939707900000002</v>
      </c>
      <c r="E122" s="42">
        <v>1.1875122499999999</v>
      </c>
      <c r="F122" s="42">
        <v>0.63665791999999999</v>
      </c>
      <c r="G122" s="42" t="s">
        <v>19</v>
      </c>
      <c r="H122" s="42" t="s">
        <v>9</v>
      </c>
      <c r="I122" s="42" t="s">
        <v>13</v>
      </c>
    </row>
    <row r="123" spans="1:9" x14ac:dyDescent="0.2">
      <c r="A123" s="42" t="s">
        <v>50</v>
      </c>
      <c r="B123" s="42">
        <v>0.20978774</v>
      </c>
      <c r="C123" s="42">
        <v>0.18050325</v>
      </c>
      <c r="D123" s="42">
        <v>74.360409799999999</v>
      </c>
      <c r="E123" s="42">
        <v>1.16223802</v>
      </c>
      <c r="F123" s="42">
        <v>0.65235173999999996</v>
      </c>
      <c r="G123" s="42" t="s">
        <v>19</v>
      </c>
      <c r="H123" s="42" t="s">
        <v>9</v>
      </c>
      <c r="I123" s="42" t="s">
        <v>13</v>
      </c>
    </row>
    <row r="124" spans="1:9" x14ac:dyDescent="0.2">
      <c r="A124" s="42" t="s">
        <v>51</v>
      </c>
      <c r="B124" s="42">
        <v>2.0812560000000001E-2</v>
      </c>
      <c r="C124" s="42">
        <v>0.18342001999999999</v>
      </c>
      <c r="D124" s="42">
        <v>76.3098375</v>
      </c>
      <c r="E124" s="42">
        <v>0.1134694</v>
      </c>
      <c r="F124" s="42">
        <v>0.99996169999999995</v>
      </c>
      <c r="G124" s="42" t="s">
        <v>19</v>
      </c>
      <c r="H124" s="42" t="s">
        <v>9</v>
      </c>
      <c r="I124" s="42" t="s">
        <v>14</v>
      </c>
    </row>
    <row r="125" spans="1:9" x14ac:dyDescent="0.2">
      <c r="A125" s="42" t="s">
        <v>52</v>
      </c>
      <c r="B125" s="42">
        <v>0.13512255000000001</v>
      </c>
      <c r="C125" s="42">
        <v>0.17839806999999999</v>
      </c>
      <c r="D125" s="42">
        <v>85.631774300000004</v>
      </c>
      <c r="E125" s="42">
        <v>0.75742160000000003</v>
      </c>
      <c r="F125" s="42">
        <v>0.94193061</v>
      </c>
      <c r="G125" s="42" t="s">
        <v>19</v>
      </c>
      <c r="H125" s="42" t="s">
        <v>9</v>
      </c>
      <c r="I125" s="42" t="s">
        <v>14</v>
      </c>
    </row>
    <row r="126" spans="1:9" x14ac:dyDescent="0.2">
      <c r="A126" s="42" t="s">
        <v>53</v>
      </c>
      <c r="B126" s="42">
        <v>0.17017346</v>
      </c>
      <c r="C126" s="42">
        <v>0.31071293999999999</v>
      </c>
      <c r="D126" s="42">
        <v>130.24192300000001</v>
      </c>
      <c r="E126" s="42">
        <v>0.54768707999999999</v>
      </c>
      <c r="F126" s="42">
        <v>0.98205025000000001</v>
      </c>
      <c r="G126" s="42" t="s">
        <v>19</v>
      </c>
      <c r="H126" s="42" t="s">
        <v>9</v>
      </c>
      <c r="I126" s="42" t="s">
        <v>14</v>
      </c>
    </row>
    <row r="127" spans="1:9" x14ac:dyDescent="0.2">
      <c r="A127" s="42" t="s">
        <v>54</v>
      </c>
      <c r="B127" s="42">
        <v>5.487496E-2</v>
      </c>
      <c r="C127" s="42">
        <v>0.19547924999999999</v>
      </c>
      <c r="D127" s="42">
        <v>79.827480699999995</v>
      </c>
      <c r="E127" s="42">
        <v>0.28072011000000002</v>
      </c>
      <c r="F127" s="42">
        <v>0.99861224000000004</v>
      </c>
      <c r="G127" s="42" t="s">
        <v>19</v>
      </c>
      <c r="H127" s="42" t="s">
        <v>9</v>
      </c>
      <c r="I127" s="42" t="s">
        <v>14</v>
      </c>
    </row>
    <row r="128" spans="1:9" x14ac:dyDescent="0.2">
      <c r="A128" s="42" t="s">
        <v>55</v>
      </c>
      <c r="B128" s="42">
        <v>0.11430999</v>
      </c>
      <c r="C128" s="42">
        <v>0.1894477</v>
      </c>
      <c r="D128" s="42">
        <v>73.831454100000002</v>
      </c>
      <c r="E128" s="42">
        <v>0.60338546999999998</v>
      </c>
      <c r="F128" s="42">
        <v>0.97413698999999998</v>
      </c>
      <c r="G128" s="42" t="s">
        <v>19</v>
      </c>
      <c r="H128" s="42" t="s">
        <v>9</v>
      </c>
      <c r="I128" s="42" t="s">
        <v>14</v>
      </c>
    </row>
    <row r="129" spans="1:9" x14ac:dyDescent="0.2">
      <c r="A129" s="42" t="s">
        <v>56</v>
      </c>
      <c r="B129" s="42">
        <v>0.14936089999999999</v>
      </c>
      <c r="C129" s="42">
        <v>0.31736577999999999</v>
      </c>
      <c r="D129" s="42">
        <v>120.270134</v>
      </c>
      <c r="E129" s="42">
        <v>0.47062700000000002</v>
      </c>
      <c r="F129" s="42">
        <v>0.98983500999999996</v>
      </c>
      <c r="G129" s="42" t="s">
        <v>19</v>
      </c>
      <c r="H129" s="42" t="s">
        <v>9</v>
      </c>
      <c r="I129" s="42" t="s">
        <v>14</v>
      </c>
    </row>
    <row r="130" spans="1:9" x14ac:dyDescent="0.2">
      <c r="A130" s="42" t="s">
        <v>57</v>
      </c>
      <c r="B130" s="42">
        <v>3.40624E-2</v>
      </c>
      <c r="C130" s="42">
        <v>0.20599737000000001</v>
      </c>
      <c r="D130" s="42">
        <v>71.273177700000005</v>
      </c>
      <c r="E130" s="42">
        <v>0.16535356000000001</v>
      </c>
      <c r="F130" s="42">
        <v>0.99982819999999994</v>
      </c>
      <c r="G130" s="42" t="s">
        <v>19</v>
      </c>
      <c r="H130" s="42" t="s">
        <v>9</v>
      </c>
      <c r="I130" s="42" t="s">
        <v>14</v>
      </c>
    </row>
    <row r="131" spans="1:9" x14ac:dyDescent="0.2">
      <c r="A131" s="42" t="s">
        <v>58</v>
      </c>
      <c r="B131" s="42">
        <v>3.5050909999999998E-2</v>
      </c>
      <c r="C131" s="42">
        <v>0.31423403999999999</v>
      </c>
      <c r="D131" s="42">
        <v>126.424387</v>
      </c>
      <c r="E131" s="42">
        <v>0.11154397000000001</v>
      </c>
      <c r="F131" s="42">
        <v>0.99996459000000004</v>
      </c>
      <c r="G131" s="42" t="s">
        <v>19</v>
      </c>
      <c r="H131" s="42" t="s">
        <v>9</v>
      </c>
      <c r="I131" s="42" t="s">
        <v>14</v>
      </c>
    </row>
    <row r="132" spans="1:9" x14ac:dyDescent="0.2">
      <c r="A132" s="42" t="s">
        <v>59</v>
      </c>
      <c r="B132" s="42">
        <v>-8.0247600000000002E-2</v>
      </c>
      <c r="C132" s="42">
        <v>0.20139014999999999</v>
      </c>
      <c r="D132" s="42">
        <v>77.484133700000001</v>
      </c>
      <c r="E132" s="42">
        <v>-0.3984683</v>
      </c>
      <c r="F132" s="42">
        <v>0.99457709999999999</v>
      </c>
      <c r="G132" s="42" t="s">
        <v>19</v>
      </c>
      <c r="H132" s="42" t="s">
        <v>9</v>
      </c>
      <c r="I132" s="42" t="s">
        <v>14</v>
      </c>
    </row>
    <row r="133" spans="1:9" x14ac:dyDescent="0.2">
      <c r="A133" s="42" t="s">
        <v>60</v>
      </c>
      <c r="B133" s="42">
        <v>-0.1152985</v>
      </c>
      <c r="C133" s="42">
        <v>0.32335881999999999</v>
      </c>
      <c r="D133" s="42">
        <v>119.137882</v>
      </c>
      <c r="E133" s="42">
        <v>-0.35656520000000003</v>
      </c>
      <c r="F133" s="42">
        <v>0.99649666000000003</v>
      </c>
      <c r="G133" s="42" t="s">
        <v>19</v>
      </c>
      <c r="H133" s="42" t="s">
        <v>9</v>
      </c>
      <c r="I133" s="42" t="s">
        <v>14</v>
      </c>
    </row>
    <row r="134" spans="1:9" x14ac:dyDescent="0.2">
      <c r="A134" s="42" t="s">
        <v>36</v>
      </c>
      <c r="B134" s="42">
        <v>0.17662468000000001</v>
      </c>
      <c r="C134" s="42">
        <v>0.32888571999999999</v>
      </c>
      <c r="D134" s="42">
        <v>28.789871099999999</v>
      </c>
      <c r="E134" s="42">
        <v>0.53703966999999997</v>
      </c>
      <c r="F134" s="42">
        <v>0.94925325999999999</v>
      </c>
      <c r="G134" s="42" t="s">
        <v>19</v>
      </c>
      <c r="H134" s="42" t="s">
        <v>15</v>
      </c>
      <c r="I134" s="42" t="s">
        <v>10</v>
      </c>
    </row>
    <row r="135" spans="1:9" x14ac:dyDescent="0.2">
      <c r="A135" s="42" t="s">
        <v>37</v>
      </c>
      <c r="B135" s="42">
        <v>-0.98078909999999997</v>
      </c>
      <c r="C135" s="42">
        <v>0.49881586</v>
      </c>
      <c r="D135" s="42">
        <v>30.279045499999999</v>
      </c>
      <c r="E135" s="42">
        <v>-1.9662348000000001</v>
      </c>
      <c r="F135" s="42">
        <v>0.22297950999999999</v>
      </c>
      <c r="G135" s="42" t="s">
        <v>19</v>
      </c>
      <c r="H135" s="42" t="s">
        <v>15</v>
      </c>
      <c r="I135" s="42" t="s">
        <v>10</v>
      </c>
    </row>
    <row r="136" spans="1:9" x14ac:dyDescent="0.2">
      <c r="A136" s="42" t="s">
        <v>38</v>
      </c>
      <c r="B136" s="42">
        <v>0.70243253000000005</v>
      </c>
      <c r="C136" s="42">
        <v>0.32901671999999998</v>
      </c>
      <c r="D136" s="42">
        <v>28.887352199999999</v>
      </c>
      <c r="E136" s="42">
        <v>2.1349447499999998</v>
      </c>
      <c r="F136" s="42">
        <v>0.16615652</v>
      </c>
      <c r="G136" s="42" t="s">
        <v>19</v>
      </c>
      <c r="H136" s="42" t="s">
        <v>15</v>
      </c>
      <c r="I136" s="42" t="s">
        <v>10</v>
      </c>
    </row>
    <row r="137" spans="1:9" x14ac:dyDescent="0.2">
      <c r="A137" s="42" t="s">
        <v>39</v>
      </c>
      <c r="B137" s="42">
        <v>-1.1574138</v>
      </c>
      <c r="C137" s="42">
        <v>0.49529089999999998</v>
      </c>
      <c r="D137" s="42">
        <v>29.3600742</v>
      </c>
      <c r="E137" s="42">
        <v>-2.3368362999999999</v>
      </c>
      <c r="F137" s="42">
        <v>0.11265332</v>
      </c>
      <c r="G137" s="42" t="s">
        <v>19</v>
      </c>
      <c r="H137" s="42" t="s">
        <v>15</v>
      </c>
      <c r="I137" s="42" t="s">
        <v>10</v>
      </c>
    </row>
    <row r="138" spans="1:9" x14ac:dyDescent="0.2">
      <c r="A138" s="42" t="s">
        <v>40</v>
      </c>
      <c r="B138" s="42">
        <v>0.52580784999999997</v>
      </c>
      <c r="C138" s="42">
        <v>0.33215224999999998</v>
      </c>
      <c r="D138" s="42">
        <v>30.016015400000001</v>
      </c>
      <c r="E138" s="42">
        <v>1.58303262</v>
      </c>
      <c r="F138" s="42">
        <v>0.40316280999999998</v>
      </c>
      <c r="G138" s="42" t="s">
        <v>19</v>
      </c>
      <c r="H138" s="42" t="s">
        <v>15</v>
      </c>
      <c r="I138" s="42" t="s">
        <v>10</v>
      </c>
    </row>
    <row r="139" spans="1:9" x14ac:dyDescent="0.2">
      <c r="A139" s="42" t="s">
        <v>41</v>
      </c>
      <c r="B139" s="42">
        <v>1.6832216099999999</v>
      </c>
      <c r="C139" s="42">
        <v>0.50213006000000004</v>
      </c>
      <c r="D139" s="42">
        <v>31.1262686</v>
      </c>
      <c r="E139" s="42">
        <v>3.3521626000000002</v>
      </c>
      <c r="F139" s="42">
        <v>1.080806E-2</v>
      </c>
      <c r="G139" s="42" t="s">
        <v>19</v>
      </c>
      <c r="H139" s="42" t="s">
        <v>15</v>
      </c>
      <c r="I139" s="42" t="s">
        <v>10</v>
      </c>
    </row>
    <row r="140" spans="1:9" x14ac:dyDescent="0.2">
      <c r="A140" s="42" t="s">
        <v>42</v>
      </c>
      <c r="B140" s="42">
        <v>-0.56086990000000003</v>
      </c>
      <c r="C140" s="42">
        <v>0.40249158000000002</v>
      </c>
      <c r="D140" s="42">
        <v>27.373873499999998</v>
      </c>
      <c r="E140" s="42">
        <v>-1.3934947</v>
      </c>
      <c r="F140" s="42">
        <v>0.35814190000000001</v>
      </c>
      <c r="G140" s="42" t="s">
        <v>19</v>
      </c>
      <c r="H140" s="42" t="s">
        <v>15</v>
      </c>
      <c r="I140" s="42" t="s">
        <v>12</v>
      </c>
    </row>
    <row r="141" spans="1:9" x14ac:dyDescent="0.2">
      <c r="A141" s="42" t="s">
        <v>43</v>
      </c>
      <c r="B141" s="42">
        <v>1.9342370000000001E-2</v>
      </c>
      <c r="C141" s="42">
        <v>0.54961236999999996</v>
      </c>
      <c r="D141" s="42">
        <v>27.311584499999999</v>
      </c>
      <c r="E141" s="42">
        <v>3.5192750000000002E-2</v>
      </c>
      <c r="F141" s="42">
        <v>0.99931740999999996</v>
      </c>
      <c r="G141" s="42" t="s">
        <v>19</v>
      </c>
      <c r="H141" s="42" t="s">
        <v>15</v>
      </c>
      <c r="I141" s="42" t="s">
        <v>12</v>
      </c>
    </row>
    <row r="142" spans="1:9" x14ac:dyDescent="0.2">
      <c r="A142" s="42" t="s">
        <v>44</v>
      </c>
      <c r="B142" s="42">
        <v>0.58021226000000004</v>
      </c>
      <c r="C142" s="42">
        <v>0.45405235999999999</v>
      </c>
      <c r="D142" s="42">
        <v>27.634957499999999</v>
      </c>
      <c r="E142" s="42">
        <v>1.2778531900000001</v>
      </c>
      <c r="F142" s="42">
        <v>0.41925191000000001</v>
      </c>
      <c r="G142" s="42" t="s">
        <v>19</v>
      </c>
      <c r="H142" s="42" t="s">
        <v>15</v>
      </c>
      <c r="I142" s="42" t="s">
        <v>12</v>
      </c>
    </row>
    <row r="143" spans="1:9" x14ac:dyDescent="0.2">
      <c r="A143" s="42" t="s">
        <v>45</v>
      </c>
      <c r="B143" s="42">
        <v>3.3870480000000001E-2</v>
      </c>
      <c r="C143" s="42">
        <v>0.46082266</v>
      </c>
      <c r="D143" s="42">
        <v>29.896430899999999</v>
      </c>
      <c r="E143" s="42">
        <v>7.3500029999999994E-2</v>
      </c>
      <c r="F143" s="42">
        <v>0.99985416999999999</v>
      </c>
      <c r="G143" s="42" t="s">
        <v>19</v>
      </c>
      <c r="H143" s="42" t="s">
        <v>15</v>
      </c>
      <c r="I143" s="42" t="s">
        <v>13</v>
      </c>
    </row>
    <row r="144" spans="1:9" x14ac:dyDescent="0.2">
      <c r="A144" s="42" t="s">
        <v>46</v>
      </c>
      <c r="B144" s="42">
        <v>0.41090485999999998</v>
      </c>
      <c r="C144" s="42">
        <v>0.44892578999999999</v>
      </c>
      <c r="D144" s="42">
        <v>30.705890199999999</v>
      </c>
      <c r="E144" s="42">
        <v>0.91530686999999999</v>
      </c>
      <c r="F144" s="42">
        <v>0.79686888</v>
      </c>
      <c r="G144" s="42" t="s">
        <v>19</v>
      </c>
      <c r="H144" s="42" t="s">
        <v>15</v>
      </c>
      <c r="I144" s="42" t="s">
        <v>13</v>
      </c>
    </row>
    <row r="145" spans="1:9" x14ac:dyDescent="0.2">
      <c r="A145" s="42" t="s">
        <v>47</v>
      </c>
      <c r="B145" s="42">
        <v>1.0572339799999999</v>
      </c>
      <c r="C145" s="42">
        <v>0.43022495999999999</v>
      </c>
      <c r="D145" s="42">
        <v>33.093432300000003</v>
      </c>
      <c r="E145" s="42">
        <v>2.4573980899999999</v>
      </c>
      <c r="F145" s="42">
        <v>8.5845829999999998E-2</v>
      </c>
      <c r="G145" s="42" t="s">
        <v>19</v>
      </c>
      <c r="H145" s="42" t="s">
        <v>15</v>
      </c>
      <c r="I145" s="42" t="s">
        <v>13</v>
      </c>
    </row>
    <row r="146" spans="1:9" x14ac:dyDescent="0.2">
      <c r="A146" s="42" t="s">
        <v>48</v>
      </c>
      <c r="B146" s="42">
        <v>0.37703438</v>
      </c>
      <c r="C146" s="42">
        <v>0.37740185999999998</v>
      </c>
      <c r="D146" s="42">
        <v>28.408284099999999</v>
      </c>
      <c r="E146" s="42">
        <v>0.99902628999999998</v>
      </c>
      <c r="F146" s="42">
        <v>0.75115253999999998</v>
      </c>
      <c r="G146" s="42" t="s">
        <v>19</v>
      </c>
      <c r="H146" s="42" t="s">
        <v>15</v>
      </c>
      <c r="I146" s="42" t="s">
        <v>13</v>
      </c>
    </row>
    <row r="147" spans="1:9" x14ac:dyDescent="0.2">
      <c r="A147" s="42" t="s">
        <v>49</v>
      </c>
      <c r="B147" s="42">
        <v>1.0233635000000001</v>
      </c>
      <c r="C147" s="42">
        <v>0.34970603</v>
      </c>
      <c r="D147" s="42">
        <v>29.222408099999999</v>
      </c>
      <c r="E147" s="42">
        <v>2.9263536499999998</v>
      </c>
      <c r="F147" s="42">
        <v>3.1542309999999997E-2</v>
      </c>
      <c r="G147" s="42" t="s">
        <v>19</v>
      </c>
      <c r="H147" s="42" t="s">
        <v>15</v>
      </c>
      <c r="I147" s="42" t="s">
        <v>13</v>
      </c>
    </row>
    <row r="148" spans="1:9" x14ac:dyDescent="0.2">
      <c r="A148" s="42" t="s">
        <v>50</v>
      </c>
      <c r="B148" s="42">
        <v>0.64632911999999998</v>
      </c>
      <c r="C148" s="42">
        <v>0.33236231999999999</v>
      </c>
      <c r="D148" s="42">
        <v>29.808495099999998</v>
      </c>
      <c r="E148" s="42">
        <v>1.9446522100000001</v>
      </c>
      <c r="F148" s="42">
        <v>0.23166533</v>
      </c>
      <c r="G148" s="42" t="s">
        <v>19</v>
      </c>
      <c r="H148" s="42" t="s">
        <v>15</v>
      </c>
      <c r="I148" s="42" t="s">
        <v>13</v>
      </c>
    </row>
    <row r="149" spans="1:9" x14ac:dyDescent="0.2">
      <c r="A149" s="42" t="s">
        <v>51</v>
      </c>
      <c r="B149" s="42">
        <v>0.55998727999999998</v>
      </c>
      <c r="C149" s="42">
        <v>0.65512822999999998</v>
      </c>
      <c r="D149" s="42">
        <v>30.3536632</v>
      </c>
      <c r="E149" s="42">
        <v>0.85477508000000002</v>
      </c>
      <c r="F149" s="42">
        <v>0.91093301000000004</v>
      </c>
      <c r="G149" s="42" t="s">
        <v>19</v>
      </c>
      <c r="H149" s="42" t="s">
        <v>15</v>
      </c>
      <c r="I149" s="42" t="s">
        <v>14</v>
      </c>
    </row>
    <row r="150" spans="1:9" x14ac:dyDescent="0.2">
      <c r="A150" s="42" t="s">
        <v>52</v>
      </c>
      <c r="B150" s="42">
        <v>0.40901484999999999</v>
      </c>
      <c r="C150" s="42">
        <v>0.50870532000000002</v>
      </c>
      <c r="D150" s="42">
        <v>30.621836999999999</v>
      </c>
      <c r="E150" s="42">
        <v>0.80403100999999999</v>
      </c>
      <c r="F150" s="42">
        <v>0.92737221000000003</v>
      </c>
      <c r="G150" s="42" t="s">
        <v>19</v>
      </c>
      <c r="H150" s="42" t="s">
        <v>15</v>
      </c>
      <c r="I150" s="42" t="s">
        <v>14</v>
      </c>
    </row>
    <row r="151" spans="1:9" x14ac:dyDescent="0.2">
      <c r="A151" s="42" t="s">
        <v>53</v>
      </c>
      <c r="B151" s="42">
        <v>-0.78272759999999997</v>
      </c>
      <c r="C151" s="42">
        <v>0.66298782999999994</v>
      </c>
      <c r="D151" s="42">
        <v>31.780859299999999</v>
      </c>
      <c r="E151" s="42">
        <v>-1.1806063</v>
      </c>
      <c r="F151" s="42">
        <v>0.76215681999999996</v>
      </c>
      <c r="G151" s="42" t="s">
        <v>19</v>
      </c>
      <c r="H151" s="42" t="s">
        <v>15</v>
      </c>
      <c r="I151" s="42" t="s">
        <v>14</v>
      </c>
    </row>
    <row r="152" spans="1:9" x14ac:dyDescent="0.2">
      <c r="A152" s="42" t="s">
        <v>54</v>
      </c>
      <c r="B152" s="42">
        <v>-0.32233980000000001</v>
      </c>
      <c r="C152" s="42">
        <v>0.52814327999999999</v>
      </c>
      <c r="D152" s="42">
        <v>31.079946700000001</v>
      </c>
      <c r="E152" s="42">
        <v>-0.61032649999999999</v>
      </c>
      <c r="F152" s="42">
        <v>0.97238533999999999</v>
      </c>
      <c r="G152" s="42" t="s">
        <v>19</v>
      </c>
      <c r="H152" s="42" t="s">
        <v>15</v>
      </c>
      <c r="I152" s="42" t="s">
        <v>14</v>
      </c>
    </row>
    <row r="153" spans="1:9" x14ac:dyDescent="0.2">
      <c r="A153" s="42" t="s">
        <v>55</v>
      </c>
      <c r="B153" s="42">
        <v>-0.15097240000000001</v>
      </c>
      <c r="C153" s="42">
        <v>0.50748541999999996</v>
      </c>
      <c r="D153" s="42">
        <v>30.4044937</v>
      </c>
      <c r="E153" s="42">
        <v>-0.29749120000000001</v>
      </c>
      <c r="F153" s="42">
        <v>0.99819466000000001</v>
      </c>
      <c r="G153" s="42" t="s">
        <v>19</v>
      </c>
      <c r="H153" s="42" t="s">
        <v>15</v>
      </c>
      <c r="I153" s="42" t="s">
        <v>14</v>
      </c>
    </row>
    <row r="154" spans="1:9" x14ac:dyDescent="0.2">
      <c r="A154" s="42" t="s">
        <v>56</v>
      </c>
      <c r="B154" s="42">
        <v>-1.3427149</v>
      </c>
      <c r="C154" s="42">
        <v>0.66124353000000002</v>
      </c>
      <c r="D154" s="42">
        <v>31.4802654</v>
      </c>
      <c r="E154" s="42">
        <v>-2.0305906</v>
      </c>
      <c r="F154" s="42">
        <v>0.27534797999999999</v>
      </c>
      <c r="G154" s="42" t="s">
        <v>19</v>
      </c>
      <c r="H154" s="42" t="s">
        <v>15</v>
      </c>
      <c r="I154" s="42" t="s">
        <v>14</v>
      </c>
    </row>
    <row r="155" spans="1:9" x14ac:dyDescent="0.2">
      <c r="A155" s="42" t="s">
        <v>57</v>
      </c>
      <c r="B155" s="42">
        <v>-0.88232710000000003</v>
      </c>
      <c r="C155" s="42">
        <v>0.52598747999999995</v>
      </c>
      <c r="D155" s="42">
        <v>30.632346200000001</v>
      </c>
      <c r="E155" s="42">
        <v>-1.6774678999999999</v>
      </c>
      <c r="F155" s="42">
        <v>0.4620937</v>
      </c>
      <c r="G155" s="42" t="s">
        <v>19</v>
      </c>
      <c r="H155" s="42" t="s">
        <v>15</v>
      </c>
      <c r="I155" s="42" t="s">
        <v>14</v>
      </c>
    </row>
    <row r="156" spans="1:9" x14ac:dyDescent="0.2">
      <c r="A156" s="42" t="s">
        <v>58</v>
      </c>
      <c r="B156" s="42">
        <v>-1.1917424999999999</v>
      </c>
      <c r="C156" s="42">
        <v>0.51436521000000002</v>
      </c>
      <c r="D156" s="42">
        <v>31.841962599999999</v>
      </c>
      <c r="E156" s="42">
        <v>-2.3169189000000001</v>
      </c>
      <c r="F156" s="42">
        <v>0.16596430000000001</v>
      </c>
      <c r="G156" s="42" t="s">
        <v>19</v>
      </c>
      <c r="H156" s="42" t="s">
        <v>15</v>
      </c>
      <c r="I156" s="42" t="s">
        <v>14</v>
      </c>
    </row>
    <row r="157" spans="1:9" x14ac:dyDescent="0.2">
      <c r="A157" s="42" t="s">
        <v>59</v>
      </c>
      <c r="B157" s="42">
        <v>-0.73135470000000002</v>
      </c>
      <c r="C157" s="42">
        <v>0.32542574000000002</v>
      </c>
      <c r="D157" s="42">
        <v>31.477268599999999</v>
      </c>
      <c r="E157" s="42">
        <v>-2.2473781000000002</v>
      </c>
      <c r="F157" s="42">
        <v>0.18913869999999999</v>
      </c>
      <c r="G157" s="42" t="s">
        <v>19</v>
      </c>
      <c r="H157" s="42" t="s">
        <v>15</v>
      </c>
      <c r="I157" s="42" t="s">
        <v>14</v>
      </c>
    </row>
    <row r="158" spans="1:9" x14ac:dyDescent="0.2">
      <c r="A158" s="42" t="s">
        <v>60</v>
      </c>
      <c r="B158" s="42">
        <v>0.46038778000000002</v>
      </c>
      <c r="C158" s="42">
        <v>0.53049948999999996</v>
      </c>
      <c r="D158" s="42">
        <v>31.425795600000001</v>
      </c>
      <c r="E158" s="42">
        <v>0.86783832000000005</v>
      </c>
      <c r="F158" s="42">
        <v>0.90646278000000002</v>
      </c>
      <c r="G158" s="42" t="s">
        <v>19</v>
      </c>
      <c r="H158" s="42" t="s">
        <v>15</v>
      </c>
      <c r="I158" s="42" t="s">
        <v>14</v>
      </c>
    </row>
    <row r="159" spans="1:9" x14ac:dyDescent="0.2">
      <c r="A159" s="42" t="s">
        <v>36</v>
      </c>
      <c r="B159" s="42">
        <v>-0.17086029999999999</v>
      </c>
      <c r="C159" s="42">
        <v>0.1509733</v>
      </c>
      <c r="D159" s="42">
        <v>71.007291899999998</v>
      </c>
      <c r="E159" s="42">
        <v>-1.1317254000000001</v>
      </c>
      <c r="F159" s="42">
        <v>0.67129205000000003</v>
      </c>
      <c r="G159" s="42" t="s">
        <v>20</v>
      </c>
      <c r="H159" s="42" t="s">
        <v>9</v>
      </c>
      <c r="I159" s="42" t="s">
        <v>10</v>
      </c>
    </row>
    <row r="160" spans="1:9" x14ac:dyDescent="0.2">
      <c r="A160" s="42" t="s">
        <v>37</v>
      </c>
      <c r="B160" s="42">
        <v>-1.0630023</v>
      </c>
      <c r="C160" s="42">
        <v>0.33407357999999998</v>
      </c>
      <c r="D160" s="42">
        <v>79.796259399999997</v>
      </c>
      <c r="E160" s="42">
        <v>-3.1819405000000001</v>
      </c>
      <c r="F160" s="42">
        <v>1.099935E-2</v>
      </c>
      <c r="G160" s="42" t="s">
        <v>20</v>
      </c>
      <c r="H160" s="42" t="s">
        <v>9</v>
      </c>
      <c r="I160" s="42" t="s">
        <v>10</v>
      </c>
    </row>
    <row r="161" spans="1:9" x14ac:dyDescent="0.2">
      <c r="A161" s="42" t="s">
        <v>38</v>
      </c>
      <c r="B161" s="42">
        <v>-0.23034370000000001</v>
      </c>
      <c r="C161" s="42">
        <v>0.20225451</v>
      </c>
      <c r="D161" s="42">
        <v>72.244760999999997</v>
      </c>
      <c r="E161" s="42">
        <v>-1.1388806</v>
      </c>
      <c r="F161" s="42">
        <v>0.66685925000000001</v>
      </c>
      <c r="G161" s="42" t="s">
        <v>20</v>
      </c>
      <c r="H161" s="42" t="s">
        <v>9</v>
      </c>
      <c r="I161" s="42" t="s">
        <v>10</v>
      </c>
    </row>
    <row r="162" spans="1:9" x14ac:dyDescent="0.2">
      <c r="A162" s="42" t="s">
        <v>39</v>
      </c>
      <c r="B162" s="42">
        <v>-0.89214199999999999</v>
      </c>
      <c r="C162" s="42">
        <v>0.34506642999999998</v>
      </c>
      <c r="D162" s="42">
        <v>79.387046100000006</v>
      </c>
      <c r="E162" s="42">
        <v>-2.5854208999999999</v>
      </c>
      <c r="F162" s="42">
        <v>5.5029439999999999E-2</v>
      </c>
      <c r="G162" s="42" t="s">
        <v>20</v>
      </c>
      <c r="H162" s="42" t="s">
        <v>9</v>
      </c>
      <c r="I162" s="42" t="s">
        <v>10</v>
      </c>
    </row>
    <row r="163" spans="1:9" x14ac:dyDescent="0.2">
      <c r="A163" s="42" t="s">
        <v>40</v>
      </c>
      <c r="B163" s="42">
        <v>-5.9483399999999999E-2</v>
      </c>
      <c r="C163" s="42">
        <v>0.22058147</v>
      </c>
      <c r="D163" s="42">
        <v>73.221853499999995</v>
      </c>
      <c r="E163" s="42">
        <v>-0.26966649999999998</v>
      </c>
      <c r="F163" s="42">
        <v>0.99308313999999998</v>
      </c>
      <c r="G163" s="42" t="s">
        <v>20</v>
      </c>
      <c r="H163" s="42" t="s">
        <v>9</v>
      </c>
      <c r="I163" s="42" t="s">
        <v>10</v>
      </c>
    </row>
    <row r="164" spans="1:9" x14ac:dyDescent="0.2">
      <c r="A164" s="42" t="s">
        <v>41</v>
      </c>
      <c r="B164" s="42">
        <v>0.83265853999999995</v>
      </c>
      <c r="C164" s="42">
        <v>0.37166821</v>
      </c>
      <c r="D164" s="42">
        <v>79.382098799999994</v>
      </c>
      <c r="E164" s="42">
        <v>2.2403276000000001</v>
      </c>
      <c r="F164" s="42">
        <v>0.12134128</v>
      </c>
      <c r="G164" s="42" t="s">
        <v>20</v>
      </c>
      <c r="H164" s="42" t="s">
        <v>9</v>
      </c>
      <c r="I164" s="42" t="s">
        <v>10</v>
      </c>
    </row>
    <row r="165" spans="1:9" x14ac:dyDescent="0.2">
      <c r="A165" s="42" t="s">
        <v>42</v>
      </c>
      <c r="B165" s="42">
        <v>2.1130619999999999E-2</v>
      </c>
      <c r="C165" s="42">
        <v>0.16248425</v>
      </c>
      <c r="D165" s="42">
        <v>82.003750800000006</v>
      </c>
      <c r="E165" s="42">
        <v>0.1300472</v>
      </c>
      <c r="F165" s="42">
        <v>0.9907205</v>
      </c>
      <c r="G165" s="42" t="s">
        <v>20</v>
      </c>
      <c r="H165" s="42" t="s">
        <v>9</v>
      </c>
      <c r="I165" s="42" t="s">
        <v>12</v>
      </c>
    </row>
    <row r="166" spans="1:9" x14ac:dyDescent="0.2">
      <c r="A166" s="42" t="s">
        <v>43</v>
      </c>
      <c r="B166" s="42">
        <v>-5.0346099999999998E-2</v>
      </c>
      <c r="C166" s="42">
        <v>0.26883705000000002</v>
      </c>
      <c r="D166" s="42">
        <v>91.917879900000003</v>
      </c>
      <c r="E166" s="42">
        <v>-0.18727379999999999</v>
      </c>
      <c r="F166" s="42">
        <v>0.98085524999999996</v>
      </c>
      <c r="G166" s="42" t="s">
        <v>20</v>
      </c>
      <c r="H166" s="42" t="s">
        <v>9</v>
      </c>
      <c r="I166" s="42" t="s">
        <v>12</v>
      </c>
    </row>
    <row r="167" spans="1:9" x14ac:dyDescent="0.2">
      <c r="A167" s="42" t="s">
        <v>44</v>
      </c>
      <c r="B167" s="42">
        <v>-7.1476700000000004E-2</v>
      </c>
      <c r="C167" s="42">
        <v>0.24608215</v>
      </c>
      <c r="D167" s="42">
        <v>89.603763799999996</v>
      </c>
      <c r="E167" s="42">
        <v>-0.29045890000000002</v>
      </c>
      <c r="F167" s="42">
        <v>0.95458266000000003</v>
      </c>
      <c r="G167" s="42" t="s">
        <v>20</v>
      </c>
      <c r="H167" s="42" t="s">
        <v>9</v>
      </c>
      <c r="I167" s="42" t="s">
        <v>12</v>
      </c>
    </row>
    <row r="168" spans="1:9" x14ac:dyDescent="0.2">
      <c r="A168" s="42" t="s">
        <v>45</v>
      </c>
      <c r="B168" s="42">
        <v>-0.63720739999999998</v>
      </c>
      <c r="C168" s="42">
        <v>0.64030584999999995</v>
      </c>
      <c r="D168" s="42">
        <v>144.57147900000001</v>
      </c>
      <c r="E168" s="42">
        <v>-0.99516090000000001</v>
      </c>
      <c r="F168" s="42">
        <v>0.75240708999999995</v>
      </c>
      <c r="G168" s="42" t="s">
        <v>20</v>
      </c>
      <c r="H168" s="42" t="s">
        <v>9</v>
      </c>
      <c r="I168" s="42" t="s">
        <v>13</v>
      </c>
    </row>
    <row r="169" spans="1:9" x14ac:dyDescent="0.2">
      <c r="A169" s="42" t="s">
        <v>46</v>
      </c>
      <c r="B169" s="42">
        <v>-0.59308669999999997</v>
      </c>
      <c r="C169" s="42">
        <v>0.64727319000000005</v>
      </c>
      <c r="D169" s="42">
        <v>143.16199599999999</v>
      </c>
      <c r="E169" s="42">
        <v>-0.91628509999999996</v>
      </c>
      <c r="F169" s="42">
        <v>0.79619656999999999</v>
      </c>
      <c r="G169" s="42" t="s">
        <v>20</v>
      </c>
      <c r="H169" s="42" t="s">
        <v>9</v>
      </c>
      <c r="I169" s="42" t="s">
        <v>13</v>
      </c>
    </row>
    <row r="170" spans="1:9" x14ac:dyDescent="0.2">
      <c r="A170" s="42" t="s">
        <v>47</v>
      </c>
      <c r="B170" s="42">
        <v>-0.69630190000000003</v>
      </c>
      <c r="C170" s="42">
        <v>0.65301933999999995</v>
      </c>
      <c r="D170" s="42">
        <v>143.59031200000001</v>
      </c>
      <c r="E170" s="42">
        <v>-1.0662807000000001</v>
      </c>
      <c r="F170" s="42">
        <v>0.71056416</v>
      </c>
      <c r="G170" s="42" t="s">
        <v>20</v>
      </c>
      <c r="H170" s="42" t="s">
        <v>9</v>
      </c>
      <c r="I170" s="42" t="s">
        <v>13</v>
      </c>
    </row>
    <row r="171" spans="1:9" x14ac:dyDescent="0.2">
      <c r="A171" s="42" t="s">
        <v>48</v>
      </c>
      <c r="B171" s="42">
        <v>4.4120609999999998E-2</v>
      </c>
      <c r="C171" s="42">
        <v>0.16725455</v>
      </c>
      <c r="D171" s="42">
        <v>74.899905200000006</v>
      </c>
      <c r="E171" s="42">
        <v>0.26379316000000003</v>
      </c>
      <c r="F171" s="42">
        <v>0.99351875000000001</v>
      </c>
      <c r="G171" s="42" t="s">
        <v>20</v>
      </c>
      <c r="H171" s="42" t="s">
        <v>9</v>
      </c>
      <c r="I171" s="42" t="s">
        <v>13</v>
      </c>
    </row>
    <row r="172" spans="1:9" x14ac:dyDescent="0.2">
      <c r="A172" s="42" t="s">
        <v>49</v>
      </c>
      <c r="B172" s="42">
        <v>-5.9094599999999997E-2</v>
      </c>
      <c r="C172" s="42">
        <v>0.17760590000000001</v>
      </c>
      <c r="D172" s="42">
        <v>65.344707499999998</v>
      </c>
      <c r="E172" s="42">
        <v>-0.33272859999999999</v>
      </c>
      <c r="F172" s="42">
        <v>0.98718393999999998</v>
      </c>
      <c r="G172" s="42" t="s">
        <v>20</v>
      </c>
      <c r="H172" s="42" t="s">
        <v>9</v>
      </c>
      <c r="I172" s="42" t="s">
        <v>13</v>
      </c>
    </row>
    <row r="173" spans="1:9" x14ac:dyDescent="0.2">
      <c r="A173" s="42" t="s">
        <v>50</v>
      </c>
      <c r="B173" s="42">
        <v>-0.10321519999999999</v>
      </c>
      <c r="C173" s="42">
        <v>0.20370530000000001</v>
      </c>
      <c r="D173" s="42">
        <v>69.067551100000003</v>
      </c>
      <c r="E173" s="42">
        <v>-0.50668869999999999</v>
      </c>
      <c r="F173" s="42">
        <v>0.95723250000000004</v>
      </c>
      <c r="G173" s="42" t="s">
        <v>20</v>
      </c>
      <c r="H173" s="42" t="s">
        <v>9</v>
      </c>
      <c r="I173" s="42" t="s">
        <v>13</v>
      </c>
    </row>
    <row r="174" spans="1:9" x14ac:dyDescent="0.2">
      <c r="A174" s="42" t="s">
        <v>51</v>
      </c>
      <c r="B174" s="42">
        <v>0.27640641999999999</v>
      </c>
      <c r="C174" s="42">
        <v>0.15946674</v>
      </c>
      <c r="D174" s="42">
        <v>70.843782500000003</v>
      </c>
      <c r="E174" s="42">
        <v>1.73331704</v>
      </c>
      <c r="F174" s="42">
        <v>0.42057153000000003</v>
      </c>
      <c r="G174" s="42" t="s">
        <v>20</v>
      </c>
      <c r="H174" s="42" t="s">
        <v>9</v>
      </c>
      <c r="I174" s="42" t="s">
        <v>14</v>
      </c>
    </row>
    <row r="175" spans="1:9" x14ac:dyDescent="0.2">
      <c r="A175" s="42" t="s">
        <v>52</v>
      </c>
      <c r="B175" s="42">
        <v>-4.82041E-2</v>
      </c>
      <c r="C175" s="42">
        <v>0.2009456</v>
      </c>
      <c r="D175" s="42">
        <v>80.406772399999994</v>
      </c>
      <c r="E175" s="42">
        <v>-0.2398863</v>
      </c>
      <c r="F175" s="42">
        <v>0.99925240999999998</v>
      </c>
      <c r="G175" s="42" t="s">
        <v>20</v>
      </c>
      <c r="H175" s="42" t="s">
        <v>9</v>
      </c>
      <c r="I175" s="42" t="s">
        <v>14</v>
      </c>
    </row>
    <row r="176" spans="1:9" x14ac:dyDescent="0.2">
      <c r="A176" s="42" t="s">
        <v>53</v>
      </c>
      <c r="B176" s="42">
        <v>-0.41380869999999997</v>
      </c>
      <c r="C176" s="42">
        <v>0.38328838999999998</v>
      </c>
      <c r="D176" s="42">
        <v>135.790471</v>
      </c>
      <c r="E176" s="42">
        <v>-1.0796275</v>
      </c>
      <c r="F176" s="42">
        <v>0.81672988000000002</v>
      </c>
      <c r="G176" s="42" t="s">
        <v>20</v>
      </c>
      <c r="H176" s="42" t="s">
        <v>9</v>
      </c>
      <c r="I176" s="42" t="s">
        <v>14</v>
      </c>
    </row>
    <row r="177" spans="1:9" x14ac:dyDescent="0.2">
      <c r="A177" s="42" t="s">
        <v>54</v>
      </c>
      <c r="B177" s="42">
        <v>-0.2575305</v>
      </c>
      <c r="C177" s="42">
        <v>0.20321487999999999</v>
      </c>
      <c r="D177" s="42">
        <v>70.359191899999999</v>
      </c>
      <c r="E177" s="42">
        <v>-1.2672816</v>
      </c>
      <c r="F177" s="42">
        <v>0.71188746000000003</v>
      </c>
      <c r="G177" s="42" t="s">
        <v>20</v>
      </c>
      <c r="H177" s="42" t="s">
        <v>9</v>
      </c>
      <c r="I177" s="42" t="s">
        <v>14</v>
      </c>
    </row>
    <row r="178" spans="1:9" x14ac:dyDescent="0.2">
      <c r="A178" s="42" t="s">
        <v>55</v>
      </c>
      <c r="B178" s="42">
        <v>-0.32461050000000002</v>
      </c>
      <c r="C178" s="42">
        <v>0.20564590999999999</v>
      </c>
      <c r="D178" s="42">
        <v>74.210806500000004</v>
      </c>
      <c r="E178" s="42">
        <v>-1.5784924</v>
      </c>
      <c r="F178" s="42">
        <v>0.51573837</v>
      </c>
      <c r="G178" s="42" t="s">
        <v>20</v>
      </c>
      <c r="H178" s="42" t="s">
        <v>9</v>
      </c>
      <c r="I178" s="42" t="s">
        <v>14</v>
      </c>
    </row>
    <row r="179" spans="1:9" x14ac:dyDescent="0.2">
      <c r="A179" s="42" t="s">
        <v>56</v>
      </c>
      <c r="B179" s="42">
        <v>-0.69021509999999997</v>
      </c>
      <c r="C179" s="42">
        <v>0.38636048000000001</v>
      </c>
      <c r="D179" s="42">
        <v>133.426153</v>
      </c>
      <c r="E179" s="42">
        <v>-1.7864537</v>
      </c>
      <c r="F179" s="42">
        <v>0.38576546</v>
      </c>
      <c r="G179" s="42" t="s">
        <v>20</v>
      </c>
      <c r="H179" s="42" t="s">
        <v>9</v>
      </c>
      <c r="I179" s="42" t="s">
        <v>14</v>
      </c>
    </row>
    <row r="180" spans="1:9" x14ac:dyDescent="0.2">
      <c r="A180" s="42" t="s">
        <v>57</v>
      </c>
      <c r="B180" s="42">
        <v>-0.53393690000000005</v>
      </c>
      <c r="C180" s="42">
        <v>0.20727217000000001</v>
      </c>
      <c r="D180" s="42">
        <v>64.292478299999999</v>
      </c>
      <c r="E180" s="42">
        <v>-2.5760182999999999</v>
      </c>
      <c r="F180" s="42">
        <v>8.6994459999999996E-2</v>
      </c>
      <c r="G180" s="42" t="s">
        <v>20</v>
      </c>
      <c r="H180" s="42" t="s">
        <v>9</v>
      </c>
      <c r="I180" s="42" t="s">
        <v>14</v>
      </c>
    </row>
    <row r="181" spans="1:9" x14ac:dyDescent="0.2">
      <c r="A181" s="42" t="s">
        <v>58</v>
      </c>
      <c r="B181" s="42">
        <v>-0.3656046</v>
      </c>
      <c r="C181" s="42">
        <v>0.40544280999999999</v>
      </c>
      <c r="D181" s="42">
        <v>131.26923300000001</v>
      </c>
      <c r="E181" s="42">
        <v>-0.90174140000000003</v>
      </c>
      <c r="F181" s="42">
        <v>0.89577211000000001</v>
      </c>
      <c r="G181" s="42" t="s">
        <v>20</v>
      </c>
      <c r="H181" s="42" t="s">
        <v>9</v>
      </c>
      <c r="I181" s="42" t="s">
        <v>14</v>
      </c>
    </row>
    <row r="182" spans="1:9" x14ac:dyDescent="0.2">
      <c r="A182" s="42" t="s">
        <v>59</v>
      </c>
      <c r="B182" s="42">
        <v>-0.2093264</v>
      </c>
      <c r="C182" s="42">
        <v>0.24073284</v>
      </c>
      <c r="D182" s="42">
        <v>71.744854099999998</v>
      </c>
      <c r="E182" s="42">
        <v>-0.86953809999999998</v>
      </c>
      <c r="F182" s="42">
        <v>0.90709101999999997</v>
      </c>
      <c r="G182" s="42" t="s">
        <v>20</v>
      </c>
      <c r="H182" s="42" t="s">
        <v>9</v>
      </c>
      <c r="I182" s="42" t="s">
        <v>14</v>
      </c>
    </row>
    <row r="183" spans="1:9" x14ac:dyDescent="0.2">
      <c r="A183" s="42" t="s">
        <v>60</v>
      </c>
      <c r="B183" s="42">
        <v>0.15627819000000001</v>
      </c>
      <c r="C183" s="42">
        <v>0.40528686000000003</v>
      </c>
      <c r="D183" s="42">
        <v>126.846467</v>
      </c>
      <c r="E183" s="42">
        <v>0.38559895</v>
      </c>
      <c r="F183" s="42">
        <v>0.99526159999999997</v>
      </c>
      <c r="G183" s="42" t="s">
        <v>20</v>
      </c>
      <c r="H183" s="42" t="s">
        <v>9</v>
      </c>
      <c r="I183" s="42" t="s">
        <v>14</v>
      </c>
    </row>
    <row r="184" spans="1:9" x14ac:dyDescent="0.2">
      <c r="A184" s="42" t="s">
        <v>36</v>
      </c>
      <c r="B184" s="42">
        <v>0.15313758999999999</v>
      </c>
      <c r="C184" s="42">
        <v>0.32760341999999998</v>
      </c>
      <c r="D184" s="42">
        <v>37.185102999999998</v>
      </c>
      <c r="E184" s="42">
        <v>0.46744808999999998</v>
      </c>
      <c r="F184" s="42">
        <v>0.96571384000000005</v>
      </c>
      <c r="G184" s="42" t="s">
        <v>20</v>
      </c>
      <c r="H184" s="42" t="s">
        <v>15</v>
      </c>
      <c r="I184" s="42" t="s">
        <v>10</v>
      </c>
    </row>
    <row r="185" spans="1:9" x14ac:dyDescent="0.2">
      <c r="A185" s="42" t="s">
        <v>37</v>
      </c>
      <c r="B185" s="42">
        <v>-0.43175140000000001</v>
      </c>
      <c r="C185" s="42">
        <v>0.55854126999999998</v>
      </c>
      <c r="D185" s="42">
        <v>66.656981799999997</v>
      </c>
      <c r="E185" s="42">
        <v>-0.77299819999999997</v>
      </c>
      <c r="F185" s="42">
        <v>0.86636413000000001</v>
      </c>
      <c r="G185" s="42" t="s">
        <v>20</v>
      </c>
      <c r="H185" s="42" t="s">
        <v>15</v>
      </c>
      <c r="I185" s="42" t="s">
        <v>10</v>
      </c>
    </row>
    <row r="186" spans="1:9" x14ac:dyDescent="0.2">
      <c r="A186" s="42" t="s">
        <v>38</v>
      </c>
      <c r="B186" s="42">
        <v>0.46831347000000001</v>
      </c>
      <c r="C186" s="42">
        <v>0.32584018999999997</v>
      </c>
      <c r="D186" s="42">
        <v>36.901597799999998</v>
      </c>
      <c r="E186" s="42">
        <v>1.4372489500000001</v>
      </c>
      <c r="F186" s="42">
        <v>0.48489096999999998</v>
      </c>
      <c r="G186" s="42" t="s">
        <v>20</v>
      </c>
      <c r="H186" s="42" t="s">
        <v>15</v>
      </c>
      <c r="I186" s="42" t="s">
        <v>10</v>
      </c>
    </row>
    <row r="187" spans="1:9" x14ac:dyDescent="0.2">
      <c r="A187" s="42" t="s">
        <v>39</v>
      </c>
      <c r="B187" s="42">
        <v>-0.58488899999999999</v>
      </c>
      <c r="C187" s="42">
        <v>0.55756000999999999</v>
      </c>
      <c r="D187" s="42">
        <v>66.705168599999993</v>
      </c>
      <c r="E187" s="42">
        <v>-1.0490153</v>
      </c>
      <c r="F187" s="42">
        <v>0.72134648000000001</v>
      </c>
      <c r="G187" s="42" t="s">
        <v>20</v>
      </c>
      <c r="H187" s="42" t="s">
        <v>15</v>
      </c>
      <c r="I187" s="42" t="s">
        <v>10</v>
      </c>
    </row>
    <row r="188" spans="1:9" x14ac:dyDescent="0.2">
      <c r="A188" s="42" t="s">
        <v>40</v>
      </c>
      <c r="B188" s="42">
        <v>0.31517587000000002</v>
      </c>
      <c r="C188" s="42">
        <v>0.32288567000000001</v>
      </c>
      <c r="D188" s="42">
        <v>36.731406999999997</v>
      </c>
      <c r="E188" s="42">
        <v>0.97612222000000004</v>
      </c>
      <c r="F188" s="42">
        <v>0.76376860999999996</v>
      </c>
      <c r="G188" s="42" t="s">
        <v>20</v>
      </c>
      <c r="H188" s="42" t="s">
        <v>15</v>
      </c>
      <c r="I188" s="42" t="s">
        <v>10</v>
      </c>
    </row>
    <row r="189" spans="1:9" x14ac:dyDescent="0.2">
      <c r="A189" s="42" t="s">
        <v>41</v>
      </c>
      <c r="B189" s="42">
        <v>0.90006487000000002</v>
      </c>
      <c r="C189" s="42">
        <v>0.55575026999999999</v>
      </c>
      <c r="D189" s="42">
        <v>66.427191199999996</v>
      </c>
      <c r="E189" s="42">
        <v>1.6195491399999999</v>
      </c>
      <c r="F189" s="42">
        <v>0.37481513</v>
      </c>
      <c r="G189" s="42" t="s">
        <v>20</v>
      </c>
      <c r="H189" s="42" t="s">
        <v>15</v>
      </c>
      <c r="I189" s="42" t="s">
        <v>10</v>
      </c>
    </row>
    <row r="190" spans="1:9" x14ac:dyDescent="0.2">
      <c r="A190" s="42" t="s">
        <v>42</v>
      </c>
      <c r="B190" s="42">
        <v>-0.54972129999999997</v>
      </c>
      <c r="C190" s="42">
        <v>0.31558497000000002</v>
      </c>
      <c r="D190" s="42">
        <v>31.953940599999999</v>
      </c>
      <c r="E190" s="42">
        <v>-1.7419121</v>
      </c>
      <c r="F190" s="42">
        <v>0.20556753999999999</v>
      </c>
      <c r="G190" s="42" t="s">
        <v>20</v>
      </c>
      <c r="H190" s="42" t="s">
        <v>15</v>
      </c>
      <c r="I190" s="42" t="s">
        <v>12</v>
      </c>
    </row>
    <row r="191" spans="1:9" x14ac:dyDescent="0.2">
      <c r="A191" s="42" t="s">
        <v>43</v>
      </c>
      <c r="B191" s="42">
        <v>-0.27129629999999999</v>
      </c>
      <c r="C191" s="42">
        <v>0.47485680000000002</v>
      </c>
      <c r="D191" s="42">
        <v>36.439264399999999</v>
      </c>
      <c r="E191" s="42">
        <v>-0.57132229999999995</v>
      </c>
      <c r="F191" s="42">
        <v>0.83614933999999996</v>
      </c>
      <c r="G191" s="42" t="s">
        <v>20</v>
      </c>
      <c r="H191" s="42" t="s">
        <v>15</v>
      </c>
      <c r="I191" s="42" t="s">
        <v>12</v>
      </c>
    </row>
    <row r="192" spans="1:9" x14ac:dyDescent="0.2">
      <c r="A192" s="42" t="s">
        <v>44</v>
      </c>
      <c r="B192" s="42">
        <v>0.27842498999999998</v>
      </c>
      <c r="C192" s="42">
        <v>0.41925283000000002</v>
      </c>
      <c r="D192" s="42">
        <v>37.401250900000001</v>
      </c>
      <c r="E192" s="42">
        <v>0.66409806000000005</v>
      </c>
      <c r="F192" s="42">
        <v>0.78556501999999995</v>
      </c>
      <c r="G192" s="42" t="s">
        <v>20</v>
      </c>
      <c r="H192" s="42" t="s">
        <v>15</v>
      </c>
      <c r="I192" s="42" t="s">
        <v>12</v>
      </c>
    </row>
    <row r="193" spans="1:9" x14ac:dyDescent="0.2">
      <c r="A193" s="42" t="s">
        <v>45</v>
      </c>
      <c r="B193" s="42">
        <v>-0.98917379999999999</v>
      </c>
      <c r="C193" s="42">
        <v>0.72275235999999998</v>
      </c>
      <c r="D193" s="42">
        <v>51.099091899999998</v>
      </c>
      <c r="E193" s="42">
        <v>-1.3686206999999999</v>
      </c>
      <c r="F193" s="42">
        <v>0.52448775999999997</v>
      </c>
      <c r="G193" s="42" t="s">
        <v>20</v>
      </c>
      <c r="H193" s="42" t="s">
        <v>15</v>
      </c>
      <c r="I193" s="42" t="s">
        <v>13</v>
      </c>
    </row>
    <row r="194" spans="1:9" x14ac:dyDescent="0.2">
      <c r="A194" s="42" t="s">
        <v>46</v>
      </c>
      <c r="B194" s="42">
        <v>-0.9667306</v>
      </c>
      <c r="C194" s="42">
        <v>0.76372958999999996</v>
      </c>
      <c r="D194" s="42">
        <v>51.660680900000003</v>
      </c>
      <c r="E194" s="42">
        <v>-1.2658022</v>
      </c>
      <c r="F194" s="42">
        <v>0.58851549999999997</v>
      </c>
      <c r="G194" s="42" t="s">
        <v>20</v>
      </c>
      <c r="H194" s="42" t="s">
        <v>15</v>
      </c>
      <c r="I194" s="42" t="s">
        <v>13</v>
      </c>
    </row>
    <row r="195" spans="1:9" x14ac:dyDescent="0.2">
      <c r="A195" s="42" t="s">
        <v>47</v>
      </c>
      <c r="B195" s="42">
        <v>-0.5971554</v>
      </c>
      <c r="C195" s="42">
        <v>0.72290916000000005</v>
      </c>
      <c r="D195" s="42">
        <v>52.191369399999999</v>
      </c>
      <c r="E195" s="42">
        <v>-0.82604489999999997</v>
      </c>
      <c r="F195" s="42">
        <v>0.84187241000000002</v>
      </c>
      <c r="G195" s="42" t="s">
        <v>20</v>
      </c>
      <c r="H195" s="42" t="s">
        <v>15</v>
      </c>
      <c r="I195" s="42" t="s">
        <v>13</v>
      </c>
    </row>
    <row r="196" spans="1:9" x14ac:dyDescent="0.2">
      <c r="A196" s="42" t="s">
        <v>48</v>
      </c>
      <c r="B196" s="42">
        <v>2.2443250000000001E-2</v>
      </c>
      <c r="C196" s="42">
        <v>0.39038079999999997</v>
      </c>
      <c r="D196" s="42">
        <v>42.867334800000002</v>
      </c>
      <c r="E196" s="42">
        <v>5.7490659999999999E-2</v>
      </c>
      <c r="F196" s="42">
        <v>0.99993065999999997</v>
      </c>
      <c r="G196" s="42" t="s">
        <v>20</v>
      </c>
      <c r="H196" s="42" t="s">
        <v>15</v>
      </c>
      <c r="I196" s="42" t="s">
        <v>13</v>
      </c>
    </row>
    <row r="197" spans="1:9" x14ac:dyDescent="0.2">
      <c r="A197" s="42" t="s">
        <v>49</v>
      </c>
      <c r="B197" s="42">
        <v>0.39201842999999997</v>
      </c>
      <c r="C197" s="42">
        <v>0.28940048000000002</v>
      </c>
      <c r="D197" s="42">
        <v>33.317432500000002</v>
      </c>
      <c r="E197" s="42">
        <v>1.35458805</v>
      </c>
      <c r="F197" s="42">
        <v>0.53582635000000001</v>
      </c>
      <c r="G197" s="42" t="s">
        <v>20</v>
      </c>
      <c r="H197" s="42" t="s">
        <v>15</v>
      </c>
      <c r="I197" s="42" t="s">
        <v>13</v>
      </c>
    </row>
    <row r="198" spans="1:9" x14ac:dyDescent="0.2">
      <c r="A198" s="42" t="s">
        <v>50</v>
      </c>
      <c r="B198" s="42">
        <v>0.36957518</v>
      </c>
      <c r="C198" s="42">
        <v>0.38538593999999998</v>
      </c>
      <c r="D198" s="42">
        <v>42.704425100000002</v>
      </c>
      <c r="E198" s="42">
        <v>0.95897423000000004</v>
      </c>
      <c r="F198" s="42">
        <v>0.77319563999999996</v>
      </c>
      <c r="G198" s="42" t="s">
        <v>20</v>
      </c>
      <c r="H198" s="42" t="s">
        <v>15</v>
      </c>
      <c r="I198" s="42" t="s">
        <v>13</v>
      </c>
    </row>
    <row r="199" spans="1:9" x14ac:dyDescent="0.2">
      <c r="A199" s="42" t="s">
        <v>51</v>
      </c>
      <c r="B199" s="42">
        <v>0.68958043999999996</v>
      </c>
      <c r="C199" s="42">
        <v>0.59896917000000005</v>
      </c>
      <c r="D199" s="42">
        <v>50.222498000000002</v>
      </c>
      <c r="E199" s="42">
        <v>1.1512787</v>
      </c>
      <c r="F199" s="42">
        <v>0.77848262999999995</v>
      </c>
      <c r="G199" s="42" t="s">
        <v>20</v>
      </c>
      <c r="H199" s="42" t="s">
        <v>15</v>
      </c>
      <c r="I199" s="42" t="s">
        <v>14</v>
      </c>
    </row>
    <row r="200" spans="1:9" x14ac:dyDescent="0.2">
      <c r="A200" s="42" t="s">
        <v>52</v>
      </c>
      <c r="B200" s="42">
        <v>0.78591522999999996</v>
      </c>
      <c r="C200" s="42">
        <v>0.53046148999999998</v>
      </c>
      <c r="D200" s="42">
        <v>50.9473159</v>
      </c>
      <c r="E200" s="42">
        <v>1.48156888</v>
      </c>
      <c r="F200" s="42">
        <v>0.57891870999999995</v>
      </c>
      <c r="G200" s="42" t="s">
        <v>20</v>
      </c>
      <c r="H200" s="42" t="s">
        <v>15</v>
      </c>
      <c r="I200" s="42" t="s">
        <v>14</v>
      </c>
    </row>
    <row r="201" spans="1:9" x14ac:dyDescent="0.2">
      <c r="A201" s="42" t="s">
        <v>53</v>
      </c>
      <c r="B201" s="42">
        <v>0.45543327</v>
      </c>
      <c r="C201" s="42">
        <v>0.60189216999999995</v>
      </c>
      <c r="D201" s="42">
        <v>52.223850900000002</v>
      </c>
      <c r="E201" s="42">
        <v>0.75666920999999998</v>
      </c>
      <c r="F201" s="42">
        <v>0.94169499999999995</v>
      </c>
      <c r="G201" s="42" t="s">
        <v>20</v>
      </c>
      <c r="H201" s="42" t="s">
        <v>15</v>
      </c>
      <c r="I201" s="42" t="s">
        <v>14</v>
      </c>
    </row>
    <row r="202" spans="1:9" x14ac:dyDescent="0.2">
      <c r="A202" s="42" t="s">
        <v>54</v>
      </c>
      <c r="B202" s="42">
        <v>0.36259102999999998</v>
      </c>
      <c r="C202" s="42">
        <v>0.52975008999999995</v>
      </c>
      <c r="D202" s="42">
        <v>52.781693199999999</v>
      </c>
      <c r="E202" s="42">
        <v>0.68445676</v>
      </c>
      <c r="F202" s="42">
        <v>0.95898693000000002</v>
      </c>
      <c r="G202" s="42" t="s">
        <v>20</v>
      </c>
      <c r="H202" s="42" t="s">
        <v>15</v>
      </c>
      <c r="I202" s="42" t="s">
        <v>14</v>
      </c>
    </row>
    <row r="203" spans="1:9" x14ac:dyDescent="0.2">
      <c r="A203" s="42" t="s">
        <v>55</v>
      </c>
      <c r="B203" s="42">
        <v>9.6334790000000003E-2</v>
      </c>
      <c r="C203" s="42">
        <v>0.43134563999999997</v>
      </c>
      <c r="D203" s="42">
        <v>47.006150400000003</v>
      </c>
      <c r="E203" s="42">
        <v>0.22333549</v>
      </c>
      <c r="F203" s="42">
        <v>0.99942697999999996</v>
      </c>
      <c r="G203" s="42" t="s">
        <v>20</v>
      </c>
      <c r="H203" s="42" t="s">
        <v>15</v>
      </c>
      <c r="I203" s="42" t="s">
        <v>14</v>
      </c>
    </row>
    <row r="204" spans="1:9" x14ac:dyDescent="0.2">
      <c r="A204" s="42" t="s">
        <v>56</v>
      </c>
      <c r="B204" s="42">
        <v>-0.2341472</v>
      </c>
      <c r="C204" s="42">
        <v>0.51558349999999997</v>
      </c>
      <c r="D204" s="42">
        <v>49.022503299999997</v>
      </c>
      <c r="E204" s="42">
        <v>-0.45414019999999999</v>
      </c>
      <c r="F204" s="42">
        <v>0.99095162999999997</v>
      </c>
      <c r="G204" s="42" t="s">
        <v>20</v>
      </c>
      <c r="H204" s="42" t="s">
        <v>15</v>
      </c>
      <c r="I204" s="42" t="s">
        <v>14</v>
      </c>
    </row>
    <row r="205" spans="1:9" x14ac:dyDescent="0.2">
      <c r="A205" s="42" t="s">
        <v>57</v>
      </c>
      <c r="B205" s="42">
        <v>-0.32698939999999999</v>
      </c>
      <c r="C205" s="42">
        <v>0.42943789999999998</v>
      </c>
      <c r="D205" s="42">
        <v>48.595666700000002</v>
      </c>
      <c r="E205" s="42">
        <v>-0.7614358</v>
      </c>
      <c r="F205" s="42">
        <v>0.94033323999999996</v>
      </c>
      <c r="G205" s="42" t="s">
        <v>20</v>
      </c>
      <c r="H205" s="42" t="s">
        <v>15</v>
      </c>
      <c r="I205" s="42" t="s">
        <v>14</v>
      </c>
    </row>
    <row r="206" spans="1:9" x14ac:dyDescent="0.2">
      <c r="A206" s="42" t="s">
        <v>58</v>
      </c>
      <c r="B206" s="42">
        <v>-0.330482</v>
      </c>
      <c r="C206" s="42">
        <v>0.43362085</v>
      </c>
      <c r="D206" s="42">
        <v>49.813102899999997</v>
      </c>
      <c r="E206" s="42">
        <v>-0.76214499999999996</v>
      </c>
      <c r="F206" s="42">
        <v>0.94017085</v>
      </c>
      <c r="G206" s="42" t="s">
        <v>20</v>
      </c>
      <c r="H206" s="42" t="s">
        <v>15</v>
      </c>
      <c r="I206" s="42" t="s">
        <v>14</v>
      </c>
    </row>
    <row r="207" spans="1:9" x14ac:dyDescent="0.2">
      <c r="A207" s="42" t="s">
        <v>59</v>
      </c>
      <c r="B207" s="42">
        <v>-0.42332419999999998</v>
      </c>
      <c r="C207" s="42">
        <v>0.32637981999999999</v>
      </c>
      <c r="D207" s="42">
        <v>49.346065899999999</v>
      </c>
      <c r="E207" s="42">
        <v>-1.2970292999999999</v>
      </c>
      <c r="F207" s="42">
        <v>0.69423376999999997</v>
      </c>
      <c r="G207" s="42" t="s">
        <v>20</v>
      </c>
      <c r="H207" s="42" t="s">
        <v>15</v>
      </c>
      <c r="I207" s="42" t="s">
        <v>14</v>
      </c>
    </row>
    <row r="208" spans="1:9" x14ac:dyDescent="0.2">
      <c r="A208" s="42" t="s">
        <v>60</v>
      </c>
      <c r="B208" s="42">
        <v>-9.28422E-2</v>
      </c>
      <c r="C208" s="42">
        <v>0.42903299</v>
      </c>
      <c r="D208" s="42">
        <v>49.501453400000003</v>
      </c>
      <c r="E208" s="42">
        <v>-0.2163988</v>
      </c>
      <c r="F208" s="42">
        <v>0.99949513999999995</v>
      </c>
      <c r="G208" s="42" t="s">
        <v>20</v>
      </c>
      <c r="H208" s="42" t="s">
        <v>15</v>
      </c>
      <c r="I208" s="4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opLeftCell="A29" workbookViewId="0">
      <selection activeCell="J51" sqref="J51"/>
    </sheetView>
  </sheetViews>
  <sheetFormatPr baseColWidth="10" defaultRowHeight="16" x14ac:dyDescent="0.2"/>
  <cols>
    <col min="1" max="1" width="14" style="4" bestFit="1" customWidth="1"/>
    <col min="2" max="6" width="10.83203125" style="4"/>
    <col min="7" max="7" width="13.33203125" bestFit="1" customWidth="1"/>
  </cols>
  <sheetData>
    <row r="1" spans="1:8" x14ac:dyDescent="0.2">
      <c r="A1" s="4" t="s">
        <v>22</v>
      </c>
      <c r="B1" s="4" t="s">
        <v>23</v>
      </c>
      <c r="C1" s="4" t="s">
        <v>24</v>
      </c>
      <c r="D1" s="4" t="s">
        <v>4</v>
      </c>
      <c r="E1" s="4" t="s">
        <v>5</v>
      </c>
      <c r="F1" s="4" t="s">
        <v>6</v>
      </c>
    </row>
    <row r="2" spans="1:8" x14ac:dyDescent="0.2">
      <c r="A2" s="4">
        <v>7.7036280883374104</v>
      </c>
      <c r="B2" s="4">
        <v>8.1754164418992001</v>
      </c>
      <c r="C2" s="4">
        <v>1</v>
      </c>
      <c r="D2" s="4" t="s">
        <v>8</v>
      </c>
      <c r="E2" s="4" t="s">
        <v>9</v>
      </c>
      <c r="F2" s="4" t="s">
        <v>10</v>
      </c>
      <c r="H2" t="s">
        <v>25</v>
      </c>
    </row>
    <row r="3" spans="1:8" x14ac:dyDescent="0.2">
      <c r="A3" s="4">
        <v>7.7036280883374104</v>
      </c>
      <c r="B3" s="4">
        <v>7.7145464645713204</v>
      </c>
      <c r="C3" s="4">
        <v>1</v>
      </c>
      <c r="D3" s="4" t="s">
        <v>8</v>
      </c>
      <c r="E3" s="4" t="s">
        <v>9</v>
      </c>
      <c r="F3" s="4" t="s">
        <v>12</v>
      </c>
      <c r="H3" t="s">
        <v>26</v>
      </c>
    </row>
    <row r="4" spans="1:8" x14ac:dyDescent="0.2">
      <c r="A4" s="4">
        <v>7.7036280883374104</v>
      </c>
      <c r="B4" s="4">
        <v>6.1870624913031804</v>
      </c>
      <c r="C4" s="4">
        <v>1</v>
      </c>
      <c r="D4" s="4" t="s">
        <v>8</v>
      </c>
      <c r="E4" s="4" t="s">
        <v>9</v>
      </c>
      <c r="F4" s="4" t="s">
        <v>13</v>
      </c>
      <c r="H4" t="s">
        <v>27</v>
      </c>
    </row>
    <row r="5" spans="1:8" x14ac:dyDescent="0.2">
      <c r="A5" s="4">
        <v>7.7036280883374104</v>
      </c>
      <c r="B5" s="4">
        <v>7.4662708616423501</v>
      </c>
      <c r="C5" s="4">
        <v>1</v>
      </c>
      <c r="D5" s="4" t="s">
        <v>8</v>
      </c>
      <c r="E5" s="4" t="s">
        <v>9</v>
      </c>
      <c r="F5" s="4" t="s">
        <v>14</v>
      </c>
    </row>
    <row r="6" spans="1:8" x14ac:dyDescent="0.2">
      <c r="A6" s="4">
        <v>-3.7407690572685599</v>
      </c>
      <c r="B6" s="4">
        <v>-3.4118908537860402</v>
      </c>
      <c r="C6" s="4">
        <v>1</v>
      </c>
      <c r="D6" s="4" t="s">
        <v>8</v>
      </c>
      <c r="E6" s="4" t="s">
        <v>15</v>
      </c>
      <c r="F6" s="4" t="s">
        <v>10</v>
      </c>
    </row>
    <row r="7" spans="1:8" x14ac:dyDescent="0.2">
      <c r="A7" s="4">
        <v>-3.7407690572685599</v>
      </c>
      <c r="B7" s="4">
        <v>-4.9198913565281996</v>
      </c>
      <c r="C7" s="4">
        <v>1</v>
      </c>
      <c r="D7" s="4" t="s">
        <v>8</v>
      </c>
      <c r="E7" s="4" t="s">
        <v>15</v>
      </c>
      <c r="F7" s="4" t="s">
        <v>12</v>
      </c>
    </row>
    <row r="8" spans="1:8" x14ac:dyDescent="0.2">
      <c r="A8" s="4">
        <v>-3.7407690572685599</v>
      </c>
      <c r="B8" s="4">
        <v>-6.3663032503562604</v>
      </c>
      <c r="C8" s="4">
        <v>1</v>
      </c>
      <c r="D8" s="4" t="s">
        <v>8</v>
      </c>
      <c r="E8" s="4" t="s">
        <v>15</v>
      </c>
      <c r="F8" s="4" t="s">
        <v>13</v>
      </c>
    </row>
    <row r="9" spans="1:8" x14ac:dyDescent="0.2">
      <c r="A9" s="4">
        <v>-3.7407690572685599</v>
      </c>
      <c r="B9" s="4">
        <v>-3.77002626894628</v>
      </c>
      <c r="C9" s="4">
        <v>1</v>
      </c>
      <c r="D9" s="4" t="s">
        <v>8</v>
      </c>
      <c r="E9" s="4" t="s">
        <v>15</v>
      </c>
      <c r="F9" s="4" t="s">
        <v>14</v>
      </c>
    </row>
    <row r="10" spans="1:8" x14ac:dyDescent="0.2">
      <c r="A10" s="4">
        <v>1.9909203299937499</v>
      </c>
      <c r="B10" s="4">
        <v>1.98205051019016</v>
      </c>
      <c r="C10" s="4">
        <v>1</v>
      </c>
      <c r="D10" s="4" t="s">
        <v>16</v>
      </c>
      <c r="E10" s="4" t="s">
        <v>9</v>
      </c>
      <c r="F10" s="4" t="s">
        <v>10</v>
      </c>
    </row>
    <row r="11" spans="1:8" x14ac:dyDescent="0.2">
      <c r="A11" s="4">
        <v>1.9909203299937499</v>
      </c>
      <c r="B11" s="4">
        <v>1.8660026257959901</v>
      </c>
      <c r="C11" s="4">
        <v>1</v>
      </c>
      <c r="D11" s="4" t="s">
        <v>16</v>
      </c>
      <c r="E11" s="4" t="s">
        <v>9</v>
      </c>
      <c r="F11" s="4" t="s">
        <v>12</v>
      </c>
    </row>
    <row r="12" spans="1:8" x14ac:dyDescent="0.2">
      <c r="A12" s="4">
        <v>1.9909203299937499</v>
      </c>
      <c r="B12" s="4">
        <v>0.55109411343890102</v>
      </c>
      <c r="C12" s="4">
        <v>1</v>
      </c>
      <c r="D12" s="4" t="s">
        <v>16</v>
      </c>
      <c r="E12" s="4" t="s">
        <v>9</v>
      </c>
      <c r="F12" s="4" t="s">
        <v>13</v>
      </c>
    </row>
    <row r="13" spans="1:8" x14ac:dyDescent="0.2">
      <c r="A13" s="4">
        <v>1.9909203299937499</v>
      </c>
      <c r="B13" s="4">
        <v>2.0746407788302199</v>
      </c>
      <c r="C13" s="4">
        <v>1</v>
      </c>
      <c r="D13" s="4" t="s">
        <v>16</v>
      </c>
      <c r="E13" s="4" t="s">
        <v>9</v>
      </c>
      <c r="F13" s="4" t="s">
        <v>14</v>
      </c>
    </row>
    <row r="14" spans="1:8" x14ac:dyDescent="0.2">
      <c r="A14" s="4">
        <v>0.58005773469469801</v>
      </c>
      <c r="B14" s="4">
        <v>0.74826547503164798</v>
      </c>
      <c r="C14" s="4">
        <v>1</v>
      </c>
      <c r="D14" s="4" t="s">
        <v>16</v>
      </c>
      <c r="E14" s="4" t="s">
        <v>15</v>
      </c>
      <c r="F14" s="4" t="s">
        <v>10</v>
      </c>
    </row>
    <row r="15" spans="1:8" x14ac:dyDescent="0.2">
      <c r="A15" s="4">
        <v>0.58005773469469801</v>
      </c>
      <c r="B15" s="4">
        <v>0.72148597341376597</v>
      </c>
      <c r="C15" s="4">
        <v>1</v>
      </c>
      <c r="D15" s="4" t="s">
        <v>16</v>
      </c>
      <c r="E15" s="4" t="s">
        <v>15</v>
      </c>
      <c r="F15" s="4" t="s">
        <v>12</v>
      </c>
    </row>
    <row r="16" spans="1:8" x14ac:dyDescent="0.2">
      <c r="A16" s="4">
        <v>0.58005773469469801</v>
      </c>
      <c r="B16" s="4">
        <v>-0.328088237433384</v>
      </c>
      <c r="C16" s="4">
        <v>1</v>
      </c>
      <c r="D16" s="4" t="s">
        <v>16</v>
      </c>
      <c r="E16" s="4" t="s">
        <v>15</v>
      </c>
      <c r="F16" s="4" t="s">
        <v>13</v>
      </c>
    </row>
    <row r="17" spans="1:6" x14ac:dyDescent="0.2">
      <c r="A17" s="4">
        <v>0.58005773469469801</v>
      </c>
      <c r="B17" s="4">
        <v>-0.53360413807674101</v>
      </c>
      <c r="C17" s="4">
        <v>1</v>
      </c>
      <c r="D17" s="4" t="s">
        <v>16</v>
      </c>
      <c r="E17" s="4" t="s">
        <v>15</v>
      </c>
      <c r="F17" s="4" t="s">
        <v>14</v>
      </c>
    </row>
    <row r="18" spans="1:6" x14ac:dyDescent="0.2">
      <c r="A18" s="4">
        <v>15.333711117318201</v>
      </c>
      <c r="B18" s="4">
        <v>16.038292529256399</v>
      </c>
      <c r="C18" s="4">
        <v>1</v>
      </c>
      <c r="D18" s="4" t="s">
        <v>19</v>
      </c>
      <c r="E18" s="4" t="s">
        <v>9</v>
      </c>
      <c r="F18" s="4" t="s">
        <v>10</v>
      </c>
    </row>
    <row r="19" spans="1:6" x14ac:dyDescent="0.2">
      <c r="A19" s="4">
        <v>15.333711117318201</v>
      </c>
      <c r="B19" s="4">
        <v>13.711141131183799</v>
      </c>
      <c r="C19" s="4">
        <v>1</v>
      </c>
      <c r="D19" s="4" t="s">
        <v>19</v>
      </c>
      <c r="E19" s="4" t="s">
        <v>9</v>
      </c>
      <c r="F19" s="4" t="s">
        <v>12</v>
      </c>
    </row>
    <row r="20" spans="1:6" x14ac:dyDescent="0.2">
      <c r="A20" s="4">
        <v>15.333711117318201</v>
      </c>
      <c r="B20" s="4">
        <v>16.054429458065702</v>
      </c>
      <c r="C20" s="4">
        <v>1</v>
      </c>
      <c r="D20" s="4" t="s">
        <v>19</v>
      </c>
      <c r="E20" s="4" t="s">
        <v>9</v>
      </c>
      <c r="F20" s="4" t="s">
        <v>13</v>
      </c>
    </row>
    <row r="21" spans="1:6" x14ac:dyDescent="0.2">
      <c r="A21" s="4">
        <v>15.333711117318201</v>
      </c>
      <c r="B21" s="4">
        <v>15.928446001309201</v>
      </c>
      <c r="C21" s="4">
        <v>1</v>
      </c>
      <c r="D21" s="4" t="s">
        <v>19</v>
      </c>
      <c r="E21" s="4" t="s">
        <v>9</v>
      </c>
      <c r="F21" s="4" t="s">
        <v>14</v>
      </c>
    </row>
    <row r="22" spans="1:6" x14ac:dyDescent="0.2">
      <c r="A22" s="4">
        <v>20.5145363239643</v>
      </c>
      <c r="B22" s="4">
        <v>20.471881560463501</v>
      </c>
      <c r="C22" s="4">
        <v>1</v>
      </c>
      <c r="D22" s="4" t="s">
        <v>19</v>
      </c>
      <c r="E22" s="4" t="s">
        <v>15</v>
      </c>
      <c r="F22" s="4" t="s">
        <v>10</v>
      </c>
    </row>
    <row r="23" spans="1:6" x14ac:dyDescent="0.2">
      <c r="A23" s="4">
        <v>20.5145363239643</v>
      </c>
      <c r="B23" s="4">
        <v>19.875256434866699</v>
      </c>
      <c r="C23" s="4">
        <v>1</v>
      </c>
      <c r="D23" s="4" t="s">
        <v>19</v>
      </c>
      <c r="E23" s="4" t="s">
        <v>15</v>
      </c>
      <c r="F23" s="4" t="s">
        <v>12</v>
      </c>
    </row>
    <row r="24" spans="1:6" x14ac:dyDescent="0.2">
      <c r="A24" s="4">
        <v>20.5145363239643</v>
      </c>
      <c r="B24" s="4">
        <v>21.2905144317725</v>
      </c>
      <c r="C24" s="4">
        <v>1</v>
      </c>
      <c r="D24" s="4" t="s">
        <v>19</v>
      </c>
      <c r="E24" s="4" t="s">
        <v>15</v>
      </c>
      <c r="F24" s="4" t="s">
        <v>13</v>
      </c>
    </row>
    <row r="25" spans="1:6" x14ac:dyDescent="0.2">
      <c r="A25" s="4">
        <v>20.5145363239643</v>
      </c>
      <c r="B25" s="4">
        <v>20.353573482297602</v>
      </c>
      <c r="C25" s="4">
        <v>1</v>
      </c>
      <c r="D25" s="4" t="s">
        <v>19</v>
      </c>
      <c r="E25" s="4" t="s">
        <v>15</v>
      </c>
      <c r="F25" s="4" t="s">
        <v>14</v>
      </c>
    </row>
    <row r="26" spans="1:6" x14ac:dyDescent="0.2">
      <c r="A26" s="4">
        <v>4.8864046085053703</v>
      </c>
      <c r="B26" s="4">
        <v>4.9977202164153196</v>
      </c>
      <c r="C26" s="4">
        <v>1</v>
      </c>
      <c r="D26" s="4" t="s">
        <v>20</v>
      </c>
      <c r="E26" s="4" t="s">
        <v>9</v>
      </c>
      <c r="F26" s="4" t="s">
        <v>10</v>
      </c>
    </row>
    <row r="27" spans="1:6" x14ac:dyDescent="0.2">
      <c r="A27" s="4">
        <v>4.8864046085053703</v>
      </c>
      <c r="B27" s="4">
        <v>4.5864380193941399</v>
      </c>
      <c r="C27" s="4">
        <v>1</v>
      </c>
      <c r="D27" s="4" t="s">
        <v>20</v>
      </c>
      <c r="E27" s="4" t="s">
        <v>9</v>
      </c>
      <c r="F27" s="4" t="s">
        <v>12</v>
      </c>
    </row>
    <row r="28" spans="1:6" x14ac:dyDescent="0.2">
      <c r="A28" s="4">
        <v>4.8864046085053703</v>
      </c>
      <c r="B28" s="4">
        <v>3.77018536699928</v>
      </c>
      <c r="C28" s="4">
        <v>1</v>
      </c>
      <c r="D28" s="4" t="s">
        <v>20</v>
      </c>
      <c r="E28" s="4" t="s">
        <v>9</v>
      </c>
      <c r="F28" s="4" t="s">
        <v>13</v>
      </c>
    </row>
    <row r="29" spans="1:6" x14ac:dyDescent="0.2">
      <c r="A29" s="4">
        <v>4.8864046085053703</v>
      </c>
      <c r="B29" s="4">
        <v>5.1245795572694002</v>
      </c>
      <c r="C29" s="4">
        <v>1</v>
      </c>
      <c r="D29" s="4" t="s">
        <v>20</v>
      </c>
      <c r="E29" s="4" t="s">
        <v>9</v>
      </c>
      <c r="F29" s="4" t="s">
        <v>14</v>
      </c>
    </row>
    <row r="30" spans="1:6" x14ac:dyDescent="0.2">
      <c r="A30" s="4">
        <v>7.0194299049569002</v>
      </c>
      <c r="B30" s="4">
        <v>7.2712842418651</v>
      </c>
      <c r="C30" s="4">
        <v>1</v>
      </c>
      <c r="D30" s="4" t="s">
        <v>20</v>
      </c>
      <c r="E30" s="4" t="s">
        <v>15</v>
      </c>
      <c r="F30" s="4" t="s">
        <v>10</v>
      </c>
    </row>
    <row r="31" spans="1:6" x14ac:dyDescent="0.2">
      <c r="A31" s="4">
        <v>7.0194299049569002</v>
      </c>
      <c r="B31" s="4">
        <v>6.45787899816699</v>
      </c>
      <c r="C31" s="4">
        <v>1</v>
      </c>
      <c r="D31" s="4" t="s">
        <v>20</v>
      </c>
      <c r="E31" s="4" t="s">
        <v>15</v>
      </c>
      <c r="F31" s="4" t="s">
        <v>12</v>
      </c>
    </row>
    <row r="32" spans="1:6" x14ac:dyDescent="0.2">
      <c r="A32" s="4">
        <v>7.0194299049569002</v>
      </c>
      <c r="B32" s="4">
        <v>6.20301777816106</v>
      </c>
      <c r="C32" s="4">
        <v>1</v>
      </c>
      <c r="D32" s="4" t="s">
        <v>20</v>
      </c>
      <c r="E32" s="4" t="s">
        <v>15</v>
      </c>
      <c r="F32" s="4" t="s">
        <v>13</v>
      </c>
    </row>
    <row r="33" spans="1:8" x14ac:dyDescent="0.2">
      <c r="A33" s="4">
        <v>7.0194299049569002</v>
      </c>
      <c r="B33" s="4">
        <v>7.5738451171393102</v>
      </c>
      <c r="C33" s="4">
        <v>1</v>
      </c>
      <c r="D33" s="4" t="s">
        <v>20</v>
      </c>
      <c r="E33" s="4" t="s">
        <v>15</v>
      </c>
      <c r="F33" s="4" t="s">
        <v>14</v>
      </c>
    </row>
    <row r="34" spans="1:8" s="16" customFormat="1" x14ac:dyDescent="0.2">
      <c r="A34" s="7">
        <v>0.74972947820807101</v>
      </c>
      <c r="B34" s="7">
        <v>0.82028082333450603</v>
      </c>
      <c r="C34" s="7">
        <v>2</v>
      </c>
      <c r="D34" s="7" t="s">
        <v>8</v>
      </c>
      <c r="E34" s="7" t="s">
        <v>9</v>
      </c>
      <c r="F34" s="7" t="s">
        <v>10</v>
      </c>
      <c r="G34" s="20">
        <f>B34-A34</f>
        <v>7.0551345126435017E-2</v>
      </c>
      <c r="H34" s="21" t="s">
        <v>28</v>
      </c>
    </row>
    <row r="35" spans="1:8" s="16" customFormat="1" x14ac:dyDescent="0.2">
      <c r="A35" s="7">
        <v>0.74972947820807101</v>
      </c>
      <c r="B35" s="7">
        <v>0.82821250030553895</v>
      </c>
      <c r="C35" s="7">
        <v>2</v>
      </c>
      <c r="D35" s="7" t="s">
        <v>8</v>
      </c>
      <c r="E35" s="7" t="s">
        <v>9</v>
      </c>
      <c r="F35" s="7" t="s">
        <v>12</v>
      </c>
      <c r="G35" s="20">
        <f t="shared" ref="G35:G97" si="0">B35-A35</f>
        <v>7.8483022097467936E-2</v>
      </c>
      <c r="H35" s="21" t="s">
        <v>28</v>
      </c>
    </row>
    <row r="36" spans="1:8" s="16" customFormat="1" x14ac:dyDescent="0.2">
      <c r="A36" s="7">
        <v>0.74972947820807101</v>
      </c>
      <c r="B36" s="7">
        <v>0.83196497890023402</v>
      </c>
      <c r="C36" s="7">
        <v>2</v>
      </c>
      <c r="D36" s="7" t="s">
        <v>8</v>
      </c>
      <c r="E36" s="7" t="s">
        <v>9</v>
      </c>
      <c r="F36" s="7" t="s">
        <v>13</v>
      </c>
      <c r="G36" s="20">
        <f t="shared" si="0"/>
        <v>8.2235500692163011E-2</v>
      </c>
      <c r="H36" s="21" t="s">
        <v>28</v>
      </c>
    </row>
    <row r="37" spans="1:8" s="16" customFormat="1" x14ac:dyDescent="0.2">
      <c r="A37" s="7">
        <v>0.74972947820807101</v>
      </c>
      <c r="B37" s="7">
        <v>0.83337346673552104</v>
      </c>
      <c r="C37" s="7">
        <v>2</v>
      </c>
      <c r="D37" s="7" t="s">
        <v>8</v>
      </c>
      <c r="E37" s="7" t="s">
        <v>9</v>
      </c>
      <c r="F37" s="7" t="s">
        <v>14</v>
      </c>
      <c r="G37" s="20">
        <f t="shared" si="0"/>
        <v>8.3643988527450031E-2</v>
      </c>
      <c r="H37" s="21" t="s">
        <v>28</v>
      </c>
    </row>
    <row r="38" spans="1:8" s="16" customFormat="1" x14ac:dyDescent="0.2">
      <c r="A38" s="7">
        <v>0.78719789620398795</v>
      </c>
      <c r="B38" s="7">
        <v>0.75426547115873199</v>
      </c>
      <c r="C38" s="7">
        <v>2</v>
      </c>
      <c r="D38" s="7" t="s">
        <v>8</v>
      </c>
      <c r="E38" s="7" t="s">
        <v>15</v>
      </c>
      <c r="F38" s="7" t="s">
        <v>10</v>
      </c>
      <c r="G38" s="20">
        <f t="shared" si="0"/>
        <v>-3.2932425045255953E-2</v>
      </c>
      <c r="H38" s="21" t="s">
        <v>28</v>
      </c>
    </row>
    <row r="39" spans="1:8" s="16" customFormat="1" x14ac:dyDescent="0.2">
      <c r="A39" s="7">
        <v>0.78719789620398795</v>
      </c>
      <c r="B39" s="7">
        <v>0.79119349261181005</v>
      </c>
      <c r="C39" s="7">
        <v>2</v>
      </c>
      <c r="D39" s="7" t="s">
        <v>8</v>
      </c>
      <c r="E39" s="7" t="s">
        <v>15</v>
      </c>
      <c r="F39" s="7" t="s">
        <v>12</v>
      </c>
      <c r="G39" s="18">
        <f t="shared" si="0"/>
        <v>3.9955964078220996E-3</v>
      </c>
    </row>
    <row r="40" spans="1:8" s="16" customFormat="1" x14ac:dyDescent="0.2">
      <c r="A40" s="7">
        <v>0.78719789620398795</v>
      </c>
      <c r="B40" s="7">
        <v>0.80050736672143596</v>
      </c>
      <c r="C40" s="7">
        <v>2</v>
      </c>
      <c r="D40" s="7" t="s">
        <v>8</v>
      </c>
      <c r="E40" s="7" t="s">
        <v>15</v>
      </c>
      <c r="F40" s="7" t="s">
        <v>13</v>
      </c>
      <c r="G40" s="17">
        <f t="shared" si="0"/>
        <v>1.3309470517448019E-2</v>
      </c>
    </row>
    <row r="41" spans="1:8" s="16" customFormat="1" x14ac:dyDescent="0.2">
      <c r="A41" s="7">
        <v>0.78719789620398795</v>
      </c>
      <c r="B41" s="7">
        <v>0.77060139646292403</v>
      </c>
      <c r="C41" s="7">
        <v>2</v>
      </c>
      <c r="D41" s="7" t="s">
        <v>8</v>
      </c>
      <c r="E41" s="7" t="s">
        <v>15</v>
      </c>
      <c r="F41" s="7" t="s">
        <v>14</v>
      </c>
      <c r="G41" s="17">
        <f t="shared" si="0"/>
        <v>-1.6596499741063919E-2</v>
      </c>
    </row>
    <row r="42" spans="1:8" s="16" customFormat="1" x14ac:dyDescent="0.2">
      <c r="A42" s="7">
        <v>-2.9246855516227101E-2</v>
      </c>
      <c r="B42" s="7">
        <v>-5.1490033306568596E-3</v>
      </c>
      <c r="C42" s="7">
        <v>2</v>
      </c>
      <c r="D42" s="7" t="s">
        <v>16</v>
      </c>
      <c r="E42" s="7" t="s">
        <v>9</v>
      </c>
      <c r="F42" s="7" t="s">
        <v>10</v>
      </c>
      <c r="G42" s="19">
        <f t="shared" si="0"/>
        <v>2.4097852185570243E-2</v>
      </c>
      <c r="H42" s="21" t="s">
        <v>28</v>
      </c>
    </row>
    <row r="43" spans="1:8" s="16" customFormat="1" ht="17" thickBot="1" x14ac:dyDescent="0.25">
      <c r="A43" s="7">
        <v>-2.9246855516227101E-2</v>
      </c>
      <c r="B43" s="7">
        <v>-8.3439321777850801E-4</v>
      </c>
      <c r="C43" s="7">
        <v>2</v>
      </c>
      <c r="D43" s="7" t="s">
        <v>16</v>
      </c>
      <c r="E43" s="7" t="s">
        <v>9</v>
      </c>
      <c r="F43" s="7" t="s">
        <v>12</v>
      </c>
      <c r="G43" s="19">
        <f t="shared" si="0"/>
        <v>2.8412462298448592E-2</v>
      </c>
      <c r="H43" s="21" t="s">
        <v>28</v>
      </c>
    </row>
    <row r="44" spans="1:8" s="22" customFormat="1" ht="17" thickBot="1" x14ac:dyDescent="0.25">
      <c r="A44" s="33">
        <v>-2.9246855516227101E-2</v>
      </c>
      <c r="B44" s="34">
        <v>1.42624489791756E-2</v>
      </c>
      <c r="C44" s="34">
        <v>2</v>
      </c>
      <c r="D44" s="34" t="s">
        <v>16</v>
      </c>
      <c r="E44" s="34" t="s">
        <v>9</v>
      </c>
      <c r="F44" s="34" t="s">
        <v>13</v>
      </c>
      <c r="G44" s="35">
        <f t="shared" si="0"/>
        <v>4.3509304495402704E-2</v>
      </c>
      <c r="H44" s="36" t="s">
        <v>29</v>
      </c>
    </row>
    <row r="45" spans="1:8" s="16" customFormat="1" x14ac:dyDescent="0.2">
      <c r="A45" s="7">
        <v>-2.9246855516227101E-2</v>
      </c>
      <c r="B45" s="7">
        <v>1.34411445442489E-2</v>
      </c>
      <c r="C45" s="7">
        <v>2</v>
      </c>
      <c r="D45" s="7" t="s">
        <v>16</v>
      </c>
      <c r="E45" s="7" t="s">
        <v>9</v>
      </c>
      <c r="F45" s="7" t="s">
        <v>14</v>
      </c>
      <c r="G45" s="19">
        <f t="shared" si="0"/>
        <v>4.2688000060476003E-2</v>
      </c>
      <c r="H45" s="21" t="s">
        <v>28</v>
      </c>
    </row>
    <row r="46" spans="1:8" s="16" customFormat="1" x14ac:dyDescent="0.2">
      <c r="A46" s="7">
        <v>-6.1212258939929903E-2</v>
      </c>
      <c r="B46" s="7">
        <v>-6.4875881732062102E-2</v>
      </c>
      <c r="C46" s="7">
        <v>2</v>
      </c>
      <c r="D46" s="7" t="s">
        <v>16</v>
      </c>
      <c r="E46" s="7" t="s">
        <v>15</v>
      </c>
      <c r="F46" s="7" t="s">
        <v>10</v>
      </c>
      <c r="G46" s="18">
        <f t="shared" si="0"/>
        <v>-3.6636227921321984E-3</v>
      </c>
    </row>
    <row r="47" spans="1:8" s="16" customFormat="1" x14ac:dyDescent="0.2">
      <c r="A47" s="7">
        <v>-6.1212258939929903E-2</v>
      </c>
      <c r="B47" s="7">
        <v>-6.2768407728994599E-2</v>
      </c>
      <c r="C47" s="7">
        <v>2</v>
      </c>
      <c r="D47" s="7" t="s">
        <v>16</v>
      </c>
      <c r="E47" s="7" t="s">
        <v>15</v>
      </c>
      <c r="F47" s="7" t="s">
        <v>12</v>
      </c>
      <c r="G47" s="18">
        <f t="shared" si="0"/>
        <v>-1.5561487890646958E-3</v>
      </c>
    </row>
    <row r="48" spans="1:8" s="16" customFormat="1" x14ac:dyDescent="0.2">
      <c r="A48" s="7">
        <v>-6.1212258939929903E-2</v>
      </c>
      <c r="B48" s="7">
        <v>-4.8817097705098497E-2</v>
      </c>
      <c r="C48" s="7">
        <v>2</v>
      </c>
      <c r="D48" s="7" t="s">
        <v>16</v>
      </c>
      <c r="E48" s="7" t="s">
        <v>15</v>
      </c>
      <c r="F48" s="7" t="s">
        <v>13</v>
      </c>
      <c r="G48" s="17">
        <f t="shared" si="0"/>
        <v>1.2395161234831406E-2</v>
      </c>
    </row>
    <row r="49" spans="1:8" s="16" customFormat="1" ht="17" thickBot="1" x14ac:dyDescent="0.25">
      <c r="A49" s="7">
        <v>-6.1212258939929903E-2</v>
      </c>
      <c r="B49" s="7">
        <v>-6.1159880193561902E-2</v>
      </c>
      <c r="C49" s="7">
        <v>2</v>
      </c>
      <c r="D49" s="7" t="s">
        <v>16</v>
      </c>
      <c r="E49" s="7" t="s">
        <v>15</v>
      </c>
      <c r="F49" s="7" t="s">
        <v>14</v>
      </c>
      <c r="G49" s="18">
        <f t="shared" si="0"/>
        <v>5.2378746368000884E-5</v>
      </c>
    </row>
    <row r="50" spans="1:8" s="16" customFormat="1" x14ac:dyDescent="0.2">
      <c r="A50" s="26">
        <v>0.81288898364643503</v>
      </c>
      <c r="B50" s="27">
        <v>0.80663849827047895</v>
      </c>
      <c r="C50" s="27">
        <v>2</v>
      </c>
      <c r="D50" s="27" t="s">
        <v>19</v>
      </c>
      <c r="E50" s="27" t="s">
        <v>9</v>
      </c>
      <c r="F50" s="27" t="s">
        <v>10</v>
      </c>
      <c r="G50" s="23">
        <f t="shared" si="0"/>
        <v>-6.2504853759560719E-3</v>
      </c>
      <c r="H50" s="37" t="s">
        <v>29</v>
      </c>
    </row>
    <row r="51" spans="1:8" s="16" customFormat="1" x14ac:dyDescent="0.2">
      <c r="A51" s="28">
        <v>0.81288898364643503</v>
      </c>
      <c r="B51" s="29">
        <v>0.81228217136007896</v>
      </c>
      <c r="C51" s="29">
        <v>2</v>
      </c>
      <c r="D51" s="29" t="s">
        <v>19</v>
      </c>
      <c r="E51" s="29" t="s">
        <v>9</v>
      </c>
      <c r="F51" s="29" t="s">
        <v>12</v>
      </c>
      <c r="G51" s="24">
        <f t="shared" si="0"/>
        <v>-6.068122863560621E-4</v>
      </c>
      <c r="H51" s="38" t="s">
        <v>29</v>
      </c>
    </row>
    <row r="52" spans="1:8" s="16" customFormat="1" x14ac:dyDescent="0.2">
      <c r="A52" s="28">
        <v>0.81288898364643503</v>
      </c>
      <c r="B52" s="29">
        <v>0.80827744059677298</v>
      </c>
      <c r="C52" s="29">
        <v>2</v>
      </c>
      <c r="D52" s="29" t="s">
        <v>19</v>
      </c>
      <c r="E52" s="29" t="s">
        <v>9</v>
      </c>
      <c r="F52" s="29" t="s">
        <v>13</v>
      </c>
      <c r="G52" s="24">
        <f t="shared" si="0"/>
        <v>-4.611543049662048E-3</v>
      </c>
      <c r="H52" s="38" t="s">
        <v>29</v>
      </c>
    </row>
    <row r="53" spans="1:8" s="16" customFormat="1" ht="17" thickBot="1" x14ac:dyDescent="0.25">
      <c r="A53" s="30">
        <v>0.81288898364643503</v>
      </c>
      <c r="B53" s="31">
        <v>0.81044599947235396</v>
      </c>
      <c r="C53" s="31">
        <v>2</v>
      </c>
      <c r="D53" s="31" t="s">
        <v>19</v>
      </c>
      <c r="E53" s="31" t="s">
        <v>9</v>
      </c>
      <c r="F53" s="31" t="s">
        <v>14</v>
      </c>
      <c r="G53" s="25">
        <f t="shared" si="0"/>
        <v>-2.4429841740810643E-3</v>
      </c>
      <c r="H53" s="39" t="s">
        <v>29</v>
      </c>
    </row>
    <row r="54" spans="1:8" s="16" customFormat="1" x14ac:dyDescent="0.2">
      <c r="A54" s="7">
        <v>0.83766689544348905</v>
      </c>
      <c r="B54" s="7">
        <v>0.83497939731086601</v>
      </c>
      <c r="C54" s="7">
        <v>2</v>
      </c>
      <c r="D54" s="7" t="s">
        <v>19</v>
      </c>
      <c r="E54" s="7" t="s">
        <v>15</v>
      </c>
      <c r="F54" s="7" t="s">
        <v>10</v>
      </c>
      <c r="G54" s="18">
        <f t="shared" si="0"/>
        <v>-2.6874981326230341E-3</v>
      </c>
    </row>
    <row r="55" spans="1:8" s="16" customFormat="1" x14ac:dyDescent="0.2">
      <c r="A55" s="7">
        <v>0.83766689544348905</v>
      </c>
      <c r="B55" s="7">
        <v>0.83852435548104898</v>
      </c>
      <c r="C55" s="7">
        <v>2</v>
      </c>
      <c r="D55" s="7" t="s">
        <v>19</v>
      </c>
      <c r="E55" s="7" t="s">
        <v>15</v>
      </c>
      <c r="F55" s="7" t="s">
        <v>12</v>
      </c>
      <c r="G55" s="18">
        <f t="shared" si="0"/>
        <v>8.5746003755993172E-4</v>
      </c>
    </row>
    <row r="56" spans="1:8" s="16" customFormat="1" x14ac:dyDescent="0.2">
      <c r="A56" s="7">
        <v>0.83766689544348905</v>
      </c>
      <c r="B56" s="7">
        <v>0.84010762760955604</v>
      </c>
      <c r="C56" s="7">
        <v>2</v>
      </c>
      <c r="D56" s="7" t="s">
        <v>19</v>
      </c>
      <c r="E56" s="7" t="s">
        <v>15</v>
      </c>
      <c r="F56" s="7" t="s">
        <v>13</v>
      </c>
      <c r="G56" s="18">
        <f t="shared" si="0"/>
        <v>2.4407321660669945E-3</v>
      </c>
    </row>
    <row r="57" spans="1:8" s="16" customFormat="1" ht="17" thickBot="1" x14ac:dyDescent="0.25">
      <c r="A57" s="7">
        <v>0.83766689544348905</v>
      </c>
      <c r="B57" s="7">
        <v>0.83891930186837604</v>
      </c>
      <c r="C57" s="7">
        <v>2</v>
      </c>
      <c r="D57" s="7" t="s">
        <v>19</v>
      </c>
      <c r="E57" s="7" t="s">
        <v>15</v>
      </c>
      <c r="F57" s="7" t="s">
        <v>14</v>
      </c>
      <c r="G57" s="18">
        <f t="shared" si="0"/>
        <v>1.2524064248869982E-3</v>
      </c>
    </row>
    <row r="58" spans="1:8" s="16" customFormat="1" ht="17" thickBot="1" x14ac:dyDescent="0.25">
      <c r="A58" s="33">
        <v>1.9171515953892799</v>
      </c>
      <c r="B58" s="34">
        <v>1.8760803231050001</v>
      </c>
      <c r="C58" s="34">
        <v>2</v>
      </c>
      <c r="D58" s="34" t="s">
        <v>20</v>
      </c>
      <c r="E58" s="34" t="s">
        <v>9</v>
      </c>
      <c r="F58" s="34" t="s">
        <v>10</v>
      </c>
      <c r="G58" s="40"/>
      <c r="H58" s="38" t="s">
        <v>29</v>
      </c>
    </row>
    <row r="59" spans="1:8" s="16" customFormat="1" x14ac:dyDescent="0.2">
      <c r="A59" s="32">
        <v>1.9171515953892799</v>
      </c>
      <c r="B59" s="32">
        <v>1.9897742491953201</v>
      </c>
      <c r="C59" s="32">
        <v>2</v>
      </c>
      <c r="D59" s="32" t="s">
        <v>20</v>
      </c>
      <c r="E59" s="32" t="s">
        <v>9</v>
      </c>
      <c r="F59" s="32" t="s">
        <v>12</v>
      </c>
      <c r="G59" s="17"/>
    </row>
    <row r="60" spans="1:8" s="16" customFormat="1" x14ac:dyDescent="0.2">
      <c r="A60" s="32">
        <v>1.9171515953892799</v>
      </c>
      <c r="B60" s="32">
        <v>2.0155384117578499</v>
      </c>
      <c r="C60" s="32">
        <v>2</v>
      </c>
      <c r="D60" s="32" t="s">
        <v>20</v>
      </c>
      <c r="E60" s="32" t="s">
        <v>9</v>
      </c>
      <c r="F60" s="32" t="s">
        <v>13</v>
      </c>
      <c r="G60" s="17"/>
    </row>
    <row r="61" spans="1:8" s="16" customFormat="1" x14ac:dyDescent="0.2">
      <c r="A61" s="32">
        <v>1.9171515953892799</v>
      </c>
      <c r="B61" s="32">
        <v>1.8907084100834599</v>
      </c>
      <c r="C61" s="32">
        <v>2</v>
      </c>
      <c r="D61" s="32" t="s">
        <v>20</v>
      </c>
      <c r="E61" s="32" t="s">
        <v>9</v>
      </c>
      <c r="F61" s="32" t="s">
        <v>14</v>
      </c>
      <c r="G61" s="17"/>
    </row>
    <row r="62" spans="1:8" s="16" customFormat="1" x14ac:dyDescent="0.2">
      <c r="A62" s="7">
        <v>0.75222352261468794</v>
      </c>
      <c r="B62" s="7">
        <v>0.81492523789287497</v>
      </c>
      <c r="C62" s="7">
        <v>2</v>
      </c>
      <c r="D62" s="7" t="s">
        <v>20</v>
      </c>
      <c r="E62" s="7" t="s">
        <v>15</v>
      </c>
      <c r="F62" s="7" t="s">
        <v>10</v>
      </c>
      <c r="G62" s="19">
        <f t="shared" si="0"/>
        <v>6.270171527818702E-2</v>
      </c>
      <c r="H62" s="21" t="s">
        <v>28</v>
      </c>
    </row>
    <row r="63" spans="1:8" s="16" customFormat="1" x14ac:dyDescent="0.2">
      <c r="A63" s="7">
        <v>0.75222352261468794</v>
      </c>
      <c r="B63" s="7">
        <v>0.82759667905481304</v>
      </c>
      <c r="C63" s="7">
        <v>2</v>
      </c>
      <c r="D63" s="7" t="s">
        <v>20</v>
      </c>
      <c r="E63" s="7" t="s">
        <v>15</v>
      </c>
      <c r="F63" s="7" t="s">
        <v>12</v>
      </c>
      <c r="G63" s="19">
        <f t="shared" si="0"/>
        <v>7.53731564401251E-2</v>
      </c>
      <c r="H63" s="21" t="s">
        <v>28</v>
      </c>
    </row>
    <row r="64" spans="1:8" s="16" customFormat="1" x14ac:dyDescent="0.2">
      <c r="A64" s="7">
        <v>0.75222352261468794</v>
      </c>
      <c r="B64" s="7">
        <v>0.82649889026997803</v>
      </c>
      <c r="C64" s="7">
        <v>2</v>
      </c>
      <c r="D64" s="7" t="s">
        <v>20</v>
      </c>
      <c r="E64" s="7" t="s">
        <v>15</v>
      </c>
      <c r="F64" s="7" t="s">
        <v>13</v>
      </c>
      <c r="G64" s="19">
        <f t="shared" si="0"/>
        <v>7.4275367655290081E-2</v>
      </c>
      <c r="H64" s="21" t="s">
        <v>28</v>
      </c>
    </row>
    <row r="65" spans="1:8" s="16" customFormat="1" x14ac:dyDescent="0.2">
      <c r="A65" s="7">
        <v>0.75222352261468794</v>
      </c>
      <c r="B65" s="7">
        <v>0.81931888719684798</v>
      </c>
      <c r="C65" s="7">
        <v>2</v>
      </c>
      <c r="D65" s="7" t="s">
        <v>20</v>
      </c>
      <c r="E65" s="7" t="s">
        <v>15</v>
      </c>
      <c r="F65" s="7" t="s">
        <v>14</v>
      </c>
      <c r="G65" s="19">
        <f t="shared" si="0"/>
        <v>6.7095364582160033E-2</v>
      </c>
      <c r="H65" s="21" t="s">
        <v>28</v>
      </c>
    </row>
    <row r="66" spans="1:8" x14ac:dyDescent="0.2">
      <c r="A66" s="4">
        <v>-2.3897138288358701</v>
      </c>
      <c r="B66" s="4">
        <v>-2.5290494563350698</v>
      </c>
      <c r="C66" s="4">
        <v>3</v>
      </c>
      <c r="D66" s="4" t="s">
        <v>8</v>
      </c>
      <c r="E66" s="4" t="s">
        <v>9</v>
      </c>
      <c r="F66" s="4" t="s">
        <v>10</v>
      </c>
      <c r="G66" s="16"/>
    </row>
    <row r="67" spans="1:8" x14ac:dyDescent="0.2">
      <c r="A67" s="4">
        <v>-2.3897138288358701</v>
      </c>
      <c r="B67" s="4">
        <v>-2.43616306702503</v>
      </c>
      <c r="C67" s="4">
        <v>3</v>
      </c>
      <c r="D67" s="4" t="s">
        <v>8</v>
      </c>
      <c r="E67" s="4" t="s">
        <v>9</v>
      </c>
      <c r="F67" s="4" t="s">
        <v>12</v>
      </c>
      <c r="G67" s="16"/>
    </row>
    <row r="68" spans="1:8" x14ac:dyDescent="0.2">
      <c r="A68" s="4">
        <v>-2.3897138288358701</v>
      </c>
      <c r="B68" s="4">
        <v>-2.3423014559177302</v>
      </c>
      <c r="C68" s="4">
        <v>3</v>
      </c>
      <c r="D68" s="4" t="s">
        <v>8</v>
      </c>
      <c r="E68" s="4" t="s">
        <v>9</v>
      </c>
      <c r="F68" s="4" t="s">
        <v>13</v>
      </c>
      <c r="G68" s="16"/>
    </row>
    <row r="69" spans="1:8" x14ac:dyDescent="0.2">
      <c r="A69" s="4">
        <v>-2.3897138288358701</v>
      </c>
      <c r="B69" s="4">
        <v>-2.3109499729450498</v>
      </c>
      <c r="C69" s="4">
        <v>3</v>
      </c>
      <c r="D69" s="4" t="s">
        <v>8</v>
      </c>
      <c r="E69" s="4" t="s">
        <v>9</v>
      </c>
      <c r="F69" s="4" t="s">
        <v>14</v>
      </c>
      <c r="G69" s="16"/>
    </row>
    <row r="70" spans="1:8" x14ac:dyDescent="0.2">
      <c r="A70" s="4">
        <v>0.99151591469353395</v>
      </c>
      <c r="B70" s="4">
        <v>0.86479461517131395</v>
      </c>
      <c r="C70" s="4">
        <v>3</v>
      </c>
      <c r="D70" s="4" t="s">
        <v>8</v>
      </c>
      <c r="E70" s="4" t="s">
        <v>15</v>
      </c>
      <c r="F70" s="4" t="s">
        <v>10</v>
      </c>
      <c r="G70" s="16"/>
    </row>
    <row r="71" spans="1:8" x14ac:dyDescent="0.2">
      <c r="A71" s="4">
        <v>0.99151591469353395</v>
      </c>
      <c r="B71" s="4">
        <v>1.1360954791401801</v>
      </c>
      <c r="C71" s="4">
        <v>3</v>
      </c>
      <c r="D71" s="4" t="s">
        <v>8</v>
      </c>
      <c r="E71" s="4" t="s">
        <v>15</v>
      </c>
      <c r="F71" s="4" t="s">
        <v>12</v>
      </c>
      <c r="G71" s="16"/>
    </row>
    <row r="72" spans="1:8" x14ac:dyDescent="0.2">
      <c r="A72" s="4">
        <v>0.99151591469353395</v>
      </c>
      <c r="B72" s="4">
        <v>1.24238287220123</v>
      </c>
      <c r="C72" s="4">
        <v>3</v>
      </c>
      <c r="D72" s="4" t="s">
        <v>8</v>
      </c>
      <c r="E72" s="4" t="s">
        <v>15</v>
      </c>
      <c r="F72" s="4" t="s">
        <v>13</v>
      </c>
      <c r="G72" s="16"/>
    </row>
    <row r="73" spans="1:8" x14ac:dyDescent="0.2">
      <c r="A73" s="4">
        <v>0.99151591469353395</v>
      </c>
      <c r="B73" s="4">
        <v>1.20654074358993</v>
      </c>
      <c r="C73" s="4">
        <v>3</v>
      </c>
      <c r="D73" s="4" t="s">
        <v>8</v>
      </c>
      <c r="E73" s="4" t="s">
        <v>15</v>
      </c>
      <c r="F73" s="4" t="s">
        <v>14</v>
      </c>
      <c r="G73" s="16"/>
    </row>
    <row r="74" spans="1:8" x14ac:dyDescent="0.2">
      <c r="A74" s="4">
        <v>-2.47562500973359E-2</v>
      </c>
      <c r="B74" s="4">
        <v>-2.4235786578113701E-2</v>
      </c>
      <c r="C74" s="4">
        <v>3</v>
      </c>
      <c r="D74" s="4" t="s">
        <v>16</v>
      </c>
      <c r="E74" s="4" t="s">
        <v>9</v>
      </c>
      <c r="F74" s="4" t="s">
        <v>10</v>
      </c>
      <c r="G74" s="16"/>
    </row>
    <row r="75" spans="1:8" x14ac:dyDescent="0.2">
      <c r="A75" s="4">
        <v>-2.47562500973359E-2</v>
      </c>
      <c r="B75" s="4">
        <v>-2.41478218401989E-2</v>
      </c>
      <c r="C75" s="4">
        <v>3</v>
      </c>
      <c r="D75" s="4" t="s">
        <v>16</v>
      </c>
      <c r="E75" s="4" t="s">
        <v>9</v>
      </c>
      <c r="F75" s="4" t="s">
        <v>12</v>
      </c>
      <c r="G75" s="16"/>
    </row>
    <row r="76" spans="1:8" x14ac:dyDescent="0.2">
      <c r="A76" s="4">
        <v>-2.47562500973359E-2</v>
      </c>
      <c r="B76" s="4">
        <v>-2.8370494221755499E-2</v>
      </c>
      <c r="C76" s="4">
        <v>3</v>
      </c>
      <c r="D76" s="4" t="s">
        <v>16</v>
      </c>
      <c r="E76" s="4" t="s">
        <v>9</v>
      </c>
      <c r="F76" s="4" t="s">
        <v>13</v>
      </c>
      <c r="G76" s="16"/>
    </row>
    <row r="77" spans="1:8" x14ac:dyDescent="0.2">
      <c r="A77" s="4">
        <v>-2.47562500973359E-2</v>
      </c>
      <c r="B77" s="4">
        <v>-2.7926632709717798E-2</v>
      </c>
      <c r="C77" s="4">
        <v>3</v>
      </c>
      <c r="D77" s="4" t="s">
        <v>16</v>
      </c>
      <c r="E77" s="4" t="s">
        <v>9</v>
      </c>
      <c r="F77" s="4" t="s">
        <v>14</v>
      </c>
      <c r="G77" s="16"/>
    </row>
    <row r="78" spans="1:8" x14ac:dyDescent="0.2">
      <c r="A78" s="4">
        <v>-13.383118101084399</v>
      </c>
      <c r="B78" s="4">
        <v>-12.0057558068691</v>
      </c>
      <c r="C78" s="4">
        <v>3</v>
      </c>
      <c r="D78" s="4" t="s">
        <v>16</v>
      </c>
      <c r="E78" s="4" t="s">
        <v>15</v>
      </c>
      <c r="F78" s="4" t="s">
        <v>10</v>
      </c>
      <c r="G78" s="16"/>
    </row>
    <row r="79" spans="1:8" x14ac:dyDescent="0.2">
      <c r="A79" s="4">
        <v>-13.383118101084399</v>
      </c>
      <c r="B79" s="4">
        <v>-11.049419981706899</v>
      </c>
      <c r="C79" s="4">
        <v>3</v>
      </c>
      <c r="D79" s="4" t="s">
        <v>16</v>
      </c>
      <c r="E79" s="4" t="s">
        <v>15</v>
      </c>
      <c r="F79" s="4" t="s">
        <v>12</v>
      </c>
      <c r="G79" s="16"/>
    </row>
    <row r="80" spans="1:8" x14ac:dyDescent="0.2">
      <c r="A80" s="4">
        <v>-13.383118101084399</v>
      </c>
      <c r="B80" s="4">
        <v>-8.3661361883653491</v>
      </c>
      <c r="C80" s="4">
        <v>3</v>
      </c>
      <c r="D80" s="4" t="s">
        <v>16</v>
      </c>
      <c r="E80" s="4" t="s">
        <v>15</v>
      </c>
      <c r="F80" s="4" t="s">
        <v>13</v>
      </c>
      <c r="G80" s="16"/>
    </row>
    <row r="81" spans="1:7" x14ac:dyDescent="0.2">
      <c r="A81" s="4">
        <v>-13.383118101084399</v>
      </c>
      <c r="B81" s="4">
        <v>-12.496478666624499</v>
      </c>
      <c r="C81" s="4">
        <v>3</v>
      </c>
      <c r="D81" s="4" t="s">
        <v>16</v>
      </c>
      <c r="E81" s="4" t="s">
        <v>15</v>
      </c>
      <c r="F81" s="4" t="s">
        <v>14</v>
      </c>
      <c r="G81" s="16"/>
    </row>
    <row r="82" spans="1:7" x14ac:dyDescent="0.2">
      <c r="A82" s="4">
        <v>-5.16184634999306</v>
      </c>
      <c r="B82" s="4">
        <v>-5.1734913884066396</v>
      </c>
      <c r="C82" s="4">
        <v>3</v>
      </c>
      <c r="D82" s="4" t="s">
        <v>19</v>
      </c>
      <c r="E82" s="4" t="s">
        <v>9</v>
      </c>
      <c r="F82" s="4" t="s">
        <v>10</v>
      </c>
      <c r="G82" s="16"/>
    </row>
    <row r="83" spans="1:7" x14ac:dyDescent="0.2">
      <c r="A83" s="4">
        <v>-5.16184634999306</v>
      </c>
      <c r="B83" s="4">
        <v>-5.1448345115546497</v>
      </c>
      <c r="C83" s="4">
        <v>3</v>
      </c>
      <c r="D83" s="4" t="s">
        <v>19</v>
      </c>
      <c r="E83" s="4" t="s">
        <v>9</v>
      </c>
      <c r="F83" s="4" t="s">
        <v>12</v>
      </c>
      <c r="G83" s="16"/>
    </row>
    <row r="84" spans="1:7" x14ac:dyDescent="0.2">
      <c r="A84" s="4">
        <v>-5.16184634999306</v>
      </c>
      <c r="B84" s="4">
        <v>-5.16747833451634</v>
      </c>
      <c r="C84" s="4">
        <v>3</v>
      </c>
      <c r="D84" s="4" t="s">
        <v>19</v>
      </c>
      <c r="E84" s="4" t="s">
        <v>9</v>
      </c>
      <c r="F84" s="4" t="s">
        <v>13</v>
      </c>
      <c r="G84" s="16"/>
    </row>
    <row r="85" spans="1:7" x14ac:dyDescent="0.2">
      <c r="A85" s="4">
        <v>-5.16184634999306</v>
      </c>
      <c r="B85" s="4">
        <v>-5.1444703707717201</v>
      </c>
      <c r="C85" s="4">
        <v>3</v>
      </c>
      <c r="D85" s="4" t="s">
        <v>19</v>
      </c>
      <c r="E85" s="4" t="s">
        <v>9</v>
      </c>
      <c r="F85" s="4" t="s">
        <v>14</v>
      </c>
      <c r="G85" s="16"/>
    </row>
    <row r="86" spans="1:7" x14ac:dyDescent="0.2">
      <c r="A86" s="4">
        <v>-6.5059895721158201</v>
      </c>
      <c r="B86" s="4">
        <v>-6.3903626811792904</v>
      </c>
      <c r="C86" s="4">
        <v>3</v>
      </c>
      <c r="D86" s="4" t="s">
        <v>19</v>
      </c>
      <c r="E86" s="4" t="s">
        <v>15</v>
      </c>
      <c r="F86" s="4" t="s">
        <v>10</v>
      </c>
      <c r="G86" s="16"/>
    </row>
    <row r="87" spans="1:7" x14ac:dyDescent="0.2">
      <c r="A87" s="4">
        <v>-6.5059895721158201</v>
      </c>
      <c r="B87" s="4">
        <v>-6.3854938883638299</v>
      </c>
      <c r="C87" s="4">
        <v>3</v>
      </c>
      <c r="D87" s="4" t="s">
        <v>19</v>
      </c>
      <c r="E87" s="4" t="s">
        <v>15</v>
      </c>
      <c r="F87" s="4" t="s">
        <v>12</v>
      </c>
      <c r="G87" s="16"/>
    </row>
    <row r="88" spans="1:7" x14ac:dyDescent="0.2">
      <c r="A88" s="4">
        <v>-6.5059895721158201</v>
      </c>
      <c r="B88" s="4">
        <v>-6.5351428976543797</v>
      </c>
      <c r="C88" s="4">
        <v>3</v>
      </c>
      <c r="D88" s="4" t="s">
        <v>19</v>
      </c>
      <c r="E88" s="4" t="s">
        <v>15</v>
      </c>
      <c r="F88" s="4" t="s">
        <v>13</v>
      </c>
      <c r="G88" s="16"/>
    </row>
    <row r="89" spans="1:7" x14ac:dyDescent="0.2">
      <c r="A89" s="4">
        <v>-6.5059895721158201</v>
      </c>
      <c r="B89" s="4">
        <v>-6.39486160871322</v>
      </c>
      <c r="C89" s="4">
        <v>3</v>
      </c>
      <c r="D89" s="4" t="s">
        <v>19</v>
      </c>
      <c r="E89" s="4" t="s">
        <v>15</v>
      </c>
      <c r="F89" s="4" t="s">
        <v>14</v>
      </c>
      <c r="G89" s="16"/>
    </row>
    <row r="90" spans="1:7" x14ac:dyDescent="0.2">
      <c r="A90" s="4">
        <v>-1.50716192450705</v>
      </c>
      <c r="B90" s="4">
        <v>-1.5899871595247299</v>
      </c>
      <c r="C90" s="4">
        <v>3</v>
      </c>
      <c r="D90" s="4" t="s">
        <v>20</v>
      </c>
      <c r="E90" s="4" t="s">
        <v>9</v>
      </c>
      <c r="F90" s="4" t="s">
        <v>10</v>
      </c>
      <c r="G90" s="16"/>
    </row>
    <row r="91" spans="1:7" x14ac:dyDescent="0.2">
      <c r="A91" s="4">
        <v>-1.50716192450705</v>
      </c>
      <c r="B91" s="4">
        <v>-1.4296296689752299</v>
      </c>
      <c r="C91" s="4">
        <v>3</v>
      </c>
      <c r="D91" s="4" t="s">
        <v>20</v>
      </c>
      <c r="E91" s="4" t="s">
        <v>9</v>
      </c>
      <c r="F91" s="4" t="s">
        <v>12</v>
      </c>
      <c r="G91" s="16"/>
    </row>
    <row r="92" spans="1:7" x14ac:dyDescent="0.2">
      <c r="A92" s="4">
        <v>-1.50716192450705</v>
      </c>
      <c r="B92" s="4">
        <v>-1.37908911168604</v>
      </c>
      <c r="C92" s="4">
        <v>3</v>
      </c>
      <c r="D92" s="4" t="s">
        <v>20</v>
      </c>
      <c r="E92" s="4" t="s">
        <v>9</v>
      </c>
      <c r="F92" s="4" t="s">
        <v>13</v>
      </c>
      <c r="G92" s="16"/>
    </row>
    <row r="93" spans="1:7" x14ac:dyDescent="0.2">
      <c r="A93" s="4">
        <v>-1.50716192450705</v>
      </c>
      <c r="B93" s="4">
        <v>-1.58298199368535</v>
      </c>
      <c r="C93" s="4">
        <v>3</v>
      </c>
      <c r="D93" s="4" t="s">
        <v>20</v>
      </c>
      <c r="E93" s="4" t="s">
        <v>9</v>
      </c>
      <c r="F93" s="4" t="s">
        <v>14</v>
      </c>
      <c r="G93" s="16"/>
    </row>
    <row r="94" spans="1:7" x14ac:dyDescent="0.2">
      <c r="A94" s="4">
        <v>-2.0735478334536599</v>
      </c>
      <c r="B94" s="4">
        <v>-2.0976386688494002</v>
      </c>
      <c r="C94" s="4">
        <v>3</v>
      </c>
      <c r="D94" s="4" t="s">
        <v>20</v>
      </c>
      <c r="E94" s="4" t="s">
        <v>15</v>
      </c>
      <c r="F94" s="4" t="s">
        <v>10</v>
      </c>
      <c r="G94" s="16"/>
    </row>
    <row r="95" spans="1:7" x14ac:dyDescent="0.2">
      <c r="A95" s="4">
        <v>-2.0735478334536599</v>
      </c>
      <c r="B95" s="4">
        <v>-2.0318174487693099</v>
      </c>
      <c r="C95" s="4">
        <v>3</v>
      </c>
      <c r="D95" s="4" t="s">
        <v>20</v>
      </c>
      <c r="E95" s="4" t="s">
        <v>15</v>
      </c>
      <c r="F95" s="4" t="s">
        <v>12</v>
      </c>
      <c r="G95" s="16"/>
    </row>
    <row r="96" spans="1:7" x14ac:dyDescent="0.2">
      <c r="A96" s="4">
        <v>-2.0735478334536599</v>
      </c>
      <c r="B96" s="4">
        <v>-2.07032754040323</v>
      </c>
      <c r="C96" s="4">
        <v>3</v>
      </c>
      <c r="D96" s="4" t="s">
        <v>20</v>
      </c>
      <c r="E96" s="4" t="s">
        <v>15</v>
      </c>
      <c r="F96" s="4" t="s">
        <v>13</v>
      </c>
      <c r="G96" s="16"/>
    </row>
    <row r="97" spans="1:7" x14ac:dyDescent="0.2">
      <c r="A97" s="4">
        <v>-2.0735478334536599</v>
      </c>
      <c r="B97" s="4">
        <v>-2.0874950732574402</v>
      </c>
      <c r="C97" s="4">
        <v>3</v>
      </c>
      <c r="D97" s="4" t="s">
        <v>20</v>
      </c>
      <c r="E97" s="4" t="s">
        <v>15</v>
      </c>
      <c r="F97" s="4" t="s">
        <v>14</v>
      </c>
      <c r="G97" s="16"/>
    </row>
  </sheetData>
  <sortState xmlns:xlrd2="http://schemas.microsoft.com/office/spreadsheetml/2017/richdata2" ref="A2:F97">
    <sortCondition ref="C1:C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ecologies_data_anova_MOD_dataRE</vt:lpstr>
      <vt:lpstr>Sheet3</vt:lpstr>
      <vt:lpstr>posthocs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2023-03-24T10:04:19Z</dcterms:created>
  <dcterms:modified xsi:type="dcterms:W3CDTF">2023-03-24T13:02:28Z</dcterms:modified>
</cp:coreProperties>
</file>